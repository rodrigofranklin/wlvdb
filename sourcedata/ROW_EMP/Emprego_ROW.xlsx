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tabRatio="669" firstSheet="1" activeTab="5"/>
  </bookViews>
  <sheets>
    <sheet name="Emprego - WorldBank" sheetId="1" r:id="rId1"/>
    <sheet name="Emprego - WIOD-14" sheetId="2" r:id="rId2"/>
    <sheet name="Emprego - WIOD-16" sheetId="3" r:id="rId3"/>
    <sheet name="Dif WIOD-14 e 16" sheetId="4" r:id="rId4"/>
    <sheet name="Cálculo" sheetId="5" r:id="rId5"/>
    <sheet name="DATA" sheetId="6" r:id="rId6"/>
    <sheet name="Assalariados - WorldBank" sheetId="7" r:id="rId7"/>
  </sheets>
  <externalReferences>
    <externalReference r:id="rId8"/>
    <externalReference r:id="rId9"/>
    <externalReference r:id="rId10"/>
  </externalReferences>
  <calcPr calcId="145621"/>
</workbook>
</file>

<file path=xl/calcChain.xml><?xml version="1.0" encoding="utf-8"?>
<calcChain xmlns="http://schemas.openxmlformats.org/spreadsheetml/2006/main">
  <c r="U46" i="7" l="1"/>
  <c r="T46" i="7"/>
  <c r="S46" i="7"/>
  <c r="R46" i="7"/>
  <c r="Q46" i="7"/>
  <c r="P46" i="7"/>
  <c r="O46" i="7"/>
  <c r="N46" i="7"/>
  <c r="M46" i="7"/>
  <c r="L46" i="7"/>
  <c r="K46" i="7"/>
  <c r="J46" i="7"/>
  <c r="I46" i="7"/>
  <c r="H46" i="7"/>
  <c r="G46" i="7"/>
  <c r="F46" i="7"/>
  <c r="E46" i="7"/>
  <c r="D46" i="7"/>
  <c r="C46" i="7"/>
  <c r="B46" i="7"/>
  <c r="B45" i="7"/>
  <c r="B44" i="7"/>
  <c r="U42" i="7"/>
  <c r="T42" i="7"/>
  <c r="S42" i="7"/>
  <c r="R42" i="7"/>
  <c r="Q42" i="7"/>
  <c r="P42" i="7"/>
  <c r="O42" i="7"/>
  <c r="N42" i="7"/>
  <c r="M42" i="7"/>
  <c r="L42" i="7"/>
  <c r="K42" i="7"/>
  <c r="J42" i="7"/>
  <c r="I42" i="7"/>
  <c r="H42" i="7"/>
  <c r="G42" i="7"/>
  <c r="F42" i="7"/>
  <c r="E42" i="7"/>
  <c r="D42" i="7"/>
  <c r="C42" i="7"/>
  <c r="U41" i="7"/>
  <c r="T41" i="7"/>
  <c r="S41" i="7"/>
  <c r="R41" i="7"/>
  <c r="Q41" i="7"/>
  <c r="P41" i="7"/>
  <c r="O41" i="7"/>
  <c r="N41" i="7"/>
  <c r="M41" i="7"/>
  <c r="L41" i="7"/>
  <c r="K41" i="7"/>
  <c r="J41" i="7"/>
  <c r="I41" i="7"/>
  <c r="H41" i="7"/>
  <c r="G41" i="7"/>
  <c r="F41" i="7"/>
  <c r="E41" i="7"/>
  <c r="D41" i="7"/>
  <c r="C41" i="7"/>
  <c r="U40" i="7"/>
  <c r="T40" i="7"/>
  <c r="S40" i="7"/>
  <c r="R40" i="7"/>
  <c r="Q40" i="7"/>
  <c r="P40" i="7"/>
  <c r="O40" i="7"/>
  <c r="N40" i="7"/>
  <c r="M40" i="7"/>
  <c r="L40" i="7"/>
  <c r="K40" i="7"/>
  <c r="J40" i="7"/>
  <c r="I40" i="7"/>
  <c r="H40" i="7"/>
  <c r="G40" i="7"/>
  <c r="F40" i="7"/>
  <c r="E40" i="7"/>
  <c r="D40" i="7"/>
  <c r="C40" i="7"/>
  <c r="U39" i="7"/>
  <c r="T39" i="7"/>
  <c r="S39" i="7"/>
  <c r="R39" i="7"/>
  <c r="Q39" i="7"/>
  <c r="P39" i="7"/>
  <c r="O39" i="7"/>
  <c r="N39" i="7"/>
  <c r="M39" i="7"/>
  <c r="L39" i="7"/>
  <c r="K39" i="7"/>
  <c r="J39" i="7"/>
  <c r="I39" i="7"/>
  <c r="H39" i="7"/>
  <c r="G39" i="7"/>
  <c r="F39" i="7"/>
  <c r="E39" i="7"/>
  <c r="D39" i="7"/>
  <c r="C39" i="7"/>
  <c r="U38" i="7"/>
  <c r="T38" i="7"/>
  <c r="S38" i="7"/>
  <c r="R38" i="7"/>
  <c r="Q38" i="7"/>
  <c r="P38" i="7"/>
  <c r="O38" i="7"/>
  <c r="N38" i="7"/>
  <c r="M38" i="7"/>
  <c r="L38" i="7"/>
  <c r="K38" i="7"/>
  <c r="J38" i="7"/>
  <c r="I38" i="7"/>
  <c r="H38" i="7"/>
  <c r="G38" i="7"/>
  <c r="F38" i="7"/>
  <c r="E38" i="7"/>
  <c r="D38" i="7"/>
  <c r="C38" i="7"/>
  <c r="U37" i="7"/>
  <c r="T37" i="7"/>
  <c r="S37" i="7"/>
  <c r="R37" i="7"/>
  <c r="Q37" i="7"/>
  <c r="P37" i="7"/>
  <c r="O37" i="7"/>
  <c r="N37" i="7"/>
  <c r="M37" i="7"/>
  <c r="L37" i="7"/>
  <c r="K37" i="7"/>
  <c r="J37" i="7"/>
  <c r="I37" i="7"/>
  <c r="H37" i="7"/>
  <c r="G37" i="7"/>
  <c r="F37" i="7"/>
  <c r="E37" i="7"/>
  <c r="D37" i="7"/>
  <c r="C37" i="7"/>
  <c r="U36" i="7"/>
  <c r="T36" i="7"/>
  <c r="S36" i="7"/>
  <c r="R36" i="7"/>
  <c r="Q36" i="7"/>
  <c r="P36" i="7"/>
  <c r="O36" i="7"/>
  <c r="N36" i="7"/>
  <c r="M36" i="7"/>
  <c r="L36" i="7"/>
  <c r="K36" i="7"/>
  <c r="J36" i="7"/>
  <c r="I36" i="7"/>
  <c r="H36" i="7"/>
  <c r="G36" i="7"/>
  <c r="F36" i="7"/>
  <c r="E36" i="7"/>
  <c r="D36" i="7"/>
  <c r="C36" i="7"/>
  <c r="U35" i="7"/>
  <c r="T35" i="7"/>
  <c r="S35" i="7"/>
  <c r="R35" i="7"/>
  <c r="Q35" i="7"/>
  <c r="P35" i="7"/>
  <c r="O35" i="7"/>
  <c r="N35" i="7"/>
  <c r="M35" i="7"/>
  <c r="L35" i="7"/>
  <c r="K35" i="7"/>
  <c r="J35" i="7"/>
  <c r="I35" i="7"/>
  <c r="H35" i="7"/>
  <c r="G35" i="7"/>
  <c r="F35" i="7"/>
  <c r="E35" i="7"/>
  <c r="D35" i="7"/>
  <c r="C35" i="7"/>
  <c r="U34" i="7"/>
  <c r="T34" i="7"/>
  <c r="S34" i="7"/>
  <c r="R34" i="7"/>
  <c r="Q34" i="7"/>
  <c r="P34" i="7"/>
  <c r="O34" i="7"/>
  <c r="N34" i="7"/>
  <c r="M34" i="7"/>
  <c r="L34" i="7"/>
  <c r="K34" i="7"/>
  <c r="J34" i="7"/>
  <c r="I34" i="7"/>
  <c r="H34" i="7"/>
  <c r="G34" i="7"/>
  <c r="F34" i="7"/>
  <c r="E34" i="7"/>
  <c r="D34" i="7"/>
  <c r="C34" i="7"/>
  <c r="U33" i="7"/>
  <c r="T33" i="7"/>
  <c r="S33" i="7"/>
  <c r="R33" i="7"/>
  <c r="Q33" i="7"/>
  <c r="P33" i="7"/>
  <c r="O33" i="7"/>
  <c r="N33" i="7"/>
  <c r="M33" i="7"/>
  <c r="L33" i="7"/>
  <c r="K33" i="7"/>
  <c r="J33" i="7"/>
  <c r="I33" i="7"/>
  <c r="H33" i="7"/>
  <c r="G33" i="7"/>
  <c r="F33" i="7"/>
  <c r="E33" i="7"/>
  <c r="D33" i="7"/>
  <c r="C33" i="7"/>
  <c r="U32" i="7"/>
  <c r="T32" i="7"/>
  <c r="S32" i="7"/>
  <c r="R32" i="7"/>
  <c r="Q32" i="7"/>
  <c r="P32" i="7"/>
  <c r="O32" i="7"/>
  <c r="N32" i="7"/>
  <c r="M32" i="7"/>
  <c r="L32" i="7"/>
  <c r="K32" i="7"/>
  <c r="J32" i="7"/>
  <c r="I32" i="7"/>
  <c r="H32" i="7"/>
  <c r="G32" i="7"/>
  <c r="F32" i="7"/>
  <c r="E32" i="7"/>
  <c r="D32" i="7"/>
  <c r="C32" i="7"/>
  <c r="U31" i="7"/>
  <c r="T31" i="7"/>
  <c r="S31" i="7"/>
  <c r="R31" i="7"/>
  <c r="Q31" i="7"/>
  <c r="P31" i="7"/>
  <c r="O31" i="7"/>
  <c r="N31" i="7"/>
  <c r="M31" i="7"/>
  <c r="L31" i="7"/>
  <c r="K31" i="7"/>
  <c r="J31" i="7"/>
  <c r="I31" i="7"/>
  <c r="H31" i="7"/>
  <c r="G31" i="7"/>
  <c r="F31" i="7"/>
  <c r="E31" i="7"/>
  <c r="D31" i="7"/>
  <c r="C31" i="7"/>
  <c r="U30" i="7"/>
  <c r="T30" i="7"/>
  <c r="S30" i="7"/>
  <c r="R30" i="7"/>
  <c r="Q30" i="7"/>
  <c r="P30" i="7"/>
  <c r="O30" i="7"/>
  <c r="N30" i="7"/>
  <c r="M30" i="7"/>
  <c r="L30" i="7"/>
  <c r="K30" i="7"/>
  <c r="J30" i="7"/>
  <c r="I30" i="7"/>
  <c r="H30" i="7"/>
  <c r="G30" i="7"/>
  <c r="F30" i="7"/>
  <c r="E30" i="7"/>
  <c r="D30" i="7"/>
  <c r="C30" i="7"/>
  <c r="U29" i="7"/>
  <c r="T29" i="7"/>
  <c r="S29" i="7"/>
  <c r="R29" i="7"/>
  <c r="Q29" i="7"/>
  <c r="P29" i="7"/>
  <c r="O29" i="7"/>
  <c r="N29" i="7"/>
  <c r="M29" i="7"/>
  <c r="L29" i="7"/>
  <c r="K29" i="7"/>
  <c r="J29" i="7"/>
  <c r="I29" i="7"/>
  <c r="H29" i="7"/>
  <c r="G29" i="7"/>
  <c r="F29" i="7"/>
  <c r="E29" i="7"/>
  <c r="D29" i="7"/>
  <c r="C29" i="7"/>
  <c r="U28" i="7"/>
  <c r="T28" i="7"/>
  <c r="S28" i="7"/>
  <c r="R28" i="7"/>
  <c r="Q28" i="7"/>
  <c r="P28" i="7"/>
  <c r="O28" i="7"/>
  <c r="N28" i="7"/>
  <c r="M28" i="7"/>
  <c r="L28" i="7"/>
  <c r="K28" i="7"/>
  <c r="J28" i="7"/>
  <c r="I28" i="7"/>
  <c r="H28" i="7"/>
  <c r="G28" i="7"/>
  <c r="F28" i="7"/>
  <c r="E28" i="7"/>
  <c r="D28" i="7"/>
  <c r="C28" i="7"/>
  <c r="U27" i="7"/>
  <c r="T27" i="7"/>
  <c r="S27" i="7"/>
  <c r="R27" i="7"/>
  <c r="Q27" i="7"/>
  <c r="P27" i="7"/>
  <c r="O27" i="7"/>
  <c r="N27" i="7"/>
  <c r="M27" i="7"/>
  <c r="L27" i="7"/>
  <c r="K27" i="7"/>
  <c r="J27" i="7"/>
  <c r="I27" i="7"/>
  <c r="H27" i="7"/>
  <c r="G27" i="7"/>
  <c r="F27" i="7"/>
  <c r="E27" i="7"/>
  <c r="D27" i="7"/>
  <c r="C27" i="7"/>
  <c r="U26" i="7"/>
  <c r="T26" i="7"/>
  <c r="S26" i="7"/>
  <c r="R26" i="7"/>
  <c r="Q26" i="7"/>
  <c r="P26" i="7"/>
  <c r="O26" i="7"/>
  <c r="N26" i="7"/>
  <c r="M26" i="7"/>
  <c r="L26" i="7"/>
  <c r="K26" i="7"/>
  <c r="J26" i="7"/>
  <c r="I26" i="7"/>
  <c r="H26" i="7"/>
  <c r="G26" i="7"/>
  <c r="F26" i="7"/>
  <c r="E26" i="7"/>
  <c r="D26" i="7"/>
  <c r="C26" i="7"/>
  <c r="U25" i="7"/>
  <c r="T25" i="7"/>
  <c r="S25" i="7"/>
  <c r="R25" i="7"/>
  <c r="Q25" i="7"/>
  <c r="P25" i="7"/>
  <c r="O25" i="7"/>
  <c r="N25" i="7"/>
  <c r="M25" i="7"/>
  <c r="L25" i="7"/>
  <c r="K25" i="7"/>
  <c r="J25" i="7"/>
  <c r="I25" i="7"/>
  <c r="H25" i="7"/>
  <c r="G25" i="7"/>
  <c r="F25" i="7"/>
  <c r="E25" i="7"/>
  <c r="D25" i="7"/>
  <c r="C25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F24" i="7"/>
  <c r="E24" i="7"/>
  <c r="D24" i="7"/>
  <c r="C24" i="7"/>
  <c r="U23" i="7"/>
  <c r="T23" i="7"/>
  <c r="S23" i="7"/>
  <c r="R23" i="7"/>
  <c r="Q23" i="7"/>
  <c r="P23" i="7"/>
  <c r="O23" i="7"/>
  <c r="N23" i="7"/>
  <c r="M23" i="7"/>
  <c r="L23" i="7"/>
  <c r="K23" i="7"/>
  <c r="J23" i="7"/>
  <c r="I23" i="7"/>
  <c r="H23" i="7"/>
  <c r="G23" i="7"/>
  <c r="F23" i="7"/>
  <c r="E23" i="7"/>
  <c r="D23" i="7"/>
  <c r="C23" i="7"/>
  <c r="U22" i="7"/>
  <c r="T22" i="7"/>
  <c r="S22" i="7"/>
  <c r="R22" i="7"/>
  <c r="Q22" i="7"/>
  <c r="P22" i="7"/>
  <c r="O22" i="7"/>
  <c r="N22" i="7"/>
  <c r="M22" i="7"/>
  <c r="L22" i="7"/>
  <c r="K22" i="7"/>
  <c r="J22" i="7"/>
  <c r="I22" i="7"/>
  <c r="H22" i="7"/>
  <c r="G22" i="7"/>
  <c r="F22" i="7"/>
  <c r="E22" i="7"/>
  <c r="D22" i="7"/>
  <c r="C22" i="7"/>
  <c r="U21" i="7"/>
  <c r="T21" i="7"/>
  <c r="S21" i="7"/>
  <c r="R21" i="7"/>
  <c r="Q21" i="7"/>
  <c r="P21" i="7"/>
  <c r="O21" i="7"/>
  <c r="N21" i="7"/>
  <c r="M21" i="7"/>
  <c r="L21" i="7"/>
  <c r="K21" i="7"/>
  <c r="J21" i="7"/>
  <c r="I21" i="7"/>
  <c r="H21" i="7"/>
  <c r="G21" i="7"/>
  <c r="F21" i="7"/>
  <c r="E21" i="7"/>
  <c r="D21" i="7"/>
  <c r="C21" i="7"/>
  <c r="U20" i="7"/>
  <c r="T20" i="7"/>
  <c r="S20" i="7"/>
  <c r="R20" i="7"/>
  <c r="Q20" i="7"/>
  <c r="P20" i="7"/>
  <c r="O20" i="7"/>
  <c r="N20" i="7"/>
  <c r="M20" i="7"/>
  <c r="L20" i="7"/>
  <c r="K20" i="7"/>
  <c r="J20" i="7"/>
  <c r="I20" i="7"/>
  <c r="H20" i="7"/>
  <c r="G20" i="7"/>
  <c r="F20" i="7"/>
  <c r="E20" i="7"/>
  <c r="D20" i="7"/>
  <c r="C20" i="7"/>
  <c r="U19" i="7"/>
  <c r="T19" i="7"/>
  <c r="S19" i="7"/>
  <c r="R19" i="7"/>
  <c r="Q19" i="7"/>
  <c r="P19" i="7"/>
  <c r="O19" i="7"/>
  <c r="N19" i="7"/>
  <c r="M19" i="7"/>
  <c r="L19" i="7"/>
  <c r="K19" i="7"/>
  <c r="J19" i="7"/>
  <c r="I19" i="7"/>
  <c r="H19" i="7"/>
  <c r="G19" i="7"/>
  <c r="F19" i="7"/>
  <c r="E19" i="7"/>
  <c r="D19" i="7"/>
  <c r="C19" i="7"/>
  <c r="U18" i="7"/>
  <c r="T18" i="7"/>
  <c r="S18" i="7"/>
  <c r="R18" i="7"/>
  <c r="Q18" i="7"/>
  <c r="P18" i="7"/>
  <c r="O18" i="7"/>
  <c r="N18" i="7"/>
  <c r="M18" i="7"/>
  <c r="L18" i="7"/>
  <c r="K18" i="7"/>
  <c r="J18" i="7"/>
  <c r="I18" i="7"/>
  <c r="H18" i="7"/>
  <c r="G18" i="7"/>
  <c r="F18" i="7"/>
  <c r="E18" i="7"/>
  <c r="D18" i="7"/>
  <c r="C18" i="7"/>
  <c r="U17" i="7"/>
  <c r="T17" i="7"/>
  <c r="S17" i="7"/>
  <c r="R17" i="7"/>
  <c r="Q17" i="7"/>
  <c r="P17" i="7"/>
  <c r="O17" i="7"/>
  <c r="N17" i="7"/>
  <c r="M17" i="7"/>
  <c r="L17" i="7"/>
  <c r="K17" i="7"/>
  <c r="J17" i="7"/>
  <c r="I17" i="7"/>
  <c r="H17" i="7"/>
  <c r="G17" i="7"/>
  <c r="F17" i="7"/>
  <c r="E17" i="7"/>
  <c r="D17" i="7"/>
  <c r="C17" i="7"/>
  <c r="U16" i="7"/>
  <c r="T16" i="7"/>
  <c r="S16" i="7"/>
  <c r="R16" i="7"/>
  <c r="Q16" i="7"/>
  <c r="P16" i="7"/>
  <c r="O16" i="7"/>
  <c r="N16" i="7"/>
  <c r="M16" i="7"/>
  <c r="L16" i="7"/>
  <c r="K16" i="7"/>
  <c r="J16" i="7"/>
  <c r="I16" i="7"/>
  <c r="H16" i="7"/>
  <c r="G16" i="7"/>
  <c r="F16" i="7"/>
  <c r="E16" i="7"/>
  <c r="D16" i="7"/>
  <c r="C16" i="7"/>
  <c r="U15" i="7"/>
  <c r="T15" i="7"/>
  <c r="S15" i="7"/>
  <c r="R15" i="7"/>
  <c r="Q15" i="7"/>
  <c r="P15" i="7"/>
  <c r="O15" i="7"/>
  <c r="N15" i="7"/>
  <c r="M15" i="7"/>
  <c r="L15" i="7"/>
  <c r="K15" i="7"/>
  <c r="J15" i="7"/>
  <c r="I15" i="7"/>
  <c r="H15" i="7"/>
  <c r="G15" i="7"/>
  <c r="F15" i="7"/>
  <c r="E15" i="7"/>
  <c r="D15" i="7"/>
  <c r="C15" i="7"/>
  <c r="U14" i="7"/>
  <c r="T14" i="7"/>
  <c r="S14" i="7"/>
  <c r="R14" i="7"/>
  <c r="Q14" i="7"/>
  <c r="P14" i="7"/>
  <c r="O14" i="7"/>
  <c r="N14" i="7"/>
  <c r="M14" i="7"/>
  <c r="L14" i="7"/>
  <c r="K14" i="7"/>
  <c r="J14" i="7"/>
  <c r="I14" i="7"/>
  <c r="H14" i="7"/>
  <c r="G14" i="7"/>
  <c r="F14" i="7"/>
  <c r="E14" i="7"/>
  <c r="D14" i="7"/>
  <c r="C14" i="7"/>
  <c r="U13" i="7"/>
  <c r="T13" i="7"/>
  <c r="S13" i="7"/>
  <c r="R13" i="7"/>
  <c r="Q13" i="7"/>
  <c r="P13" i="7"/>
  <c r="O13" i="7"/>
  <c r="N13" i="7"/>
  <c r="M13" i="7"/>
  <c r="L13" i="7"/>
  <c r="K13" i="7"/>
  <c r="J13" i="7"/>
  <c r="I13" i="7"/>
  <c r="H13" i="7"/>
  <c r="G13" i="7"/>
  <c r="F13" i="7"/>
  <c r="E13" i="7"/>
  <c r="D13" i="7"/>
  <c r="C13" i="7"/>
  <c r="U12" i="7"/>
  <c r="T12" i="7"/>
  <c r="S12" i="7"/>
  <c r="R12" i="7"/>
  <c r="Q12" i="7"/>
  <c r="P12" i="7"/>
  <c r="O12" i="7"/>
  <c r="N12" i="7"/>
  <c r="M12" i="7"/>
  <c r="L12" i="7"/>
  <c r="K12" i="7"/>
  <c r="J12" i="7"/>
  <c r="I12" i="7"/>
  <c r="H12" i="7"/>
  <c r="G12" i="7"/>
  <c r="F12" i="7"/>
  <c r="E12" i="7"/>
  <c r="D12" i="7"/>
  <c r="C12" i="7"/>
  <c r="U11" i="7"/>
  <c r="T11" i="7"/>
  <c r="S11" i="7"/>
  <c r="R11" i="7"/>
  <c r="Q11" i="7"/>
  <c r="P11" i="7"/>
  <c r="O11" i="7"/>
  <c r="N11" i="7"/>
  <c r="M11" i="7"/>
  <c r="L11" i="7"/>
  <c r="K11" i="7"/>
  <c r="J11" i="7"/>
  <c r="I11" i="7"/>
  <c r="H11" i="7"/>
  <c r="G11" i="7"/>
  <c r="F11" i="7"/>
  <c r="E11" i="7"/>
  <c r="D11" i="7"/>
  <c r="C11" i="7"/>
  <c r="U10" i="7"/>
  <c r="T10" i="7"/>
  <c r="S10" i="7"/>
  <c r="R10" i="7"/>
  <c r="Q10" i="7"/>
  <c r="P10" i="7"/>
  <c r="O10" i="7"/>
  <c r="N10" i="7"/>
  <c r="M10" i="7"/>
  <c r="L10" i="7"/>
  <c r="K10" i="7"/>
  <c r="J10" i="7"/>
  <c r="I10" i="7"/>
  <c r="H10" i="7"/>
  <c r="G10" i="7"/>
  <c r="F10" i="7"/>
  <c r="E10" i="7"/>
  <c r="D10" i="7"/>
  <c r="C10" i="7"/>
  <c r="U9" i="7"/>
  <c r="T9" i="7"/>
  <c r="S9" i="7"/>
  <c r="R9" i="7"/>
  <c r="Q9" i="7"/>
  <c r="P9" i="7"/>
  <c r="O9" i="7"/>
  <c r="N9" i="7"/>
  <c r="M9" i="7"/>
  <c r="L9" i="7"/>
  <c r="K9" i="7"/>
  <c r="J9" i="7"/>
  <c r="I9" i="7"/>
  <c r="H9" i="7"/>
  <c r="G9" i="7"/>
  <c r="F9" i="7"/>
  <c r="E9" i="7"/>
  <c r="D9" i="7"/>
  <c r="C9" i="7"/>
  <c r="U8" i="7"/>
  <c r="T8" i="7"/>
  <c r="S8" i="7"/>
  <c r="R8" i="7"/>
  <c r="Q8" i="7"/>
  <c r="Q45" i="7" s="1"/>
  <c r="P8" i="7"/>
  <c r="O8" i="7"/>
  <c r="N8" i="7"/>
  <c r="M8" i="7"/>
  <c r="L8" i="7"/>
  <c r="K8" i="7"/>
  <c r="J8" i="7"/>
  <c r="I8" i="7"/>
  <c r="I45" i="7" s="1"/>
  <c r="H8" i="7"/>
  <c r="G8" i="7"/>
  <c r="F8" i="7"/>
  <c r="E8" i="7"/>
  <c r="D8" i="7"/>
  <c r="D53" i="7" s="1"/>
  <c r="C8" i="7"/>
  <c r="U7" i="7"/>
  <c r="T7" i="7"/>
  <c r="T44" i="7" s="1"/>
  <c r="T52" i="7" s="1"/>
  <c r="S7" i="7"/>
  <c r="R7" i="7"/>
  <c r="Q7" i="7"/>
  <c r="P7" i="7"/>
  <c r="O7" i="7"/>
  <c r="N7" i="7"/>
  <c r="M7" i="7"/>
  <c r="L7" i="7"/>
  <c r="L44" i="7" s="1"/>
  <c r="L52" i="7" s="1"/>
  <c r="K7" i="7"/>
  <c r="J7" i="7"/>
  <c r="I7" i="7"/>
  <c r="H7" i="7"/>
  <c r="G7" i="7"/>
  <c r="G44" i="7" s="1"/>
  <c r="G52" i="7" s="1"/>
  <c r="F7" i="7"/>
  <c r="E7" i="7"/>
  <c r="D7" i="7"/>
  <c r="C7" i="7"/>
  <c r="U6" i="7"/>
  <c r="T6" i="7"/>
  <c r="S6" i="7"/>
  <c r="R6" i="7"/>
  <c r="Q6" i="7"/>
  <c r="P6" i="7"/>
  <c r="O6" i="7"/>
  <c r="N6" i="7"/>
  <c r="M6" i="7"/>
  <c r="L6" i="7"/>
  <c r="K6" i="7"/>
  <c r="J6" i="7"/>
  <c r="J44" i="7" s="1"/>
  <c r="J52" i="7" s="1"/>
  <c r="I6" i="7"/>
  <c r="H6" i="7"/>
  <c r="G6" i="7"/>
  <c r="F6" i="7"/>
  <c r="E6" i="7"/>
  <c r="D6" i="7"/>
  <c r="C6" i="7"/>
  <c r="U5" i="7"/>
  <c r="T5" i="7"/>
  <c r="S5" i="7"/>
  <c r="R5" i="7"/>
  <c r="Q5" i="7"/>
  <c r="P5" i="7"/>
  <c r="O5" i="7"/>
  <c r="N5" i="7"/>
  <c r="M5" i="7"/>
  <c r="L5" i="7"/>
  <c r="K5" i="7"/>
  <c r="J5" i="7"/>
  <c r="J53" i="7" s="1"/>
  <c r="I5" i="7"/>
  <c r="H5" i="7"/>
  <c r="G5" i="7"/>
  <c r="F5" i="7"/>
  <c r="E5" i="7"/>
  <c r="D5" i="7"/>
  <c r="C5" i="7"/>
  <c r="U4" i="7"/>
  <c r="U44" i="7" s="1"/>
  <c r="U52" i="7" s="1"/>
  <c r="T4" i="7"/>
  <c r="S4" i="7"/>
  <c r="R4" i="7"/>
  <c r="Q4" i="7"/>
  <c r="P4" i="7"/>
  <c r="O4" i="7"/>
  <c r="N4" i="7"/>
  <c r="M4" i="7"/>
  <c r="L4" i="7"/>
  <c r="K4" i="7"/>
  <c r="J4" i="7"/>
  <c r="I4" i="7"/>
  <c r="H4" i="7"/>
  <c r="G4" i="7"/>
  <c r="F4" i="7"/>
  <c r="E4" i="7"/>
  <c r="D4" i="7"/>
  <c r="C4" i="7"/>
  <c r="U3" i="7"/>
  <c r="T3" i="7"/>
  <c r="S3" i="7"/>
  <c r="R3" i="7"/>
  <c r="Q3" i="7"/>
  <c r="P3" i="7"/>
  <c r="P44" i="7" s="1"/>
  <c r="P52" i="7" s="1"/>
  <c r="O3" i="7"/>
  <c r="O44" i="7" s="1"/>
  <c r="O52" i="7" s="1"/>
  <c r="N3" i="7"/>
  <c r="M3" i="7"/>
  <c r="L3" i="7"/>
  <c r="K3" i="7"/>
  <c r="J3" i="7"/>
  <c r="I3" i="7"/>
  <c r="H3" i="7"/>
  <c r="H44" i="7" s="1"/>
  <c r="H52" i="7" s="1"/>
  <c r="G3" i="7"/>
  <c r="F3" i="7"/>
  <c r="E3" i="7"/>
  <c r="D3" i="7"/>
  <c r="C3" i="7"/>
  <c r="U2" i="7"/>
  <c r="T2" i="7"/>
  <c r="S2" i="7"/>
  <c r="S53" i="7" s="1"/>
  <c r="R2" i="7"/>
  <c r="R53" i="7" s="1"/>
  <c r="Q2" i="7"/>
  <c r="Q44" i="7" s="1"/>
  <c r="Q52" i="7" s="1"/>
  <c r="P2" i="7"/>
  <c r="O2" i="7"/>
  <c r="N2" i="7"/>
  <c r="M2" i="7"/>
  <c r="L2" i="7"/>
  <c r="K2" i="7"/>
  <c r="K53" i="7" s="1"/>
  <c r="J2" i="7"/>
  <c r="I2" i="7"/>
  <c r="H2" i="7"/>
  <c r="G2" i="7"/>
  <c r="F2" i="7"/>
  <c r="F44" i="7" s="1"/>
  <c r="F52" i="7" s="1"/>
  <c r="E2" i="7"/>
  <c r="E44" i="7" s="1"/>
  <c r="E52" i="7" s="1"/>
  <c r="D2" i="7"/>
  <c r="D44" i="7" s="1"/>
  <c r="D52" i="7" s="1"/>
  <c r="C2" i="7"/>
  <c r="C53" i="7" s="1"/>
  <c r="B3" i="7"/>
  <c r="B4" i="7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2" i="7"/>
  <c r="U50" i="7"/>
  <c r="T50" i="7"/>
  <c r="S50" i="7"/>
  <c r="R50" i="7"/>
  <c r="Q50" i="7"/>
  <c r="P50" i="7"/>
  <c r="O50" i="7"/>
  <c r="N50" i="7"/>
  <c r="M50" i="7"/>
  <c r="L50" i="7"/>
  <c r="K50" i="7"/>
  <c r="J50" i="7"/>
  <c r="I50" i="7"/>
  <c r="H50" i="7"/>
  <c r="G50" i="7"/>
  <c r="F50" i="7"/>
  <c r="E50" i="7"/>
  <c r="D50" i="7"/>
  <c r="C50" i="7"/>
  <c r="B50" i="7"/>
  <c r="U49" i="7"/>
  <c r="T49" i="7"/>
  <c r="S49" i="7"/>
  <c r="R49" i="7"/>
  <c r="Q49" i="7"/>
  <c r="P49" i="7"/>
  <c r="O49" i="7"/>
  <c r="N49" i="7"/>
  <c r="M49" i="7"/>
  <c r="L49" i="7"/>
  <c r="K49" i="7"/>
  <c r="J49" i="7"/>
  <c r="I49" i="7"/>
  <c r="H49" i="7"/>
  <c r="G49" i="7"/>
  <c r="F49" i="7"/>
  <c r="E49" i="7"/>
  <c r="D49" i="7"/>
  <c r="C49" i="7"/>
  <c r="B49" i="7"/>
  <c r="U48" i="7"/>
  <c r="T48" i="7"/>
  <c r="S48" i="7"/>
  <c r="R48" i="7"/>
  <c r="Q48" i="7"/>
  <c r="P48" i="7"/>
  <c r="O48" i="7"/>
  <c r="N48" i="7"/>
  <c r="M48" i="7"/>
  <c r="L48" i="7"/>
  <c r="K48" i="7"/>
  <c r="J48" i="7"/>
  <c r="I48" i="7"/>
  <c r="H48" i="7"/>
  <c r="G48" i="7"/>
  <c r="F48" i="7"/>
  <c r="E48" i="7"/>
  <c r="D48" i="7"/>
  <c r="C48" i="7"/>
  <c r="B48" i="7"/>
  <c r="M44" i="7"/>
  <c r="M52" i="7" s="1"/>
  <c r="L53" i="7"/>
  <c r="N44" i="7"/>
  <c r="N52" i="7" s="1"/>
  <c r="F45" i="7" l="1"/>
  <c r="N45" i="7"/>
  <c r="C44" i="7"/>
  <c r="C52" i="7" s="1"/>
  <c r="R44" i="7"/>
  <c r="R52" i="7" s="1"/>
  <c r="S44" i="7"/>
  <c r="S52" i="7" s="1"/>
  <c r="T53" i="7"/>
  <c r="I44" i="7"/>
  <c r="I52" i="7" s="1"/>
  <c r="K44" i="7"/>
  <c r="K52" i="7" s="1"/>
  <c r="B52" i="7"/>
  <c r="U53" i="7"/>
  <c r="E53" i="7"/>
  <c r="M53" i="7"/>
  <c r="G45" i="7"/>
  <c r="O45" i="7"/>
  <c r="H45" i="7"/>
  <c r="P45" i="7"/>
  <c r="B53" i="7"/>
  <c r="J45" i="7"/>
  <c r="R45" i="7"/>
  <c r="F53" i="7"/>
  <c r="N53" i="7"/>
  <c r="C45" i="7"/>
  <c r="K45" i="7"/>
  <c r="S45" i="7"/>
  <c r="G53" i="7"/>
  <c r="O53" i="7"/>
  <c r="D45" i="7"/>
  <c r="L45" i="7"/>
  <c r="T45" i="7"/>
  <c r="H53" i="7"/>
  <c r="P53" i="7"/>
  <c r="E45" i="7"/>
  <c r="M45" i="7"/>
  <c r="U45" i="7"/>
  <c r="I53" i="7"/>
  <c r="Q53" i="7"/>
  <c r="U17" i="5"/>
  <c r="T17" i="5"/>
  <c r="S17" i="5"/>
  <c r="R17" i="5"/>
  <c r="Q17" i="5"/>
  <c r="P17" i="5"/>
  <c r="O17" i="5"/>
  <c r="N17" i="5"/>
  <c r="M17" i="5"/>
  <c r="L17" i="5"/>
  <c r="K17" i="5"/>
  <c r="J17" i="5"/>
  <c r="I17" i="5"/>
  <c r="H17" i="5"/>
  <c r="G17" i="5"/>
  <c r="R16" i="5"/>
  <c r="Q16" i="5"/>
  <c r="P16" i="5"/>
  <c r="O16" i="5"/>
  <c r="N16" i="5"/>
  <c r="M16" i="5"/>
  <c r="L16" i="5"/>
  <c r="K16" i="5"/>
  <c r="J16" i="5"/>
  <c r="I16" i="5"/>
  <c r="H16" i="5"/>
  <c r="G16" i="5"/>
  <c r="F16" i="5"/>
  <c r="E16" i="5"/>
  <c r="D16" i="5"/>
  <c r="C16" i="5"/>
  <c r="B16" i="5"/>
  <c r="U14" i="5"/>
  <c r="T14" i="5"/>
  <c r="S14" i="5"/>
  <c r="R14" i="5"/>
  <c r="Q14" i="5"/>
  <c r="P14" i="5"/>
  <c r="O14" i="5"/>
  <c r="N14" i="5"/>
  <c r="M14" i="5"/>
  <c r="L14" i="5"/>
  <c r="K14" i="5"/>
  <c r="J14" i="5"/>
  <c r="I14" i="5"/>
  <c r="H14" i="5"/>
  <c r="G14" i="5"/>
  <c r="C13" i="5"/>
  <c r="D13" i="5"/>
  <c r="E13" i="5"/>
  <c r="F13" i="5"/>
  <c r="G13" i="5"/>
  <c r="H13" i="5"/>
  <c r="I13" i="5"/>
  <c r="J13" i="5"/>
  <c r="K13" i="5"/>
  <c r="L13" i="5"/>
  <c r="M13" i="5"/>
  <c r="N13" i="5"/>
  <c r="O13" i="5"/>
  <c r="P13" i="5"/>
  <c r="Q13" i="5"/>
  <c r="R13" i="5"/>
  <c r="B13" i="5"/>
  <c r="O44" i="1"/>
  <c r="O52" i="1" s="1"/>
  <c r="G44" i="1"/>
  <c r="G52" i="1" s="1"/>
  <c r="M41" i="4"/>
  <c r="L41" i="4"/>
  <c r="K41" i="4"/>
  <c r="J41" i="4"/>
  <c r="I41" i="4"/>
  <c r="H41" i="4"/>
  <c r="G41" i="4"/>
  <c r="F41" i="4"/>
  <c r="E41" i="4"/>
  <c r="D41" i="4"/>
  <c r="C41" i="4"/>
  <c r="M40" i="4"/>
  <c r="L40" i="4"/>
  <c r="K40" i="4"/>
  <c r="J40" i="4"/>
  <c r="I40" i="4"/>
  <c r="H40" i="4"/>
  <c r="G40" i="4"/>
  <c r="F40" i="4"/>
  <c r="E40" i="4"/>
  <c r="D40" i="4"/>
  <c r="C40" i="4"/>
  <c r="M39" i="4"/>
  <c r="L39" i="4"/>
  <c r="K39" i="4"/>
  <c r="J39" i="4"/>
  <c r="I39" i="4"/>
  <c r="H39" i="4"/>
  <c r="G39" i="4"/>
  <c r="F39" i="4"/>
  <c r="E39" i="4"/>
  <c r="D39" i="4"/>
  <c r="C39" i="4"/>
  <c r="M38" i="4"/>
  <c r="L38" i="4"/>
  <c r="K38" i="4"/>
  <c r="J38" i="4"/>
  <c r="I38" i="4"/>
  <c r="H38" i="4"/>
  <c r="G38" i="4"/>
  <c r="F38" i="4"/>
  <c r="E38" i="4"/>
  <c r="D38" i="4"/>
  <c r="C38" i="4"/>
  <c r="M37" i="4"/>
  <c r="L37" i="4"/>
  <c r="K37" i="4"/>
  <c r="J37" i="4"/>
  <c r="I37" i="4"/>
  <c r="H37" i="4"/>
  <c r="G37" i="4"/>
  <c r="F37" i="4"/>
  <c r="E37" i="4"/>
  <c r="D37" i="4"/>
  <c r="C37" i="4"/>
  <c r="M36" i="4"/>
  <c r="L36" i="4"/>
  <c r="K36" i="4"/>
  <c r="J36" i="4"/>
  <c r="I36" i="4"/>
  <c r="H36" i="4"/>
  <c r="G36" i="4"/>
  <c r="F36" i="4"/>
  <c r="E36" i="4"/>
  <c r="D36" i="4"/>
  <c r="C36" i="4"/>
  <c r="M35" i="4"/>
  <c r="L35" i="4"/>
  <c r="K35" i="4"/>
  <c r="J35" i="4"/>
  <c r="I35" i="4"/>
  <c r="H35" i="4"/>
  <c r="G35" i="4"/>
  <c r="F35" i="4"/>
  <c r="E35" i="4"/>
  <c r="D35" i="4"/>
  <c r="C35" i="4"/>
  <c r="M34" i="4"/>
  <c r="L34" i="4"/>
  <c r="K34" i="4"/>
  <c r="J34" i="4"/>
  <c r="I34" i="4"/>
  <c r="H34" i="4"/>
  <c r="G34" i="4"/>
  <c r="F34" i="4"/>
  <c r="E34" i="4"/>
  <c r="D34" i="4"/>
  <c r="C34" i="4"/>
  <c r="M33" i="4"/>
  <c r="L33" i="4"/>
  <c r="K33" i="4"/>
  <c r="J33" i="4"/>
  <c r="I33" i="4"/>
  <c r="H33" i="4"/>
  <c r="G33" i="4"/>
  <c r="F33" i="4"/>
  <c r="E33" i="4"/>
  <c r="D33" i="4"/>
  <c r="C33" i="4"/>
  <c r="M32" i="4"/>
  <c r="L32" i="4"/>
  <c r="K32" i="4"/>
  <c r="J32" i="4"/>
  <c r="I32" i="4"/>
  <c r="H32" i="4"/>
  <c r="G32" i="4"/>
  <c r="F32" i="4"/>
  <c r="E32" i="4"/>
  <c r="D32" i="4"/>
  <c r="C32" i="4"/>
  <c r="M31" i="4"/>
  <c r="L31" i="4"/>
  <c r="K31" i="4"/>
  <c r="J31" i="4"/>
  <c r="I31" i="4"/>
  <c r="H31" i="4"/>
  <c r="G31" i="4"/>
  <c r="F31" i="4"/>
  <c r="E31" i="4"/>
  <c r="D31" i="4"/>
  <c r="C31" i="4"/>
  <c r="M30" i="4"/>
  <c r="L30" i="4"/>
  <c r="K30" i="4"/>
  <c r="J30" i="4"/>
  <c r="I30" i="4"/>
  <c r="H30" i="4"/>
  <c r="G30" i="4"/>
  <c r="F30" i="4"/>
  <c r="E30" i="4"/>
  <c r="D30" i="4"/>
  <c r="C30" i="4"/>
  <c r="M29" i="4"/>
  <c r="L29" i="4"/>
  <c r="K29" i="4"/>
  <c r="J29" i="4"/>
  <c r="I29" i="4"/>
  <c r="H29" i="4"/>
  <c r="G29" i="4"/>
  <c r="F29" i="4"/>
  <c r="E29" i="4"/>
  <c r="D29" i="4"/>
  <c r="C29" i="4"/>
  <c r="M28" i="4"/>
  <c r="L28" i="4"/>
  <c r="K28" i="4"/>
  <c r="J28" i="4"/>
  <c r="I28" i="4"/>
  <c r="H28" i="4"/>
  <c r="G28" i="4"/>
  <c r="F28" i="4"/>
  <c r="E28" i="4"/>
  <c r="D28" i="4"/>
  <c r="C28" i="4"/>
  <c r="M27" i="4"/>
  <c r="L27" i="4"/>
  <c r="K27" i="4"/>
  <c r="J27" i="4"/>
  <c r="I27" i="4"/>
  <c r="H27" i="4"/>
  <c r="G27" i="4"/>
  <c r="F27" i="4"/>
  <c r="E27" i="4"/>
  <c r="D27" i="4"/>
  <c r="C27" i="4"/>
  <c r="M26" i="4"/>
  <c r="L26" i="4"/>
  <c r="K26" i="4"/>
  <c r="J26" i="4"/>
  <c r="I26" i="4"/>
  <c r="H26" i="4"/>
  <c r="G26" i="4"/>
  <c r="F26" i="4"/>
  <c r="E26" i="4"/>
  <c r="D26" i="4"/>
  <c r="C26" i="4"/>
  <c r="M25" i="4"/>
  <c r="L25" i="4"/>
  <c r="K25" i="4"/>
  <c r="J25" i="4"/>
  <c r="I25" i="4"/>
  <c r="H25" i="4"/>
  <c r="G25" i="4"/>
  <c r="F25" i="4"/>
  <c r="E25" i="4"/>
  <c r="D25" i="4"/>
  <c r="C25" i="4"/>
  <c r="M24" i="4"/>
  <c r="L24" i="4"/>
  <c r="K24" i="4"/>
  <c r="J24" i="4"/>
  <c r="I24" i="4"/>
  <c r="H24" i="4"/>
  <c r="G24" i="4"/>
  <c r="F24" i="4"/>
  <c r="E24" i="4"/>
  <c r="D24" i="4"/>
  <c r="C24" i="4"/>
  <c r="M23" i="4"/>
  <c r="L23" i="4"/>
  <c r="K23" i="4"/>
  <c r="J23" i="4"/>
  <c r="I23" i="4"/>
  <c r="H23" i="4"/>
  <c r="G23" i="4"/>
  <c r="F23" i="4"/>
  <c r="E23" i="4"/>
  <c r="D23" i="4"/>
  <c r="C23" i="4"/>
  <c r="M22" i="4"/>
  <c r="L22" i="4"/>
  <c r="K22" i="4"/>
  <c r="J22" i="4"/>
  <c r="I22" i="4"/>
  <c r="H22" i="4"/>
  <c r="G22" i="4"/>
  <c r="F22" i="4"/>
  <c r="E22" i="4"/>
  <c r="D22" i="4"/>
  <c r="C22" i="4"/>
  <c r="M21" i="4"/>
  <c r="L21" i="4"/>
  <c r="K21" i="4"/>
  <c r="J21" i="4"/>
  <c r="I21" i="4"/>
  <c r="H21" i="4"/>
  <c r="G21" i="4"/>
  <c r="F21" i="4"/>
  <c r="E21" i="4"/>
  <c r="D21" i="4"/>
  <c r="C21" i="4"/>
  <c r="M20" i="4"/>
  <c r="L20" i="4"/>
  <c r="K20" i="4"/>
  <c r="J20" i="4"/>
  <c r="I20" i="4"/>
  <c r="H20" i="4"/>
  <c r="G20" i="4"/>
  <c r="F20" i="4"/>
  <c r="E20" i="4"/>
  <c r="D20" i="4"/>
  <c r="C20" i="4"/>
  <c r="M19" i="4"/>
  <c r="L19" i="4"/>
  <c r="K19" i="4"/>
  <c r="J19" i="4"/>
  <c r="I19" i="4"/>
  <c r="H19" i="4"/>
  <c r="G19" i="4"/>
  <c r="F19" i="4"/>
  <c r="E19" i="4"/>
  <c r="D19" i="4"/>
  <c r="C19" i="4"/>
  <c r="M18" i="4"/>
  <c r="L18" i="4"/>
  <c r="K18" i="4"/>
  <c r="J18" i="4"/>
  <c r="I18" i="4"/>
  <c r="H18" i="4"/>
  <c r="G18" i="4"/>
  <c r="F18" i="4"/>
  <c r="E18" i="4"/>
  <c r="D18" i="4"/>
  <c r="C18" i="4"/>
  <c r="M17" i="4"/>
  <c r="L17" i="4"/>
  <c r="K17" i="4"/>
  <c r="J17" i="4"/>
  <c r="I17" i="4"/>
  <c r="H17" i="4"/>
  <c r="G17" i="4"/>
  <c r="F17" i="4"/>
  <c r="E17" i="4"/>
  <c r="D17" i="4"/>
  <c r="C17" i="4"/>
  <c r="M16" i="4"/>
  <c r="L16" i="4"/>
  <c r="K16" i="4"/>
  <c r="J16" i="4"/>
  <c r="I16" i="4"/>
  <c r="H16" i="4"/>
  <c r="G16" i="4"/>
  <c r="F16" i="4"/>
  <c r="E16" i="4"/>
  <c r="D16" i="4"/>
  <c r="C16" i="4"/>
  <c r="M15" i="4"/>
  <c r="L15" i="4"/>
  <c r="K15" i="4"/>
  <c r="J15" i="4"/>
  <c r="I15" i="4"/>
  <c r="H15" i="4"/>
  <c r="G15" i="4"/>
  <c r="F15" i="4"/>
  <c r="E15" i="4"/>
  <c r="D15" i="4"/>
  <c r="C15" i="4"/>
  <c r="M14" i="4"/>
  <c r="L14" i="4"/>
  <c r="K14" i="4"/>
  <c r="J14" i="4"/>
  <c r="I14" i="4"/>
  <c r="H14" i="4"/>
  <c r="G14" i="4"/>
  <c r="F14" i="4"/>
  <c r="E14" i="4"/>
  <c r="D14" i="4"/>
  <c r="C14" i="4"/>
  <c r="M13" i="4"/>
  <c r="L13" i="4"/>
  <c r="K13" i="4"/>
  <c r="J13" i="4"/>
  <c r="I13" i="4"/>
  <c r="H13" i="4"/>
  <c r="G13" i="4"/>
  <c r="F13" i="4"/>
  <c r="E13" i="4"/>
  <c r="D13" i="4"/>
  <c r="C13" i="4"/>
  <c r="M12" i="4"/>
  <c r="L12" i="4"/>
  <c r="K12" i="4"/>
  <c r="J12" i="4"/>
  <c r="I12" i="4"/>
  <c r="H12" i="4"/>
  <c r="G12" i="4"/>
  <c r="F12" i="4"/>
  <c r="E12" i="4"/>
  <c r="D12" i="4"/>
  <c r="C12" i="4"/>
  <c r="M11" i="4"/>
  <c r="L11" i="4"/>
  <c r="K11" i="4"/>
  <c r="J11" i="4"/>
  <c r="I11" i="4"/>
  <c r="H11" i="4"/>
  <c r="G11" i="4"/>
  <c r="F11" i="4"/>
  <c r="E11" i="4"/>
  <c r="D11" i="4"/>
  <c r="C11" i="4"/>
  <c r="M10" i="4"/>
  <c r="L10" i="4"/>
  <c r="K10" i="4"/>
  <c r="J10" i="4"/>
  <c r="I10" i="4"/>
  <c r="H10" i="4"/>
  <c r="G10" i="4"/>
  <c r="F10" i="4"/>
  <c r="E10" i="4"/>
  <c r="D10" i="4"/>
  <c r="C10" i="4"/>
  <c r="M9" i="4"/>
  <c r="L9" i="4"/>
  <c r="K9" i="4"/>
  <c r="J9" i="4"/>
  <c r="I9" i="4"/>
  <c r="H9" i="4"/>
  <c r="G9" i="4"/>
  <c r="F9" i="4"/>
  <c r="E9" i="4"/>
  <c r="D9" i="4"/>
  <c r="C9" i="4"/>
  <c r="M8" i="4"/>
  <c r="L8" i="4"/>
  <c r="K8" i="4"/>
  <c r="J8" i="4"/>
  <c r="I8" i="4"/>
  <c r="H8" i="4"/>
  <c r="G8" i="4"/>
  <c r="F8" i="4"/>
  <c r="E8" i="4"/>
  <c r="D8" i="4"/>
  <c r="C8" i="4"/>
  <c r="M7" i="4"/>
  <c r="L7" i="4"/>
  <c r="K7" i="4"/>
  <c r="J7" i="4"/>
  <c r="I7" i="4"/>
  <c r="H7" i="4"/>
  <c r="G7" i="4"/>
  <c r="F7" i="4"/>
  <c r="E7" i="4"/>
  <c r="D7" i="4"/>
  <c r="C7" i="4"/>
  <c r="M6" i="4"/>
  <c r="L6" i="4"/>
  <c r="K6" i="4"/>
  <c r="J6" i="4"/>
  <c r="I6" i="4"/>
  <c r="H6" i="4"/>
  <c r="G6" i="4"/>
  <c r="F6" i="4"/>
  <c r="E6" i="4"/>
  <c r="D6" i="4"/>
  <c r="C6" i="4"/>
  <c r="M5" i="4"/>
  <c r="L5" i="4"/>
  <c r="K5" i="4"/>
  <c r="J5" i="4"/>
  <c r="I5" i="4"/>
  <c r="H5" i="4"/>
  <c r="G5" i="4"/>
  <c r="F5" i="4"/>
  <c r="E5" i="4"/>
  <c r="D5" i="4"/>
  <c r="C5" i="4"/>
  <c r="M4" i="4"/>
  <c r="L4" i="4"/>
  <c r="K4" i="4"/>
  <c r="J4" i="4"/>
  <c r="I4" i="4"/>
  <c r="H4" i="4"/>
  <c r="G4" i="4"/>
  <c r="F4" i="4"/>
  <c r="E4" i="4"/>
  <c r="D4" i="4"/>
  <c r="C4" i="4"/>
  <c r="M3" i="4"/>
  <c r="L3" i="4"/>
  <c r="K3" i="4"/>
  <c r="J3" i="4"/>
  <c r="I3" i="4"/>
  <c r="H3" i="4"/>
  <c r="G3" i="4"/>
  <c r="F3" i="4"/>
  <c r="E3" i="4"/>
  <c r="D3" i="4"/>
  <c r="C3" i="4"/>
  <c r="M2" i="4"/>
  <c r="L2" i="4"/>
  <c r="K2" i="4"/>
  <c r="J2" i="4"/>
  <c r="I2" i="4"/>
  <c r="H2" i="4"/>
  <c r="G2" i="4"/>
  <c r="F2" i="4"/>
  <c r="E2" i="4"/>
  <c r="D2" i="4"/>
  <c r="C2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2" i="4"/>
  <c r="P46" i="3"/>
  <c r="O46" i="3"/>
  <c r="N46" i="3"/>
  <c r="M46" i="3"/>
  <c r="L46" i="3"/>
  <c r="K46" i="3"/>
  <c r="J46" i="3"/>
  <c r="I46" i="3"/>
  <c r="H46" i="3"/>
  <c r="G46" i="3"/>
  <c r="F46" i="3"/>
  <c r="E46" i="3"/>
  <c r="D46" i="3"/>
  <c r="C46" i="3"/>
  <c r="B46" i="3"/>
  <c r="R43" i="2"/>
  <c r="Q43" i="2"/>
  <c r="P43" i="2"/>
  <c r="O43" i="2"/>
  <c r="N43" i="2"/>
  <c r="M43" i="2"/>
  <c r="L43" i="2"/>
  <c r="K43" i="2"/>
  <c r="J43" i="2"/>
  <c r="I43" i="2"/>
  <c r="H43" i="2"/>
  <c r="G43" i="2"/>
  <c r="F43" i="2"/>
  <c r="E43" i="2"/>
  <c r="D43" i="2"/>
  <c r="C43" i="2"/>
  <c r="B43" i="2"/>
  <c r="U40" i="1"/>
  <c r="T40" i="1"/>
  <c r="S40" i="1"/>
  <c r="R40" i="1"/>
  <c r="Q40" i="1"/>
  <c r="P40" i="1"/>
  <c r="O40" i="1"/>
  <c r="N40" i="1"/>
  <c r="M40" i="1"/>
  <c r="L40" i="1"/>
  <c r="K40" i="1"/>
  <c r="J40" i="1"/>
  <c r="I40" i="1"/>
  <c r="H40" i="1"/>
  <c r="G40" i="1"/>
  <c r="F40" i="1"/>
  <c r="E40" i="1"/>
  <c r="D40" i="1"/>
  <c r="C40" i="1"/>
  <c r="B40" i="1"/>
  <c r="U50" i="1"/>
  <c r="T50" i="1"/>
  <c r="S50" i="1"/>
  <c r="R50" i="1"/>
  <c r="Q50" i="1"/>
  <c r="P50" i="1"/>
  <c r="O50" i="1"/>
  <c r="N50" i="1"/>
  <c r="M50" i="1"/>
  <c r="L50" i="1"/>
  <c r="K50" i="1"/>
  <c r="J50" i="1"/>
  <c r="I50" i="1"/>
  <c r="H50" i="1"/>
  <c r="G50" i="1"/>
  <c r="F50" i="1"/>
  <c r="E50" i="1"/>
  <c r="D50" i="1"/>
  <c r="C50" i="1"/>
  <c r="B50" i="1"/>
  <c r="C48" i="1"/>
  <c r="D48" i="1"/>
  <c r="E48" i="1"/>
  <c r="F48" i="1"/>
  <c r="G48" i="1"/>
  <c r="H48" i="1"/>
  <c r="I48" i="1"/>
  <c r="J48" i="1"/>
  <c r="K48" i="1"/>
  <c r="L48" i="1"/>
  <c r="M48" i="1"/>
  <c r="N48" i="1"/>
  <c r="O48" i="1"/>
  <c r="P48" i="1"/>
  <c r="Q48" i="1"/>
  <c r="R48" i="1"/>
  <c r="S48" i="1"/>
  <c r="T48" i="1"/>
  <c r="U48" i="1"/>
  <c r="C49" i="1"/>
  <c r="D49" i="1"/>
  <c r="E49" i="1"/>
  <c r="F49" i="1"/>
  <c r="G49" i="1"/>
  <c r="H49" i="1"/>
  <c r="I49" i="1"/>
  <c r="J49" i="1"/>
  <c r="K49" i="1"/>
  <c r="L49" i="1"/>
  <c r="M49" i="1"/>
  <c r="N49" i="1"/>
  <c r="O49" i="1"/>
  <c r="P49" i="1"/>
  <c r="Q49" i="1"/>
  <c r="R49" i="1"/>
  <c r="S49" i="1"/>
  <c r="T49" i="1"/>
  <c r="U49" i="1"/>
  <c r="B49" i="1"/>
  <c r="B48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F42" i="1"/>
  <c r="E42" i="1"/>
  <c r="D42" i="1"/>
  <c r="C42" i="1"/>
  <c r="U2" i="1"/>
  <c r="U44" i="1" s="1"/>
  <c r="U52" i="1" s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1" i="1"/>
  <c r="S2" i="1"/>
  <c r="S44" i="1" s="1"/>
  <c r="S52" i="1" s="1"/>
  <c r="T2" i="1"/>
  <c r="T44" i="1" s="1"/>
  <c r="T52" i="1" s="1"/>
  <c r="S3" i="1"/>
  <c r="T3" i="1"/>
  <c r="S4" i="1"/>
  <c r="T4" i="1"/>
  <c r="S5" i="1"/>
  <c r="T5" i="1"/>
  <c r="S6" i="1"/>
  <c r="T6" i="1"/>
  <c r="S7" i="1"/>
  <c r="T7" i="1"/>
  <c r="S8" i="1"/>
  <c r="T8" i="1"/>
  <c r="S9" i="1"/>
  <c r="T9" i="1"/>
  <c r="S10" i="1"/>
  <c r="T10" i="1"/>
  <c r="S11" i="1"/>
  <c r="T11" i="1"/>
  <c r="S12" i="1"/>
  <c r="T12" i="1"/>
  <c r="S13" i="1"/>
  <c r="T13" i="1"/>
  <c r="S14" i="1"/>
  <c r="T14" i="1"/>
  <c r="S15" i="1"/>
  <c r="T15" i="1"/>
  <c r="S16" i="1"/>
  <c r="T16" i="1"/>
  <c r="S17" i="1"/>
  <c r="T17" i="1"/>
  <c r="S18" i="1"/>
  <c r="T18" i="1"/>
  <c r="S19" i="1"/>
  <c r="T19" i="1"/>
  <c r="S20" i="1"/>
  <c r="T20" i="1"/>
  <c r="S21" i="1"/>
  <c r="T21" i="1"/>
  <c r="S22" i="1"/>
  <c r="T22" i="1"/>
  <c r="S23" i="1"/>
  <c r="T23" i="1"/>
  <c r="S24" i="1"/>
  <c r="T24" i="1"/>
  <c r="S25" i="1"/>
  <c r="T25" i="1"/>
  <c r="S26" i="1"/>
  <c r="T26" i="1"/>
  <c r="S27" i="1"/>
  <c r="T27" i="1"/>
  <c r="S28" i="1"/>
  <c r="T28" i="1"/>
  <c r="S29" i="1"/>
  <c r="T29" i="1"/>
  <c r="S30" i="1"/>
  <c r="T30" i="1"/>
  <c r="S31" i="1"/>
  <c r="T31" i="1"/>
  <c r="S32" i="1"/>
  <c r="T32" i="1"/>
  <c r="S33" i="1"/>
  <c r="T33" i="1"/>
  <c r="S34" i="1"/>
  <c r="T34" i="1"/>
  <c r="S35" i="1"/>
  <c r="T35" i="1"/>
  <c r="S36" i="1"/>
  <c r="T36" i="1"/>
  <c r="S37" i="1"/>
  <c r="T37" i="1"/>
  <c r="S38" i="1"/>
  <c r="T38" i="1"/>
  <c r="S39" i="1"/>
  <c r="T39" i="1"/>
  <c r="S41" i="1"/>
  <c r="T41" i="1"/>
  <c r="C2" i="1"/>
  <c r="C44" i="1" s="1"/>
  <c r="C52" i="1" s="1"/>
  <c r="D2" i="1"/>
  <c r="D44" i="1" s="1"/>
  <c r="D52" i="1" s="1"/>
  <c r="E2" i="1"/>
  <c r="E44" i="1" s="1"/>
  <c r="E52" i="1" s="1"/>
  <c r="F2" i="1"/>
  <c r="F44" i="1" s="1"/>
  <c r="F52" i="1" s="1"/>
  <c r="G2" i="1"/>
  <c r="H2" i="1"/>
  <c r="H44" i="1" s="1"/>
  <c r="H52" i="1" s="1"/>
  <c r="I2" i="1"/>
  <c r="I44" i="1" s="1"/>
  <c r="I52" i="1" s="1"/>
  <c r="J2" i="1"/>
  <c r="J44" i="1" s="1"/>
  <c r="J52" i="1" s="1"/>
  <c r="K2" i="1"/>
  <c r="K44" i="1" s="1"/>
  <c r="K52" i="1" s="1"/>
  <c r="L2" i="1"/>
  <c r="L44" i="1" s="1"/>
  <c r="L52" i="1" s="1"/>
  <c r="M2" i="1"/>
  <c r="M44" i="1" s="1"/>
  <c r="M52" i="1" s="1"/>
  <c r="N2" i="1"/>
  <c r="N44" i="1" s="1"/>
  <c r="N52" i="1" s="1"/>
  <c r="O2" i="1"/>
  <c r="P2" i="1"/>
  <c r="P44" i="1" s="1"/>
  <c r="P52" i="1" s="1"/>
  <c r="Q2" i="1"/>
  <c r="Q44" i="1" s="1"/>
  <c r="Q52" i="1" s="1"/>
  <c r="R2" i="1"/>
  <c r="R44" i="1" s="1"/>
  <c r="R52" i="1" s="1"/>
  <c r="C3" i="1"/>
  <c r="D3" i="1"/>
  <c r="E3" i="1"/>
  <c r="F3" i="1"/>
  <c r="G3" i="1"/>
  <c r="H3" i="1"/>
  <c r="I3" i="1"/>
  <c r="J3" i="1"/>
  <c r="K3" i="1"/>
  <c r="L3" i="1"/>
  <c r="M3" i="1"/>
  <c r="N3" i="1"/>
  <c r="O3" i="1"/>
  <c r="P3" i="1"/>
  <c r="Q3" i="1"/>
  <c r="R3" i="1"/>
  <c r="C4" i="1"/>
  <c r="D4" i="1"/>
  <c r="E4" i="1"/>
  <c r="F4" i="1"/>
  <c r="G4" i="1"/>
  <c r="H4" i="1"/>
  <c r="I4" i="1"/>
  <c r="J4" i="1"/>
  <c r="K4" i="1"/>
  <c r="L4" i="1"/>
  <c r="M4" i="1"/>
  <c r="N4" i="1"/>
  <c r="O4" i="1"/>
  <c r="P4" i="1"/>
  <c r="Q4" i="1"/>
  <c r="R4" i="1"/>
  <c r="C5" i="1"/>
  <c r="D5" i="1"/>
  <c r="E5" i="1"/>
  <c r="F5" i="1"/>
  <c r="G5" i="1"/>
  <c r="H5" i="1"/>
  <c r="I5" i="1"/>
  <c r="J5" i="1"/>
  <c r="K5" i="1"/>
  <c r="L5" i="1"/>
  <c r="M5" i="1"/>
  <c r="N5" i="1"/>
  <c r="O5" i="1"/>
  <c r="P5" i="1"/>
  <c r="Q5" i="1"/>
  <c r="R5" i="1"/>
  <c r="C6" i="1"/>
  <c r="D6" i="1"/>
  <c r="E6" i="1"/>
  <c r="F6" i="1"/>
  <c r="G6" i="1"/>
  <c r="H6" i="1"/>
  <c r="I6" i="1"/>
  <c r="J6" i="1"/>
  <c r="K6" i="1"/>
  <c r="L6" i="1"/>
  <c r="M6" i="1"/>
  <c r="N6" i="1"/>
  <c r="O6" i="1"/>
  <c r="P6" i="1"/>
  <c r="Q6" i="1"/>
  <c r="R6" i="1"/>
  <c r="C7" i="1"/>
  <c r="D7" i="1"/>
  <c r="E7" i="1"/>
  <c r="F7" i="1"/>
  <c r="G7" i="1"/>
  <c r="H7" i="1"/>
  <c r="I7" i="1"/>
  <c r="J7" i="1"/>
  <c r="K7" i="1"/>
  <c r="L7" i="1"/>
  <c r="M7" i="1"/>
  <c r="N7" i="1"/>
  <c r="O7" i="1"/>
  <c r="P7" i="1"/>
  <c r="Q7" i="1"/>
  <c r="R7" i="1"/>
  <c r="C8" i="1"/>
  <c r="D8" i="1"/>
  <c r="E8" i="1"/>
  <c r="F8" i="1"/>
  <c r="G8" i="1"/>
  <c r="H8" i="1"/>
  <c r="I8" i="1"/>
  <c r="J8" i="1"/>
  <c r="K8" i="1"/>
  <c r="L8" i="1"/>
  <c r="M8" i="1"/>
  <c r="N8" i="1"/>
  <c r="O8" i="1"/>
  <c r="P8" i="1"/>
  <c r="Q8" i="1"/>
  <c r="R8" i="1"/>
  <c r="C9" i="1"/>
  <c r="D9" i="1"/>
  <c r="E9" i="1"/>
  <c r="F9" i="1"/>
  <c r="G9" i="1"/>
  <c r="H9" i="1"/>
  <c r="I9" i="1"/>
  <c r="J9" i="1"/>
  <c r="K9" i="1"/>
  <c r="L9" i="1"/>
  <c r="M9" i="1"/>
  <c r="N9" i="1"/>
  <c r="O9" i="1"/>
  <c r="P9" i="1"/>
  <c r="Q9" i="1"/>
  <c r="R9" i="1"/>
  <c r="C10" i="1"/>
  <c r="D10" i="1"/>
  <c r="E10" i="1"/>
  <c r="F10" i="1"/>
  <c r="G10" i="1"/>
  <c r="H10" i="1"/>
  <c r="I10" i="1"/>
  <c r="J10" i="1"/>
  <c r="K10" i="1"/>
  <c r="L10" i="1"/>
  <c r="M10" i="1"/>
  <c r="N10" i="1"/>
  <c r="O10" i="1"/>
  <c r="P10" i="1"/>
  <c r="Q10" i="1"/>
  <c r="R10" i="1"/>
  <c r="C11" i="1"/>
  <c r="D11" i="1"/>
  <c r="E11" i="1"/>
  <c r="F11" i="1"/>
  <c r="G11" i="1"/>
  <c r="H11" i="1"/>
  <c r="I11" i="1"/>
  <c r="J11" i="1"/>
  <c r="K11" i="1"/>
  <c r="L11" i="1"/>
  <c r="M11" i="1"/>
  <c r="N11" i="1"/>
  <c r="O11" i="1"/>
  <c r="P11" i="1"/>
  <c r="Q11" i="1"/>
  <c r="R11" i="1"/>
  <c r="C12" i="1"/>
  <c r="D12" i="1"/>
  <c r="E12" i="1"/>
  <c r="F12" i="1"/>
  <c r="G12" i="1"/>
  <c r="H12" i="1"/>
  <c r="I12" i="1"/>
  <c r="J12" i="1"/>
  <c r="K12" i="1"/>
  <c r="L12" i="1"/>
  <c r="M12" i="1"/>
  <c r="N12" i="1"/>
  <c r="O12" i="1"/>
  <c r="P12" i="1"/>
  <c r="Q12" i="1"/>
  <c r="R12" i="1"/>
  <c r="C13" i="1"/>
  <c r="D13" i="1"/>
  <c r="E13" i="1"/>
  <c r="F13" i="1"/>
  <c r="G13" i="1"/>
  <c r="H13" i="1"/>
  <c r="I13" i="1"/>
  <c r="J13" i="1"/>
  <c r="K13" i="1"/>
  <c r="L13" i="1"/>
  <c r="M13" i="1"/>
  <c r="N13" i="1"/>
  <c r="O13" i="1"/>
  <c r="P13" i="1"/>
  <c r="Q13" i="1"/>
  <c r="R13" i="1"/>
  <c r="C14" i="1"/>
  <c r="D14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C15" i="1"/>
  <c r="D15" i="1"/>
  <c r="E15" i="1"/>
  <c r="F15" i="1"/>
  <c r="G15" i="1"/>
  <c r="H15" i="1"/>
  <c r="I15" i="1"/>
  <c r="J15" i="1"/>
  <c r="K15" i="1"/>
  <c r="L15" i="1"/>
  <c r="M15" i="1"/>
  <c r="N15" i="1"/>
  <c r="O15" i="1"/>
  <c r="P15" i="1"/>
  <c r="Q15" i="1"/>
  <c r="R15" i="1"/>
  <c r="C16" i="1"/>
  <c r="D16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C17" i="1"/>
  <c r="D17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C18" i="1"/>
  <c r="D18" i="1"/>
  <c r="E18" i="1"/>
  <c r="F18" i="1"/>
  <c r="G18" i="1"/>
  <c r="H18" i="1"/>
  <c r="I18" i="1"/>
  <c r="J18" i="1"/>
  <c r="K18" i="1"/>
  <c r="L18" i="1"/>
  <c r="M18" i="1"/>
  <c r="N18" i="1"/>
  <c r="O18" i="1"/>
  <c r="P18" i="1"/>
  <c r="Q18" i="1"/>
  <c r="R18" i="1"/>
  <c r="C19" i="1"/>
  <c r="D19" i="1"/>
  <c r="E19" i="1"/>
  <c r="F19" i="1"/>
  <c r="G19" i="1"/>
  <c r="H19" i="1"/>
  <c r="I19" i="1"/>
  <c r="J19" i="1"/>
  <c r="K19" i="1"/>
  <c r="L19" i="1"/>
  <c r="M19" i="1"/>
  <c r="N19" i="1"/>
  <c r="O19" i="1"/>
  <c r="P19" i="1"/>
  <c r="Q19" i="1"/>
  <c r="R19" i="1"/>
  <c r="C20" i="1"/>
  <c r="D20" i="1"/>
  <c r="E20" i="1"/>
  <c r="F20" i="1"/>
  <c r="G20" i="1"/>
  <c r="H20" i="1"/>
  <c r="I20" i="1"/>
  <c r="J20" i="1"/>
  <c r="K20" i="1"/>
  <c r="L20" i="1"/>
  <c r="M20" i="1"/>
  <c r="N20" i="1"/>
  <c r="O20" i="1"/>
  <c r="P20" i="1"/>
  <c r="Q20" i="1"/>
  <c r="R20" i="1"/>
  <c r="C21" i="1"/>
  <c r="D21" i="1"/>
  <c r="E21" i="1"/>
  <c r="F21" i="1"/>
  <c r="G21" i="1"/>
  <c r="H21" i="1"/>
  <c r="I21" i="1"/>
  <c r="J21" i="1"/>
  <c r="K21" i="1"/>
  <c r="L21" i="1"/>
  <c r="M21" i="1"/>
  <c r="N21" i="1"/>
  <c r="O21" i="1"/>
  <c r="P21" i="1"/>
  <c r="Q21" i="1"/>
  <c r="R21" i="1"/>
  <c r="C22" i="1"/>
  <c r="D22" i="1"/>
  <c r="E22" i="1"/>
  <c r="F22" i="1"/>
  <c r="G22" i="1"/>
  <c r="H22" i="1"/>
  <c r="I22" i="1"/>
  <c r="J22" i="1"/>
  <c r="K22" i="1"/>
  <c r="L22" i="1"/>
  <c r="M22" i="1"/>
  <c r="N22" i="1"/>
  <c r="O22" i="1"/>
  <c r="P22" i="1"/>
  <c r="Q22" i="1"/>
  <c r="R22" i="1"/>
  <c r="C23" i="1"/>
  <c r="D23" i="1"/>
  <c r="E23" i="1"/>
  <c r="F23" i="1"/>
  <c r="G23" i="1"/>
  <c r="H23" i="1"/>
  <c r="I23" i="1"/>
  <c r="J23" i="1"/>
  <c r="K23" i="1"/>
  <c r="L23" i="1"/>
  <c r="M23" i="1"/>
  <c r="N23" i="1"/>
  <c r="O23" i="1"/>
  <c r="P23" i="1"/>
  <c r="Q23" i="1"/>
  <c r="R23" i="1"/>
  <c r="C24" i="1"/>
  <c r="D24" i="1"/>
  <c r="E24" i="1"/>
  <c r="F24" i="1"/>
  <c r="G24" i="1"/>
  <c r="H24" i="1"/>
  <c r="I24" i="1"/>
  <c r="J24" i="1"/>
  <c r="K24" i="1"/>
  <c r="L24" i="1"/>
  <c r="M24" i="1"/>
  <c r="N24" i="1"/>
  <c r="O24" i="1"/>
  <c r="P24" i="1"/>
  <c r="Q24" i="1"/>
  <c r="R24" i="1"/>
  <c r="C25" i="1"/>
  <c r="D25" i="1"/>
  <c r="E25" i="1"/>
  <c r="F25" i="1"/>
  <c r="G25" i="1"/>
  <c r="H25" i="1"/>
  <c r="I25" i="1"/>
  <c r="J25" i="1"/>
  <c r="K25" i="1"/>
  <c r="L25" i="1"/>
  <c r="M25" i="1"/>
  <c r="N25" i="1"/>
  <c r="O25" i="1"/>
  <c r="P25" i="1"/>
  <c r="Q25" i="1"/>
  <c r="R25" i="1"/>
  <c r="C26" i="1"/>
  <c r="D26" i="1"/>
  <c r="E26" i="1"/>
  <c r="F26" i="1"/>
  <c r="G26" i="1"/>
  <c r="H26" i="1"/>
  <c r="I26" i="1"/>
  <c r="J26" i="1"/>
  <c r="K26" i="1"/>
  <c r="L26" i="1"/>
  <c r="M26" i="1"/>
  <c r="N26" i="1"/>
  <c r="O26" i="1"/>
  <c r="P26" i="1"/>
  <c r="Q26" i="1"/>
  <c r="R26" i="1"/>
  <c r="C27" i="1"/>
  <c r="D27" i="1"/>
  <c r="E27" i="1"/>
  <c r="F27" i="1"/>
  <c r="G27" i="1"/>
  <c r="H27" i="1"/>
  <c r="I27" i="1"/>
  <c r="J27" i="1"/>
  <c r="K27" i="1"/>
  <c r="L27" i="1"/>
  <c r="M27" i="1"/>
  <c r="N27" i="1"/>
  <c r="O27" i="1"/>
  <c r="P27" i="1"/>
  <c r="Q27" i="1"/>
  <c r="R27" i="1"/>
  <c r="C28" i="1"/>
  <c r="D28" i="1"/>
  <c r="E28" i="1"/>
  <c r="F28" i="1"/>
  <c r="G28" i="1"/>
  <c r="H28" i="1"/>
  <c r="I28" i="1"/>
  <c r="J28" i="1"/>
  <c r="K28" i="1"/>
  <c r="L28" i="1"/>
  <c r="M28" i="1"/>
  <c r="N28" i="1"/>
  <c r="O28" i="1"/>
  <c r="P28" i="1"/>
  <c r="Q28" i="1"/>
  <c r="R28" i="1"/>
  <c r="C29" i="1"/>
  <c r="D29" i="1"/>
  <c r="E29" i="1"/>
  <c r="F29" i="1"/>
  <c r="G29" i="1"/>
  <c r="H29" i="1"/>
  <c r="I29" i="1"/>
  <c r="J29" i="1"/>
  <c r="K29" i="1"/>
  <c r="L29" i="1"/>
  <c r="M29" i="1"/>
  <c r="N29" i="1"/>
  <c r="O29" i="1"/>
  <c r="P29" i="1"/>
  <c r="Q29" i="1"/>
  <c r="R29" i="1"/>
  <c r="C30" i="1"/>
  <c r="D30" i="1"/>
  <c r="E30" i="1"/>
  <c r="F30" i="1"/>
  <c r="G30" i="1"/>
  <c r="H30" i="1"/>
  <c r="I30" i="1"/>
  <c r="J30" i="1"/>
  <c r="K30" i="1"/>
  <c r="L30" i="1"/>
  <c r="M30" i="1"/>
  <c r="N30" i="1"/>
  <c r="O30" i="1"/>
  <c r="P30" i="1"/>
  <c r="Q30" i="1"/>
  <c r="R30" i="1"/>
  <c r="C31" i="1"/>
  <c r="D31" i="1"/>
  <c r="E31" i="1"/>
  <c r="F31" i="1"/>
  <c r="G31" i="1"/>
  <c r="H31" i="1"/>
  <c r="I31" i="1"/>
  <c r="J31" i="1"/>
  <c r="K31" i="1"/>
  <c r="L31" i="1"/>
  <c r="M31" i="1"/>
  <c r="N31" i="1"/>
  <c r="O31" i="1"/>
  <c r="P31" i="1"/>
  <c r="Q31" i="1"/>
  <c r="R31" i="1"/>
  <c r="C32" i="1"/>
  <c r="D32" i="1"/>
  <c r="E32" i="1"/>
  <c r="F32" i="1"/>
  <c r="G32" i="1"/>
  <c r="H32" i="1"/>
  <c r="I32" i="1"/>
  <c r="J32" i="1"/>
  <c r="K32" i="1"/>
  <c r="L32" i="1"/>
  <c r="M32" i="1"/>
  <c r="N32" i="1"/>
  <c r="O32" i="1"/>
  <c r="P32" i="1"/>
  <c r="Q32" i="1"/>
  <c r="R32" i="1"/>
  <c r="C33" i="1"/>
  <c r="D33" i="1"/>
  <c r="E33" i="1"/>
  <c r="F33" i="1"/>
  <c r="G33" i="1"/>
  <c r="H33" i="1"/>
  <c r="I33" i="1"/>
  <c r="J33" i="1"/>
  <c r="K33" i="1"/>
  <c r="L33" i="1"/>
  <c r="M33" i="1"/>
  <c r="N33" i="1"/>
  <c r="O33" i="1"/>
  <c r="P33" i="1"/>
  <c r="Q33" i="1"/>
  <c r="R33" i="1"/>
  <c r="C34" i="1"/>
  <c r="D34" i="1"/>
  <c r="E34" i="1"/>
  <c r="F34" i="1"/>
  <c r="G34" i="1"/>
  <c r="H34" i="1"/>
  <c r="I34" i="1"/>
  <c r="J34" i="1"/>
  <c r="K34" i="1"/>
  <c r="L34" i="1"/>
  <c r="M34" i="1"/>
  <c r="N34" i="1"/>
  <c r="O34" i="1"/>
  <c r="P34" i="1"/>
  <c r="Q34" i="1"/>
  <c r="R34" i="1"/>
  <c r="C35" i="1"/>
  <c r="D35" i="1"/>
  <c r="E35" i="1"/>
  <c r="F35" i="1"/>
  <c r="G35" i="1"/>
  <c r="H35" i="1"/>
  <c r="I35" i="1"/>
  <c r="J35" i="1"/>
  <c r="K35" i="1"/>
  <c r="L35" i="1"/>
  <c r="M35" i="1"/>
  <c r="N35" i="1"/>
  <c r="O35" i="1"/>
  <c r="P35" i="1"/>
  <c r="Q35" i="1"/>
  <c r="R35" i="1"/>
  <c r="C36" i="1"/>
  <c r="D36" i="1"/>
  <c r="E36" i="1"/>
  <c r="F36" i="1"/>
  <c r="G36" i="1"/>
  <c r="H36" i="1"/>
  <c r="I36" i="1"/>
  <c r="J36" i="1"/>
  <c r="K36" i="1"/>
  <c r="L36" i="1"/>
  <c r="M36" i="1"/>
  <c r="N36" i="1"/>
  <c r="O36" i="1"/>
  <c r="P36" i="1"/>
  <c r="Q36" i="1"/>
  <c r="R36" i="1"/>
  <c r="C37" i="1"/>
  <c r="D37" i="1"/>
  <c r="E37" i="1"/>
  <c r="F37" i="1"/>
  <c r="G37" i="1"/>
  <c r="H37" i="1"/>
  <c r="I37" i="1"/>
  <c r="J37" i="1"/>
  <c r="K37" i="1"/>
  <c r="L37" i="1"/>
  <c r="M37" i="1"/>
  <c r="N37" i="1"/>
  <c r="O37" i="1"/>
  <c r="P37" i="1"/>
  <c r="Q37" i="1"/>
  <c r="R37" i="1"/>
  <c r="C38" i="1"/>
  <c r="D38" i="1"/>
  <c r="E38" i="1"/>
  <c r="F38" i="1"/>
  <c r="G38" i="1"/>
  <c r="H38" i="1"/>
  <c r="I38" i="1"/>
  <c r="J38" i="1"/>
  <c r="K38" i="1"/>
  <c r="L38" i="1"/>
  <c r="M38" i="1"/>
  <c r="N38" i="1"/>
  <c r="O38" i="1"/>
  <c r="P38" i="1"/>
  <c r="Q38" i="1"/>
  <c r="R38" i="1"/>
  <c r="C39" i="1"/>
  <c r="D39" i="1"/>
  <c r="E39" i="1"/>
  <c r="F39" i="1"/>
  <c r="G39" i="1"/>
  <c r="H39" i="1"/>
  <c r="I39" i="1"/>
  <c r="J39" i="1"/>
  <c r="K39" i="1"/>
  <c r="L39" i="1"/>
  <c r="M39" i="1"/>
  <c r="N39" i="1"/>
  <c r="O39" i="1"/>
  <c r="P39" i="1"/>
  <c r="Q39" i="1"/>
  <c r="R39" i="1"/>
  <c r="C41" i="1"/>
  <c r="D41" i="1"/>
  <c r="E41" i="1"/>
  <c r="F41" i="1"/>
  <c r="G41" i="1"/>
  <c r="H41" i="1"/>
  <c r="I41" i="1"/>
  <c r="J41" i="1"/>
  <c r="K41" i="1"/>
  <c r="L41" i="1"/>
  <c r="M41" i="1"/>
  <c r="N41" i="1"/>
  <c r="O41" i="1"/>
  <c r="P41" i="1"/>
  <c r="Q41" i="1"/>
  <c r="R41" i="1"/>
  <c r="B8" i="1"/>
  <c r="B3" i="1"/>
  <c r="B4" i="1"/>
  <c r="B5" i="1"/>
  <c r="B6" i="1"/>
  <c r="B7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1" i="1"/>
  <c r="B42" i="1"/>
  <c r="B2" i="1"/>
  <c r="B44" i="1" s="1"/>
  <c r="B52" i="1" s="1"/>
  <c r="I53" i="1" l="1"/>
  <c r="Q45" i="1"/>
  <c r="J53" i="1"/>
  <c r="R53" i="1"/>
  <c r="G45" i="1"/>
  <c r="O45" i="1"/>
  <c r="C45" i="1"/>
  <c r="K45" i="1"/>
  <c r="S53" i="1"/>
  <c r="L53" i="1"/>
  <c r="D45" i="1"/>
  <c r="L45" i="1"/>
  <c r="T45" i="1"/>
  <c r="C53" i="1"/>
  <c r="S45" i="1"/>
  <c r="E45" i="1"/>
  <c r="M45" i="1"/>
  <c r="U53" i="1"/>
  <c r="R45" i="1"/>
  <c r="F45" i="1"/>
  <c r="N45" i="1"/>
  <c r="J45" i="1"/>
  <c r="B45" i="1"/>
  <c r="I45" i="1"/>
  <c r="H45" i="1"/>
  <c r="P45" i="1"/>
  <c r="B53" i="1"/>
  <c r="K53" i="1"/>
  <c r="T53" i="1"/>
  <c r="D53" i="1"/>
  <c r="M53" i="1"/>
  <c r="U45" i="1"/>
  <c r="E53" i="1"/>
  <c r="N53" i="1"/>
  <c r="F53" i="1"/>
  <c r="P53" i="1"/>
  <c r="H53" i="1"/>
  <c r="Q53" i="1"/>
  <c r="G53" i="1"/>
  <c r="O53" i="1"/>
</calcChain>
</file>

<file path=xl/comments1.xml><?xml version="1.0" encoding="utf-8"?>
<comments xmlns="http://schemas.openxmlformats.org/spreadsheetml/2006/main">
  <authors>
    <author>Autor</author>
  </authors>
  <commentList>
    <comment ref="A60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Fonte: National Statistics
https://eng.stat.gov.tw/ct.asp?xItem=42761&amp;ctNode=1609&amp;mp=5
</t>
        </r>
      </text>
    </comment>
  </commentList>
</comments>
</file>

<file path=xl/comments2.xml><?xml version="1.0" encoding="utf-8"?>
<comments xmlns="http://schemas.openxmlformats.org/spreadsheetml/2006/main">
  <authors>
    <author>Autor</author>
  </authors>
  <commentList>
    <comment ref="A60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Fonte: National Statistics
https://eng.stat.gov.tw/ct.asp?xItem=42761&amp;ctNode=1609&amp;mp=5
</t>
        </r>
      </text>
    </comment>
  </commentList>
</comments>
</file>

<file path=xl/sharedStrings.xml><?xml version="1.0" encoding="utf-8"?>
<sst xmlns="http://schemas.openxmlformats.org/spreadsheetml/2006/main" count="259" uniqueCount="77">
  <si>
    <t>AUS</t>
  </si>
  <si>
    <t>AUT</t>
  </si>
  <si>
    <t>BEL</t>
  </si>
  <si>
    <t>BGR</t>
  </si>
  <si>
    <t>BRA</t>
  </si>
  <si>
    <t>CAN</t>
  </si>
  <si>
    <t>CHN</t>
  </si>
  <si>
    <t>CYP</t>
  </si>
  <si>
    <t>CZE</t>
  </si>
  <si>
    <t>DEU</t>
  </si>
  <si>
    <t>DNK</t>
  </si>
  <si>
    <t>ESP</t>
  </si>
  <si>
    <t>EST</t>
  </si>
  <si>
    <t>FIN</t>
  </si>
  <si>
    <t>FRA</t>
  </si>
  <si>
    <t>GBR</t>
  </si>
  <si>
    <t>GRC</t>
  </si>
  <si>
    <t>HUN</t>
  </si>
  <si>
    <t>IDN</t>
  </si>
  <si>
    <t>IND</t>
  </si>
  <si>
    <t>IRL</t>
  </si>
  <si>
    <t>ITA</t>
  </si>
  <si>
    <t>JPN</t>
  </si>
  <si>
    <t>KOR</t>
  </si>
  <si>
    <t>LTU</t>
  </si>
  <si>
    <t>LUX</t>
  </si>
  <si>
    <t>LVA</t>
  </si>
  <si>
    <t>MEX</t>
  </si>
  <si>
    <t>MLT</t>
  </si>
  <si>
    <t>NLD</t>
  </si>
  <si>
    <t>POL</t>
  </si>
  <si>
    <t>PRT</t>
  </si>
  <si>
    <t>ROU</t>
  </si>
  <si>
    <t>RUS</t>
  </si>
  <si>
    <t>SVK</t>
  </si>
  <si>
    <t>SVN</t>
  </si>
  <si>
    <t>SWE</t>
  </si>
  <si>
    <t>TUR</t>
  </si>
  <si>
    <t>TWN</t>
  </si>
  <si>
    <t>USA</t>
  </si>
  <si>
    <t>WLD</t>
  </si>
  <si>
    <t>Country</t>
  </si>
  <si>
    <t>_1995</t>
  </si>
  <si>
    <t>_1996</t>
  </si>
  <si>
    <t>_1997</t>
  </si>
  <si>
    <t>_1998</t>
  </si>
  <si>
    <t>_1999</t>
  </si>
  <si>
    <t>_2000</t>
  </si>
  <si>
    <t>_2001</t>
  </si>
  <si>
    <t>_2002</t>
  </si>
  <si>
    <t>_2003</t>
  </si>
  <si>
    <t>_2004</t>
  </si>
  <si>
    <t>_2005</t>
  </si>
  <si>
    <t>_2006</t>
  </si>
  <si>
    <t>_2007</t>
  </si>
  <si>
    <t>_2008</t>
  </si>
  <si>
    <t>_2009</t>
  </si>
  <si>
    <t>_2010</t>
  </si>
  <si>
    <t>_2011</t>
  </si>
  <si>
    <t>CHE</t>
  </si>
  <si>
    <t>HRV</t>
  </si>
  <si>
    <t>NOR</t>
  </si>
  <si>
    <t>ROW-14</t>
  </si>
  <si>
    <t>ROW-16</t>
  </si>
  <si>
    <t>População</t>
  </si>
  <si>
    <t>Emprego</t>
  </si>
  <si>
    <t>Total</t>
  </si>
  <si>
    <t>SOMA-14</t>
  </si>
  <si>
    <t>SOMA-16</t>
  </si>
  <si>
    <t>WIOD-14</t>
  </si>
  <si>
    <t>WIOD-16</t>
  </si>
  <si>
    <t>Dif-14</t>
  </si>
  <si>
    <t>Dif-16</t>
  </si>
  <si>
    <t>July14</t>
  </si>
  <si>
    <t>Nov16</t>
  </si>
  <si>
    <t>VERSAO</t>
  </si>
  <si>
    <t>was_w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</si>
</sst>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/>
    </xf>
    <xf numFmtId="43" fontId="0" fillId="0" borderId="0" xfId="1" applyFont="1"/>
    <xf numFmtId="164" fontId="0" fillId="0" borderId="0" xfId="1" applyNumberFormat="1" applyFont="1"/>
    <xf numFmtId="164" fontId="0" fillId="0" borderId="0" xfId="0" applyNumberFormat="1"/>
    <xf numFmtId="43" fontId="0" fillId="0" borderId="0" xfId="0" applyNumberFormat="1"/>
    <xf numFmtId="9" fontId="0" fillId="0" borderId="0" xfId="2" applyFont="1"/>
    <xf numFmtId="0" fontId="0" fillId="0" borderId="0" xfId="0" quotePrefix="1"/>
    <xf numFmtId="43" fontId="0" fillId="0" borderId="0" xfId="1" applyNumberFormat="1" applyFont="1"/>
  </cellXfs>
  <cellStyles count="3">
    <cellStyle name="Normal" xfId="0" builtinId="0"/>
    <cellStyle name="Porcentagem" xfId="2" builtinId="5"/>
    <cellStyle name="Vírgula" xfId="1" builtinId="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opulaca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Taxa_de_emprego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Wage_worker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Metadata - Countries"/>
      <sheetName val="Metadata - Indicators"/>
    </sheetNames>
    <sheetDataSet>
      <sheetData sheetId="0">
        <row r="1">
          <cell r="B1" t="str">
            <v>World Development Indicators</v>
          </cell>
        </row>
        <row r="2">
          <cell r="B2">
            <v>43930</v>
          </cell>
        </row>
        <row r="4">
          <cell r="B4" t="str">
            <v>Country Code</v>
          </cell>
          <cell r="C4" t="str">
            <v>Indicator Name</v>
          </cell>
          <cell r="D4" t="str">
            <v>Indicator Code</v>
          </cell>
          <cell r="E4" t="str">
            <v>1960</v>
          </cell>
          <cell r="F4" t="str">
            <v>1961</v>
          </cell>
          <cell r="G4" t="str">
            <v>1962</v>
          </cell>
          <cell r="H4" t="str">
            <v>1963</v>
          </cell>
          <cell r="I4" t="str">
            <v>1964</v>
          </cell>
          <cell r="J4" t="str">
            <v>1965</v>
          </cell>
          <cell r="K4" t="str">
            <v>1966</v>
          </cell>
          <cell r="L4" t="str">
            <v>1967</v>
          </cell>
          <cell r="M4" t="str">
            <v>1968</v>
          </cell>
          <cell r="N4" t="str">
            <v>1969</v>
          </cell>
          <cell r="O4" t="str">
            <v>1970</v>
          </cell>
          <cell r="P4" t="str">
            <v>1971</v>
          </cell>
          <cell r="Q4" t="str">
            <v>1972</v>
          </cell>
          <cell r="R4" t="str">
            <v>1973</v>
          </cell>
          <cell r="S4" t="str">
            <v>1974</v>
          </cell>
          <cell r="T4" t="str">
            <v>1975</v>
          </cell>
          <cell r="U4" t="str">
            <v>1976</v>
          </cell>
          <cell r="V4" t="str">
            <v>1977</v>
          </cell>
          <cell r="W4" t="str">
            <v>1978</v>
          </cell>
          <cell r="X4" t="str">
            <v>1979</v>
          </cell>
          <cell r="Y4" t="str">
            <v>1980</v>
          </cell>
          <cell r="Z4" t="str">
            <v>1981</v>
          </cell>
          <cell r="AA4" t="str">
            <v>1982</v>
          </cell>
          <cell r="AB4" t="str">
            <v>1983</v>
          </cell>
          <cell r="AC4" t="str">
            <v>1984</v>
          </cell>
          <cell r="AD4" t="str">
            <v>1985</v>
          </cell>
          <cell r="AE4" t="str">
            <v>1986</v>
          </cell>
          <cell r="AF4" t="str">
            <v>1987</v>
          </cell>
          <cell r="AG4" t="str">
            <v>1988</v>
          </cell>
          <cell r="AH4" t="str">
            <v>1989</v>
          </cell>
          <cell r="AI4" t="str">
            <v>1990</v>
          </cell>
          <cell r="AJ4" t="str">
            <v>1991</v>
          </cell>
          <cell r="AK4" t="str">
            <v>1992</v>
          </cell>
          <cell r="AL4" t="str">
            <v>1993</v>
          </cell>
          <cell r="AM4" t="str">
            <v>1994</v>
          </cell>
          <cell r="AN4" t="str">
            <v>1995</v>
          </cell>
          <cell r="AO4" t="str">
            <v>1996</v>
          </cell>
          <cell r="AP4" t="str">
            <v>1997</v>
          </cell>
          <cell r="AQ4" t="str">
            <v>1998</v>
          </cell>
          <cell r="AR4" t="str">
            <v>1999</v>
          </cell>
          <cell r="AS4" t="str">
            <v>2000</v>
          </cell>
          <cell r="AT4" t="str">
            <v>2001</v>
          </cell>
          <cell r="AU4" t="str">
            <v>2002</v>
          </cell>
          <cell r="AV4" t="str">
            <v>2003</v>
          </cell>
          <cell r="AW4" t="str">
            <v>2004</v>
          </cell>
          <cell r="AX4" t="str">
            <v>2005</v>
          </cell>
          <cell r="AY4" t="str">
            <v>2006</v>
          </cell>
          <cell r="AZ4" t="str">
            <v>2007</v>
          </cell>
          <cell r="BA4" t="str">
            <v>2008</v>
          </cell>
          <cell r="BB4" t="str">
            <v>2009</v>
          </cell>
          <cell r="BC4" t="str">
            <v>2010</v>
          </cell>
          <cell r="BD4" t="str">
            <v>2011</v>
          </cell>
          <cell r="BE4" t="str">
            <v>2012</v>
          </cell>
          <cell r="BF4" t="str">
            <v>2013</v>
          </cell>
          <cell r="BG4" t="str">
            <v>2014</v>
          </cell>
          <cell r="BH4" t="str">
            <v>2015</v>
          </cell>
          <cell r="BI4" t="str">
            <v>2016</v>
          </cell>
          <cell r="BJ4" t="str">
            <v>2017</v>
          </cell>
          <cell r="BK4" t="str">
            <v>2018</v>
          </cell>
        </row>
        <row r="5">
          <cell r="B5" t="str">
            <v>ABW</v>
          </cell>
          <cell r="C5" t="str">
            <v>Population, total</v>
          </cell>
          <cell r="D5" t="str">
            <v>SP.POP.TOTL</v>
          </cell>
          <cell r="E5">
            <v>54211</v>
          </cell>
          <cell r="F5">
            <v>55438</v>
          </cell>
          <cell r="G5">
            <v>56225</v>
          </cell>
          <cell r="H5">
            <v>56695</v>
          </cell>
          <cell r="I5">
            <v>57032</v>
          </cell>
          <cell r="J5">
            <v>57360</v>
          </cell>
          <cell r="K5">
            <v>57715</v>
          </cell>
          <cell r="L5">
            <v>58055</v>
          </cell>
          <cell r="M5">
            <v>58386</v>
          </cell>
          <cell r="N5">
            <v>58726</v>
          </cell>
          <cell r="O5">
            <v>59063</v>
          </cell>
          <cell r="P5">
            <v>59440</v>
          </cell>
          <cell r="Q5">
            <v>59840</v>
          </cell>
          <cell r="R5">
            <v>60243</v>
          </cell>
          <cell r="S5">
            <v>60528</v>
          </cell>
          <cell r="T5">
            <v>60657</v>
          </cell>
          <cell r="U5">
            <v>60586</v>
          </cell>
          <cell r="V5">
            <v>60366</v>
          </cell>
          <cell r="W5">
            <v>60103</v>
          </cell>
          <cell r="X5">
            <v>59980</v>
          </cell>
          <cell r="Y5">
            <v>60096</v>
          </cell>
          <cell r="Z5">
            <v>60567</v>
          </cell>
          <cell r="AA5">
            <v>61345</v>
          </cell>
          <cell r="AB5">
            <v>62201</v>
          </cell>
          <cell r="AC5">
            <v>62836</v>
          </cell>
          <cell r="AD5">
            <v>63026</v>
          </cell>
          <cell r="AE5">
            <v>62644</v>
          </cell>
          <cell r="AF5">
            <v>61833</v>
          </cell>
          <cell r="AG5">
            <v>61079</v>
          </cell>
          <cell r="AH5">
            <v>61032</v>
          </cell>
          <cell r="AI5">
            <v>62149</v>
          </cell>
          <cell r="AJ5">
            <v>64622</v>
          </cell>
          <cell r="AK5">
            <v>68235</v>
          </cell>
          <cell r="AL5">
            <v>72504</v>
          </cell>
          <cell r="AM5">
            <v>76700</v>
          </cell>
          <cell r="AN5">
            <v>80324</v>
          </cell>
          <cell r="AO5">
            <v>83200</v>
          </cell>
          <cell r="AP5">
            <v>85451</v>
          </cell>
          <cell r="AQ5">
            <v>87277</v>
          </cell>
          <cell r="AR5">
            <v>89005</v>
          </cell>
          <cell r="AS5">
            <v>90853</v>
          </cell>
          <cell r="AT5">
            <v>92898</v>
          </cell>
          <cell r="AU5">
            <v>94992</v>
          </cell>
          <cell r="AV5">
            <v>97017</v>
          </cell>
          <cell r="AW5">
            <v>98737</v>
          </cell>
          <cell r="AX5">
            <v>100031</v>
          </cell>
          <cell r="AY5">
            <v>100834</v>
          </cell>
          <cell r="AZ5">
            <v>101222</v>
          </cell>
          <cell r="BA5">
            <v>101358</v>
          </cell>
          <cell r="BB5">
            <v>101455</v>
          </cell>
          <cell r="BC5">
            <v>101669</v>
          </cell>
          <cell r="BD5">
            <v>102046</v>
          </cell>
          <cell r="BE5">
            <v>102560</v>
          </cell>
          <cell r="BF5">
            <v>103159</v>
          </cell>
          <cell r="BG5">
            <v>103774</v>
          </cell>
          <cell r="BH5">
            <v>104341</v>
          </cell>
          <cell r="BI5">
            <v>104872</v>
          </cell>
          <cell r="BJ5">
            <v>105366</v>
          </cell>
          <cell r="BK5">
            <v>105845</v>
          </cell>
        </row>
        <row r="6">
          <cell r="B6" t="str">
            <v>AFG</v>
          </cell>
          <cell r="C6" t="str">
            <v>Population, total</v>
          </cell>
          <cell r="D6" t="str">
            <v>SP.POP.TOTL</v>
          </cell>
          <cell r="E6">
            <v>8996973</v>
          </cell>
          <cell r="F6">
            <v>9169410</v>
          </cell>
          <cell r="G6">
            <v>9351441</v>
          </cell>
          <cell r="H6">
            <v>9543205</v>
          </cell>
          <cell r="I6">
            <v>9744781</v>
          </cell>
          <cell r="J6">
            <v>9956320</v>
          </cell>
          <cell r="K6">
            <v>10174836</v>
          </cell>
          <cell r="L6">
            <v>10399926</v>
          </cell>
          <cell r="M6">
            <v>10637063</v>
          </cell>
          <cell r="N6">
            <v>10893776</v>
          </cell>
          <cell r="O6">
            <v>11173642</v>
          </cell>
          <cell r="P6">
            <v>11475445</v>
          </cell>
          <cell r="Q6">
            <v>11791215</v>
          </cell>
          <cell r="R6">
            <v>12108963</v>
          </cell>
          <cell r="S6">
            <v>12412950</v>
          </cell>
          <cell r="T6">
            <v>12689160</v>
          </cell>
          <cell r="U6">
            <v>12943093</v>
          </cell>
          <cell r="V6">
            <v>13171306</v>
          </cell>
          <cell r="W6">
            <v>13341198</v>
          </cell>
          <cell r="X6">
            <v>13411056</v>
          </cell>
          <cell r="Y6">
            <v>13356511</v>
          </cell>
          <cell r="Z6">
            <v>13171673</v>
          </cell>
          <cell r="AA6">
            <v>12882528</v>
          </cell>
          <cell r="AB6">
            <v>12537730</v>
          </cell>
          <cell r="AC6">
            <v>12204292</v>
          </cell>
          <cell r="AD6">
            <v>11938208</v>
          </cell>
          <cell r="AE6">
            <v>11736179</v>
          </cell>
          <cell r="AF6">
            <v>11604534</v>
          </cell>
          <cell r="AG6">
            <v>11618005</v>
          </cell>
          <cell r="AH6">
            <v>11868877</v>
          </cell>
          <cell r="AI6">
            <v>12412308</v>
          </cell>
          <cell r="AJ6">
            <v>13299017</v>
          </cell>
          <cell r="AK6">
            <v>14485546</v>
          </cell>
          <cell r="AL6">
            <v>15816603</v>
          </cell>
          <cell r="AM6">
            <v>17075727</v>
          </cell>
          <cell r="AN6">
            <v>18110657</v>
          </cell>
          <cell r="AO6">
            <v>18853437</v>
          </cell>
          <cell r="AP6">
            <v>19357126</v>
          </cell>
          <cell r="AQ6">
            <v>19737765</v>
          </cell>
          <cell r="AR6">
            <v>20170844</v>
          </cell>
          <cell r="AS6">
            <v>20779953</v>
          </cell>
          <cell r="AT6">
            <v>21606988</v>
          </cell>
          <cell r="AU6">
            <v>22600770</v>
          </cell>
          <cell r="AV6">
            <v>23680871</v>
          </cell>
          <cell r="AW6">
            <v>24726684</v>
          </cell>
          <cell r="AX6">
            <v>25654277</v>
          </cell>
          <cell r="AY6">
            <v>26433049</v>
          </cell>
          <cell r="AZ6">
            <v>27100536</v>
          </cell>
          <cell r="BA6">
            <v>27722276</v>
          </cell>
          <cell r="BB6">
            <v>28394813</v>
          </cell>
          <cell r="BC6">
            <v>29185507</v>
          </cell>
          <cell r="BD6">
            <v>30117413</v>
          </cell>
          <cell r="BE6">
            <v>31161376</v>
          </cell>
          <cell r="BF6">
            <v>32269589</v>
          </cell>
          <cell r="BG6">
            <v>33370794</v>
          </cell>
          <cell r="BH6">
            <v>34413603</v>
          </cell>
          <cell r="BI6">
            <v>35383128</v>
          </cell>
          <cell r="BJ6">
            <v>36296400</v>
          </cell>
          <cell r="BK6">
            <v>37172386</v>
          </cell>
        </row>
        <row r="7">
          <cell r="B7" t="str">
            <v>AGO</v>
          </cell>
          <cell r="C7" t="str">
            <v>Population, total</v>
          </cell>
          <cell r="D7" t="str">
            <v>SP.POP.TOTL</v>
          </cell>
          <cell r="E7">
            <v>5454933</v>
          </cell>
          <cell r="F7">
            <v>5531472</v>
          </cell>
          <cell r="G7">
            <v>5608539</v>
          </cell>
          <cell r="H7">
            <v>5679458</v>
          </cell>
          <cell r="I7">
            <v>5735044</v>
          </cell>
          <cell r="J7">
            <v>5770570</v>
          </cell>
          <cell r="K7">
            <v>5781214</v>
          </cell>
          <cell r="L7">
            <v>5774243</v>
          </cell>
          <cell r="M7">
            <v>5771652</v>
          </cell>
          <cell r="N7">
            <v>5803254</v>
          </cell>
          <cell r="O7">
            <v>5890365</v>
          </cell>
          <cell r="P7">
            <v>6040777</v>
          </cell>
          <cell r="Q7">
            <v>6248552</v>
          </cell>
          <cell r="R7">
            <v>6496962</v>
          </cell>
          <cell r="S7">
            <v>6761380</v>
          </cell>
          <cell r="T7">
            <v>7024000</v>
          </cell>
          <cell r="U7">
            <v>7279509</v>
          </cell>
          <cell r="V7">
            <v>7533735</v>
          </cell>
          <cell r="W7">
            <v>7790707</v>
          </cell>
          <cell r="X7">
            <v>8058067</v>
          </cell>
          <cell r="Y7">
            <v>8341289</v>
          </cell>
          <cell r="Z7">
            <v>8640446</v>
          </cell>
          <cell r="AA7">
            <v>8952950</v>
          </cell>
          <cell r="AB7">
            <v>9278096</v>
          </cell>
          <cell r="AC7">
            <v>9614754</v>
          </cell>
          <cell r="AD7">
            <v>9961997</v>
          </cell>
          <cell r="AE7">
            <v>10320111</v>
          </cell>
          <cell r="AF7">
            <v>10689250</v>
          </cell>
          <cell r="AG7">
            <v>11068050</v>
          </cell>
          <cell r="AH7">
            <v>11454777</v>
          </cell>
          <cell r="AI7">
            <v>11848386</v>
          </cell>
          <cell r="AJ7">
            <v>12248901</v>
          </cell>
          <cell r="AK7">
            <v>12657366</v>
          </cell>
          <cell r="AL7">
            <v>13075049</v>
          </cell>
          <cell r="AM7">
            <v>13503747</v>
          </cell>
          <cell r="AN7">
            <v>13945206</v>
          </cell>
          <cell r="AO7">
            <v>14400719</v>
          </cell>
          <cell r="AP7">
            <v>14871570</v>
          </cell>
          <cell r="AQ7">
            <v>15359601</v>
          </cell>
          <cell r="AR7">
            <v>15866869</v>
          </cell>
          <cell r="AS7">
            <v>16395473</v>
          </cell>
          <cell r="AT7">
            <v>16945753</v>
          </cell>
          <cell r="AU7">
            <v>17519417</v>
          </cell>
          <cell r="AV7">
            <v>18121479</v>
          </cell>
          <cell r="AW7">
            <v>18758145</v>
          </cell>
          <cell r="AX7">
            <v>19433602</v>
          </cell>
          <cell r="AY7">
            <v>20149901</v>
          </cell>
          <cell r="AZ7">
            <v>20905363</v>
          </cell>
          <cell r="BA7">
            <v>21695634</v>
          </cell>
          <cell r="BB7">
            <v>22514281</v>
          </cell>
          <cell r="BC7">
            <v>23356246</v>
          </cell>
          <cell r="BD7">
            <v>24220661</v>
          </cell>
          <cell r="BE7">
            <v>25107931</v>
          </cell>
          <cell r="BF7">
            <v>26015780</v>
          </cell>
          <cell r="BG7">
            <v>26941779</v>
          </cell>
          <cell r="BH7">
            <v>27884381</v>
          </cell>
          <cell r="BI7">
            <v>28842484</v>
          </cell>
          <cell r="BJ7">
            <v>29816748</v>
          </cell>
          <cell r="BK7">
            <v>30809762</v>
          </cell>
        </row>
        <row r="8">
          <cell r="B8" t="str">
            <v>ALB</v>
          </cell>
          <cell r="C8" t="str">
            <v>Population, total</v>
          </cell>
          <cell r="D8" t="str">
            <v>SP.POP.TOTL</v>
          </cell>
          <cell r="E8">
            <v>1608800</v>
          </cell>
          <cell r="F8">
            <v>1659800</v>
          </cell>
          <cell r="G8">
            <v>1711319</v>
          </cell>
          <cell r="H8">
            <v>1762621</v>
          </cell>
          <cell r="I8">
            <v>1814135</v>
          </cell>
          <cell r="J8">
            <v>1864791</v>
          </cell>
          <cell r="K8">
            <v>1914573</v>
          </cell>
          <cell r="L8">
            <v>1965598</v>
          </cell>
          <cell r="M8">
            <v>2022272</v>
          </cell>
          <cell r="N8">
            <v>2081695</v>
          </cell>
          <cell r="O8">
            <v>2135479</v>
          </cell>
          <cell r="P8">
            <v>2187853</v>
          </cell>
          <cell r="Q8">
            <v>2243126</v>
          </cell>
          <cell r="R8">
            <v>2296752</v>
          </cell>
          <cell r="S8">
            <v>2350124</v>
          </cell>
          <cell r="T8">
            <v>2404831</v>
          </cell>
          <cell r="U8">
            <v>2458526</v>
          </cell>
          <cell r="V8">
            <v>2513546</v>
          </cell>
          <cell r="W8">
            <v>2566266</v>
          </cell>
          <cell r="X8">
            <v>2617832</v>
          </cell>
          <cell r="Y8">
            <v>2671997</v>
          </cell>
          <cell r="Z8">
            <v>2726056</v>
          </cell>
          <cell r="AA8">
            <v>2784278</v>
          </cell>
          <cell r="AB8">
            <v>2843960</v>
          </cell>
          <cell r="AC8">
            <v>2904429</v>
          </cell>
          <cell r="AD8">
            <v>2964762</v>
          </cell>
          <cell r="AE8">
            <v>3022635</v>
          </cell>
          <cell r="AF8">
            <v>3083605</v>
          </cell>
          <cell r="AG8">
            <v>3142336</v>
          </cell>
          <cell r="AH8">
            <v>3227943</v>
          </cell>
          <cell r="AI8">
            <v>3286542</v>
          </cell>
          <cell r="AJ8">
            <v>3266790</v>
          </cell>
          <cell r="AK8">
            <v>3247039</v>
          </cell>
          <cell r="AL8">
            <v>3227287</v>
          </cell>
          <cell r="AM8">
            <v>3207536</v>
          </cell>
          <cell r="AN8">
            <v>3187784</v>
          </cell>
          <cell r="AO8">
            <v>3168033</v>
          </cell>
          <cell r="AP8">
            <v>3148281</v>
          </cell>
          <cell r="AQ8">
            <v>3128530</v>
          </cell>
          <cell r="AR8">
            <v>3108778</v>
          </cell>
          <cell r="AS8">
            <v>3089027</v>
          </cell>
          <cell r="AT8">
            <v>3060173</v>
          </cell>
          <cell r="AU8">
            <v>3051010</v>
          </cell>
          <cell r="AV8">
            <v>3039616</v>
          </cell>
          <cell r="AW8">
            <v>3026939</v>
          </cell>
          <cell r="AX8">
            <v>3011487</v>
          </cell>
          <cell r="AY8">
            <v>2992547</v>
          </cell>
          <cell r="AZ8">
            <v>2970017</v>
          </cell>
          <cell r="BA8">
            <v>2947314</v>
          </cell>
          <cell r="BB8">
            <v>2927519</v>
          </cell>
          <cell r="BC8">
            <v>2913021</v>
          </cell>
          <cell r="BD8">
            <v>2905195</v>
          </cell>
          <cell r="BE8">
            <v>2900401</v>
          </cell>
          <cell r="BF8">
            <v>2895092</v>
          </cell>
          <cell r="BG8">
            <v>2889104</v>
          </cell>
          <cell r="BH8">
            <v>2880703</v>
          </cell>
          <cell r="BI8">
            <v>2876101</v>
          </cell>
          <cell r="BJ8">
            <v>2873457</v>
          </cell>
          <cell r="BK8">
            <v>2866376</v>
          </cell>
        </row>
        <row r="9">
          <cell r="B9" t="str">
            <v>AND</v>
          </cell>
          <cell r="C9" t="str">
            <v>Population, total</v>
          </cell>
          <cell r="D9" t="str">
            <v>SP.POP.TOTL</v>
          </cell>
          <cell r="E9">
            <v>13411</v>
          </cell>
          <cell r="F9">
            <v>14375</v>
          </cell>
          <cell r="G9">
            <v>15370</v>
          </cell>
          <cell r="H9">
            <v>16412</v>
          </cell>
          <cell r="I9">
            <v>17469</v>
          </cell>
          <cell r="J9">
            <v>18549</v>
          </cell>
          <cell r="K9">
            <v>19647</v>
          </cell>
          <cell r="L9">
            <v>20758</v>
          </cell>
          <cell r="M9">
            <v>21890</v>
          </cell>
          <cell r="N9">
            <v>23058</v>
          </cell>
          <cell r="O9">
            <v>24276</v>
          </cell>
          <cell r="P9">
            <v>25559</v>
          </cell>
          <cell r="Q9">
            <v>26892</v>
          </cell>
          <cell r="R9">
            <v>28232</v>
          </cell>
          <cell r="S9">
            <v>29520</v>
          </cell>
          <cell r="T9">
            <v>30705</v>
          </cell>
          <cell r="U9">
            <v>31777</v>
          </cell>
          <cell r="V9">
            <v>32771</v>
          </cell>
          <cell r="W9">
            <v>33737</v>
          </cell>
          <cell r="X9">
            <v>34818</v>
          </cell>
          <cell r="Y9">
            <v>36067</v>
          </cell>
          <cell r="Z9">
            <v>37500</v>
          </cell>
          <cell r="AA9">
            <v>39114</v>
          </cell>
          <cell r="AB9">
            <v>40867</v>
          </cell>
          <cell r="AC9">
            <v>42706</v>
          </cell>
          <cell r="AD9">
            <v>44600</v>
          </cell>
          <cell r="AE9">
            <v>46517</v>
          </cell>
          <cell r="AF9">
            <v>48455</v>
          </cell>
          <cell r="AG9">
            <v>50434</v>
          </cell>
          <cell r="AH9">
            <v>52448</v>
          </cell>
          <cell r="AI9">
            <v>54509</v>
          </cell>
          <cell r="AJ9">
            <v>56671</v>
          </cell>
          <cell r="AK9">
            <v>58888</v>
          </cell>
          <cell r="AL9">
            <v>60971</v>
          </cell>
          <cell r="AM9">
            <v>62677</v>
          </cell>
          <cell r="AN9">
            <v>63850</v>
          </cell>
          <cell r="AO9">
            <v>64360</v>
          </cell>
          <cell r="AP9">
            <v>64327</v>
          </cell>
          <cell r="AQ9">
            <v>64142</v>
          </cell>
          <cell r="AR9">
            <v>64370</v>
          </cell>
          <cell r="AS9">
            <v>65390</v>
          </cell>
          <cell r="AT9">
            <v>67341</v>
          </cell>
          <cell r="AU9">
            <v>70049</v>
          </cell>
          <cell r="AV9">
            <v>73182</v>
          </cell>
          <cell r="AW9">
            <v>76244</v>
          </cell>
          <cell r="AX9">
            <v>78867</v>
          </cell>
          <cell r="AY9">
            <v>80993</v>
          </cell>
          <cell r="AZ9">
            <v>82684</v>
          </cell>
          <cell r="BA9">
            <v>83862</v>
          </cell>
          <cell r="BB9">
            <v>84463</v>
          </cell>
          <cell r="BC9">
            <v>84449</v>
          </cell>
          <cell r="BD9">
            <v>83747</v>
          </cell>
          <cell r="BE9">
            <v>82427</v>
          </cell>
          <cell r="BF9">
            <v>80774</v>
          </cell>
          <cell r="BG9">
            <v>79213</v>
          </cell>
          <cell r="BH9">
            <v>78011</v>
          </cell>
          <cell r="BI9">
            <v>77297</v>
          </cell>
          <cell r="BJ9">
            <v>77001</v>
          </cell>
          <cell r="BK9">
            <v>77006</v>
          </cell>
        </row>
        <row r="10">
          <cell r="B10" t="str">
            <v>ARB</v>
          </cell>
          <cell r="C10" t="str">
            <v>Population, total</v>
          </cell>
          <cell r="D10" t="str">
            <v>SP.POP.TOTL</v>
          </cell>
          <cell r="E10">
            <v>92197753</v>
          </cell>
          <cell r="F10">
            <v>94724510</v>
          </cell>
          <cell r="G10">
            <v>97334442</v>
          </cell>
          <cell r="H10">
            <v>100034179</v>
          </cell>
          <cell r="I10">
            <v>102832760</v>
          </cell>
          <cell r="J10">
            <v>105736431</v>
          </cell>
          <cell r="K10">
            <v>108758610</v>
          </cell>
          <cell r="L10">
            <v>111899364</v>
          </cell>
          <cell r="M10">
            <v>115136178</v>
          </cell>
          <cell r="N10">
            <v>118437195</v>
          </cell>
          <cell r="O10">
            <v>121785650</v>
          </cell>
          <cell r="P10">
            <v>125164745</v>
          </cell>
          <cell r="Q10">
            <v>128598734</v>
          </cell>
          <cell r="R10">
            <v>132161298</v>
          </cell>
          <cell r="S10">
            <v>135952252</v>
          </cell>
          <cell r="T10">
            <v>140040649</v>
          </cell>
          <cell r="U10">
            <v>144453278</v>
          </cell>
          <cell r="V10">
            <v>149161891</v>
          </cell>
          <cell r="W10">
            <v>154111175</v>
          </cell>
          <cell r="X10">
            <v>159218552</v>
          </cell>
          <cell r="Y10">
            <v>164420785</v>
          </cell>
          <cell r="Z10">
            <v>169698994</v>
          </cell>
          <cell r="AA10">
            <v>175061792</v>
          </cell>
          <cell r="AB10">
            <v>180505996</v>
          </cell>
          <cell r="AC10">
            <v>186035305</v>
          </cell>
          <cell r="AD10">
            <v>191650331</v>
          </cell>
          <cell r="AE10">
            <v>197338142</v>
          </cell>
          <cell r="AF10">
            <v>203084971</v>
          </cell>
          <cell r="AG10">
            <v>208889682</v>
          </cell>
          <cell r="AH10">
            <v>214753970</v>
          </cell>
          <cell r="AI10">
            <v>222653373</v>
          </cell>
          <cell r="AJ10">
            <v>228731685</v>
          </cell>
          <cell r="AK10">
            <v>232956352</v>
          </cell>
          <cell r="AL10">
            <v>239243261</v>
          </cell>
          <cell r="AM10">
            <v>245449409</v>
          </cell>
          <cell r="AN10">
            <v>253107289</v>
          </cell>
          <cell r="AO10">
            <v>259000953</v>
          </cell>
          <cell r="AP10">
            <v>264822188</v>
          </cell>
          <cell r="AQ10">
            <v>270575803</v>
          </cell>
          <cell r="AR10">
            <v>276393837</v>
          </cell>
          <cell r="AS10">
            <v>282344154</v>
          </cell>
          <cell r="AT10">
            <v>288432163</v>
          </cell>
          <cell r="AU10">
            <v>294665185</v>
          </cell>
          <cell r="AV10">
            <v>301113849</v>
          </cell>
          <cell r="AW10">
            <v>307862843</v>
          </cell>
          <cell r="AX10">
            <v>314965793</v>
          </cell>
          <cell r="AY10">
            <v>322452754</v>
          </cell>
          <cell r="AZ10">
            <v>330290716</v>
          </cell>
          <cell r="BA10">
            <v>338395961</v>
          </cell>
          <cell r="BB10">
            <v>346629220</v>
          </cell>
          <cell r="BC10">
            <v>354890042</v>
          </cell>
          <cell r="BD10">
            <v>363158703</v>
          </cell>
          <cell r="BE10">
            <v>371443547</v>
          </cell>
          <cell r="BF10">
            <v>379705719</v>
          </cell>
          <cell r="BG10">
            <v>387907748</v>
          </cell>
          <cell r="BH10">
            <v>396028278</v>
          </cell>
          <cell r="BI10">
            <v>404024433</v>
          </cell>
          <cell r="BJ10">
            <v>411898965</v>
          </cell>
          <cell r="BK10">
            <v>419790588</v>
          </cell>
        </row>
        <row r="11">
          <cell r="B11" t="str">
            <v>ARE</v>
          </cell>
          <cell r="C11" t="str">
            <v>Population, total</v>
          </cell>
          <cell r="D11" t="str">
            <v>SP.POP.TOTL</v>
          </cell>
          <cell r="E11">
            <v>92418</v>
          </cell>
          <cell r="F11">
            <v>100796</v>
          </cell>
          <cell r="G11">
            <v>112118</v>
          </cell>
          <cell r="H11">
            <v>125130</v>
          </cell>
          <cell r="I11">
            <v>138039</v>
          </cell>
          <cell r="J11">
            <v>149857</v>
          </cell>
          <cell r="K11">
            <v>159976</v>
          </cell>
          <cell r="L11">
            <v>169771</v>
          </cell>
          <cell r="M11">
            <v>182627</v>
          </cell>
          <cell r="N11">
            <v>203106</v>
          </cell>
          <cell r="O11">
            <v>234514</v>
          </cell>
          <cell r="P11">
            <v>277471</v>
          </cell>
          <cell r="Q11">
            <v>330974</v>
          </cell>
          <cell r="R11">
            <v>394624</v>
          </cell>
          <cell r="S11">
            <v>467451</v>
          </cell>
          <cell r="T11">
            <v>548301</v>
          </cell>
          <cell r="U11">
            <v>637922</v>
          </cell>
          <cell r="V11">
            <v>735344</v>
          </cell>
          <cell r="W11">
            <v>835508</v>
          </cell>
          <cell r="X11">
            <v>931749</v>
          </cell>
          <cell r="Y11">
            <v>1019509</v>
          </cell>
          <cell r="Z11">
            <v>1096610</v>
          </cell>
          <cell r="AA11">
            <v>1164806</v>
          </cell>
          <cell r="AB11">
            <v>1228459</v>
          </cell>
          <cell r="AC11">
            <v>1293971</v>
          </cell>
          <cell r="AD11">
            <v>1366164</v>
          </cell>
          <cell r="AE11">
            <v>1446380</v>
          </cell>
          <cell r="AF11">
            <v>1533536</v>
          </cell>
          <cell r="AG11">
            <v>1627066</v>
          </cell>
          <cell r="AH11">
            <v>1725681</v>
          </cell>
          <cell r="AI11">
            <v>1828432</v>
          </cell>
          <cell r="AJ11">
            <v>1937153</v>
          </cell>
          <cell r="AK11">
            <v>2052891</v>
          </cell>
          <cell r="AL11">
            <v>2173139</v>
          </cell>
          <cell r="AM11">
            <v>2294385</v>
          </cell>
          <cell r="AN11">
            <v>2415090</v>
          </cell>
          <cell r="AO11">
            <v>2539126</v>
          </cell>
          <cell r="AP11">
            <v>2671362</v>
          </cell>
          <cell r="AQ11">
            <v>2813214</v>
          </cell>
          <cell r="AR11">
            <v>2966034</v>
          </cell>
          <cell r="AS11">
            <v>3134062</v>
          </cell>
          <cell r="AT11">
            <v>3302719</v>
          </cell>
          <cell r="AU11">
            <v>3478777</v>
          </cell>
          <cell r="AV11">
            <v>3711932</v>
          </cell>
          <cell r="AW11">
            <v>4068570</v>
          </cell>
          <cell r="AX11">
            <v>4588225</v>
          </cell>
          <cell r="AY11">
            <v>5300174</v>
          </cell>
          <cell r="AZ11">
            <v>6168838</v>
          </cell>
          <cell r="BA11">
            <v>7089487</v>
          </cell>
          <cell r="BB11">
            <v>7917372</v>
          </cell>
          <cell r="BC11">
            <v>8549988</v>
          </cell>
          <cell r="BD11">
            <v>8946777</v>
          </cell>
          <cell r="BE11">
            <v>9141596</v>
          </cell>
          <cell r="BF11">
            <v>9197910</v>
          </cell>
          <cell r="BG11">
            <v>9214175</v>
          </cell>
          <cell r="BH11">
            <v>9262900</v>
          </cell>
          <cell r="BI11">
            <v>9360980</v>
          </cell>
          <cell r="BJ11">
            <v>9487203</v>
          </cell>
          <cell r="BK11">
            <v>9630959</v>
          </cell>
        </row>
        <row r="12">
          <cell r="B12" t="str">
            <v>ARG</v>
          </cell>
          <cell r="C12" t="str">
            <v>Population, total</v>
          </cell>
          <cell r="D12" t="str">
            <v>SP.POP.TOTL</v>
          </cell>
          <cell r="E12">
            <v>20481779</v>
          </cell>
          <cell r="F12">
            <v>20817266</v>
          </cell>
          <cell r="G12">
            <v>21153052</v>
          </cell>
          <cell r="H12">
            <v>21488912</v>
          </cell>
          <cell r="I12">
            <v>21824425</v>
          </cell>
          <cell r="J12">
            <v>22159650</v>
          </cell>
          <cell r="K12">
            <v>22494035</v>
          </cell>
          <cell r="L12">
            <v>22828869</v>
          </cell>
          <cell r="M12">
            <v>23168267</v>
          </cell>
          <cell r="N12">
            <v>23517611</v>
          </cell>
          <cell r="O12">
            <v>23880561</v>
          </cell>
          <cell r="P12">
            <v>24259561</v>
          </cell>
          <cell r="Q12">
            <v>24653175</v>
          </cell>
          <cell r="R12">
            <v>25056478</v>
          </cell>
          <cell r="S12">
            <v>25462302</v>
          </cell>
          <cell r="T12">
            <v>25865776</v>
          </cell>
          <cell r="U12">
            <v>26264681</v>
          </cell>
          <cell r="V12">
            <v>26661398</v>
          </cell>
          <cell r="W12">
            <v>27061047</v>
          </cell>
          <cell r="X12">
            <v>27471036</v>
          </cell>
          <cell r="Y12">
            <v>27896528</v>
          </cell>
          <cell r="Z12">
            <v>28338515</v>
          </cell>
          <cell r="AA12">
            <v>28794548</v>
          </cell>
          <cell r="AB12">
            <v>29262047</v>
          </cell>
          <cell r="AC12">
            <v>29737093</v>
          </cell>
          <cell r="AD12">
            <v>30216279</v>
          </cell>
          <cell r="AE12">
            <v>30698964</v>
          </cell>
          <cell r="AF12">
            <v>31184415</v>
          </cell>
          <cell r="AG12">
            <v>31668949</v>
          </cell>
          <cell r="AH12">
            <v>32148134</v>
          </cell>
          <cell r="AI12">
            <v>32618651</v>
          </cell>
          <cell r="AJ12">
            <v>33079000</v>
          </cell>
          <cell r="AK12">
            <v>33529326</v>
          </cell>
          <cell r="AL12">
            <v>33970111</v>
          </cell>
          <cell r="AM12">
            <v>34402672</v>
          </cell>
          <cell r="AN12">
            <v>34828170</v>
          </cell>
          <cell r="AO12">
            <v>35246374</v>
          </cell>
          <cell r="AP12">
            <v>35657429</v>
          </cell>
          <cell r="AQ12">
            <v>36063459</v>
          </cell>
          <cell r="AR12">
            <v>36467218</v>
          </cell>
          <cell r="AS12">
            <v>36870787</v>
          </cell>
          <cell r="AT12">
            <v>37275652</v>
          </cell>
          <cell r="AU12">
            <v>37681749</v>
          </cell>
          <cell r="AV12">
            <v>38087868</v>
          </cell>
          <cell r="AW12">
            <v>38491972</v>
          </cell>
          <cell r="AX12">
            <v>38892931</v>
          </cell>
          <cell r="AY12">
            <v>39289878</v>
          </cell>
          <cell r="AZ12">
            <v>39684295</v>
          </cell>
          <cell r="BA12">
            <v>40080160</v>
          </cell>
          <cell r="BB12">
            <v>40482788</v>
          </cell>
          <cell r="BC12">
            <v>40788453</v>
          </cell>
          <cell r="BD12">
            <v>41261490</v>
          </cell>
          <cell r="BE12">
            <v>41733271</v>
          </cell>
          <cell r="BF12">
            <v>42202935</v>
          </cell>
          <cell r="BG12">
            <v>42669500</v>
          </cell>
          <cell r="BH12">
            <v>43131966</v>
          </cell>
          <cell r="BI12">
            <v>43590368</v>
          </cell>
          <cell r="BJ12">
            <v>44044811</v>
          </cell>
          <cell r="BK12">
            <v>44494502</v>
          </cell>
        </row>
        <row r="13">
          <cell r="B13" t="str">
            <v>ARM</v>
          </cell>
          <cell r="C13" t="str">
            <v>Population, total</v>
          </cell>
          <cell r="D13" t="str">
            <v>SP.POP.TOTL</v>
          </cell>
          <cell r="E13">
            <v>1874121</v>
          </cell>
          <cell r="F13">
            <v>1941492</v>
          </cell>
          <cell r="G13">
            <v>2009526</v>
          </cell>
          <cell r="H13">
            <v>2077578</v>
          </cell>
          <cell r="I13">
            <v>2145001</v>
          </cell>
          <cell r="J13">
            <v>2211319</v>
          </cell>
          <cell r="K13">
            <v>2276034</v>
          </cell>
          <cell r="L13">
            <v>2339127</v>
          </cell>
          <cell r="M13">
            <v>2401143</v>
          </cell>
          <cell r="N13">
            <v>2462928</v>
          </cell>
          <cell r="O13">
            <v>2525068</v>
          </cell>
          <cell r="P13">
            <v>2587708</v>
          </cell>
          <cell r="Q13">
            <v>2650486</v>
          </cell>
          <cell r="R13">
            <v>2712786</v>
          </cell>
          <cell r="S13">
            <v>2773748</v>
          </cell>
          <cell r="T13">
            <v>2832759</v>
          </cell>
          <cell r="U13">
            <v>2889579</v>
          </cell>
          <cell r="V13">
            <v>2944383</v>
          </cell>
          <cell r="W13">
            <v>2997417</v>
          </cell>
          <cell r="X13">
            <v>3049109</v>
          </cell>
          <cell r="Y13">
            <v>3099754</v>
          </cell>
          <cell r="Z13">
            <v>3148096</v>
          </cell>
          <cell r="AA13">
            <v>3193689</v>
          </cell>
          <cell r="AB13">
            <v>3238595</v>
          </cell>
          <cell r="AC13">
            <v>3285599</v>
          </cell>
          <cell r="AD13">
            <v>3335940</v>
          </cell>
          <cell r="AE13">
            <v>3392264</v>
          </cell>
          <cell r="AF13">
            <v>3451947</v>
          </cell>
          <cell r="AG13">
            <v>3504659</v>
          </cell>
          <cell r="AH13">
            <v>3536474</v>
          </cell>
          <cell r="AI13">
            <v>3538171</v>
          </cell>
          <cell r="AJ13">
            <v>3505258</v>
          </cell>
          <cell r="AK13">
            <v>3442817</v>
          </cell>
          <cell r="AL13">
            <v>3363108</v>
          </cell>
          <cell r="AM13">
            <v>3283667</v>
          </cell>
          <cell r="AN13">
            <v>3217348</v>
          </cell>
          <cell r="AO13">
            <v>3168221</v>
          </cell>
          <cell r="AP13">
            <v>3133089</v>
          </cell>
          <cell r="AQ13">
            <v>3108687</v>
          </cell>
          <cell r="AR13">
            <v>3089022</v>
          </cell>
          <cell r="AS13">
            <v>3069591</v>
          </cell>
          <cell r="AT13">
            <v>3050687</v>
          </cell>
          <cell r="AU13">
            <v>3033978</v>
          </cell>
          <cell r="AV13">
            <v>3017932</v>
          </cell>
          <cell r="AW13">
            <v>3000720</v>
          </cell>
          <cell r="AX13">
            <v>2981269</v>
          </cell>
          <cell r="AY13">
            <v>2958307</v>
          </cell>
          <cell r="AZ13">
            <v>2932618</v>
          </cell>
          <cell r="BA13">
            <v>2907618</v>
          </cell>
          <cell r="BB13">
            <v>2888092</v>
          </cell>
          <cell r="BC13">
            <v>2877319</v>
          </cell>
          <cell r="BD13">
            <v>2876538</v>
          </cell>
          <cell r="BE13">
            <v>2884229</v>
          </cell>
          <cell r="BF13">
            <v>2897584</v>
          </cell>
          <cell r="BG13">
            <v>2912403</v>
          </cell>
          <cell r="BH13">
            <v>2925553</v>
          </cell>
          <cell r="BI13">
            <v>2936146</v>
          </cell>
          <cell r="BJ13">
            <v>2944809</v>
          </cell>
          <cell r="BK13">
            <v>2951776</v>
          </cell>
        </row>
        <row r="14">
          <cell r="B14" t="str">
            <v>ASM</v>
          </cell>
          <cell r="C14" t="str">
            <v>Population, total</v>
          </cell>
          <cell r="D14" t="str">
            <v>SP.POP.TOTL</v>
          </cell>
          <cell r="E14">
            <v>20123</v>
          </cell>
          <cell r="F14">
            <v>20602</v>
          </cell>
          <cell r="G14">
            <v>21253</v>
          </cell>
          <cell r="H14">
            <v>22034</v>
          </cell>
          <cell r="I14">
            <v>22854</v>
          </cell>
          <cell r="J14">
            <v>23672</v>
          </cell>
          <cell r="K14">
            <v>24462</v>
          </cell>
          <cell r="L14">
            <v>25248</v>
          </cell>
          <cell r="M14">
            <v>25989</v>
          </cell>
          <cell r="N14">
            <v>26703</v>
          </cell>
          <cell r="O14">
            <v>27363</v>
          </cell>
          <cell r="P14">
            <v>27984</v>
          </cell>
          <cell r="Q14">
            <v>28567</v>
          </cell>
          <cell r="R14">
            <v>29100</v>
          </cell>
          <cell r="S14">
            <v>29596</v>
          </cell>
          <cell r="T14">
            <v>30052</v>
          </cell>
          <cell r="U14">
            <v>30456</v>
          </cell>
          <cell r="V14">
            <v>30838</v>
          </cell>
          <cell r="W14">
            <v>31269</v>
          </cell>
          <cell r="X14">
            <v>31845</v>
          </cell>
          <cell r="Y14">
            <v>32646</v>
          </cell>
          <cell r="Z14">
            <v>33701</v>
          </cell>
          <cell r="AA14">
            <v>34968</v>
          </cell>
          <cell r="AB14">
            <v>36412</v>
          </cell>
          <cell r="AC14">
            <v>37946</v>
          </cell>
          <cell r="AD14">
            <v>39519</v>
          </cell>
          <cell r="AE14">
            <v>41119</v>
          </cell>
          <cell r="AF14">
            <v>42740</v>
          </cell>
          <cell r="AG14">
            <v>44343</v>
          </cell>
          <cell r="AH14">
            <v>45894</v>
          </cell>
          <cell r="AI14">
            <v>47347</v>
          </cell>
          <cell r="AJ14">
            <v>48685</v>
          </cell>
          <cell r="AK14">
            <v>49896</v>
          </cell>
          <cell r="AL14">
            <v>51020</v>
          </cell>
          <cell r="AM14">
            <v>52095</v>
          </cell>
          <cell r="AN14">
            <v>53161</v>
          </cell>
          <cell r="AO14">
            <v>54211</v>
          </cell>
          <cell r="AP14">
            <v>55221</v>
          </cell>
          <cell r="AQ14">
            <v>56171</v>
          </cell>
          <cell r="AR14">
            <v>57053</v>
          </cell>
          <cell r="AS14">
            <v>57821</v>
          </cell>
          <cell r="AT14">
            <v>58494</v>
          </cell>
          <cell r="AU14">
            <v>59080</v>
          </cell>
          <cell r="AV14">
            <v>59504</v>
          </cell>
          <cell r="AW14">
            <v>59681</v>
          </cell>
          <cell r="AX14">
            <v>59562</v>
          </cell>
          <cell r="AY14">
            <v>59107</v>
          </cell>
          <cell r="AZ14">
            <v>58365</v>
          </cell>
          <cell r="BA14">
            <v>57492</v>
          </cell>
          <cell r="BB14">
            <v>56683</v>
          </cell>
          <cell r="BC14">
            <v>56079</v>
          </cell>
          <cell r="BD14">
            <v>55759</v>
          </cell>
          <cell r="BE14">
            <v>55667</v>
          </cell>
          <cell r="BF14">
            <v>55713</v>
          </cell>
          <cell r="BG14">
            <v>55791</v>
          </cell>
          <cell r="BH14">
            <v>55812</v>
          </cell>
          <cell r="BI14">
            <v>55741</v>
          </cell>
          <cell r="BJ14">
            <v>55620</v>
          </cell>
          <cell r="BK14">
            <v>55465</v>
          </cell>
        </row>
        <row r="15">
          <cell r="B15" t="str">
            <v>ATG</v>
          </cell>
          <cell r="C15" t="str">
            <v>Population, total</v>
          </cell>
          <cell r="D15" t="str">
            <v>SP.POP.TOTL</v>
          </cell>
          <cell r="E15">
            <v>54131</v>
          </cell>
          <cell r="F15">
            <v>55001</v>
          </cell>
          <cell r="G15">
            <v>55841</v>
          </cell>
          <cell r="H15">
            <v>56702</v>
          </cell>
          <cell r="I15">
            <v>57641</v>
          </cell>
          <cell r="J15">
            <v>58698</v>
          </cell>
          <cell r="K15">
            <v>59915</v>
          </cell>
          <cell r="L15">
            <v>61241</v>
          </cell>
          <cell r="M15">
            <v>62521</v>
          </cell>
          <cell r="N15">
            <v>63550</v>
          </cell>
          <cell r="O15">
            <v>64177</v>
          </cell>
          <cell r="P15">
            <v>64357</v>
          </cell>
          <cell r="Q15">
            <v>64133</v>
          </cell>
          <cell r="R15">
            <v>63650</v>
          </cell>
          <cell r="S15">
            <v>63120</v>
          </cell>
          <cell r="T15">
            <v>62675</v>
          </cell>
          <cell r="U15">
            <v>62367</v>
          </cell>
          <cell r="V15">
            <v>62159</v>
          </cell>
          <cell r="W15">
            <v>62036</v>
          </cell>
          <cell r="X15">
            <v>61952</v>
          </cell>
          <cell r="Y15">
            <v>61865</v>
          </cell>
          <cell r="Z15">
            <v>61800</v>
          </cell>
          <cell r="AA15">
            <v>61779</v>
          </cell>
          <cell r="AB15">
            <v>61787</v>
          </cell>
          <cell r="AC15">
            <v>61786</v>
          </cell>
          <cell r="AD15">
            <v>61786</v>
          </cell>
          <cell r="AE15">
            <v>61754</v>
          </cell>
          <cell r="AF15">
            <v>61717</v>
          </cell>
          <cell r="AG15">
            <v>61771</v>
          </cell>
          <cell r="AH15">
            <v>62008</v>
          </cell>
          <cell r="AI15">
            <v>62528</v>
          </cell>
          <cell r="AJ15">
            <v>63367</v>
          </cell>
          <cell r="AK15">
            <v>64471</v>
          </cell>
          <cell r="AL15">
            <v>65777</v>
          </cell>
          <cell r="AM15">
            <v>67204</v>
          </cell>
          <cell r="AN15">
            <v>68670</v>
          </cell>
          <cell r="AO15">
            <v>70173</v>
          </cell>
          <cell r="AP15">
            <v>71704</v>
          </cell>
          <cell r="AQ15">
            <v>73224</v>
          </cell>
          <cell r="AR15">
            <v>74674</v>
          </cell>
          <cell r="AS15">
            <v>76016</v>
          </cell>
          <cell r="AT15">
            <v>77212</v>
          </cell>
          <cell r="AU15">
            <v>78295</v>
          </cell>
          <cell r="AV15">
            <v>79300</v>
          </cell>
          <cell r="AW15">
            <v>80336</v>
          </cell>
          <cell r="AX15">
            <v>81465</v>
          </cell>
          <cell r="AY15">
            <v>82704</v>
          </cell>
          <cell r="AZ15">
            <v>84026</v>
          </cell>
          <cell r="BA15">
            <v>85397</v>
          </cell>
          <cell r="BB15">
            <v>86746</v>
          </cell>
          <cell r="BC15">
            <v>88028</v>
          </cell>
          <cell r="BD15">
            <v>89253</v>
          </cell>
          <cell r="BE15">
            <v>90409</v>
          </cell>
          <cell r="BF15">
            <v>91516</v>
          </cell>
          <cell r="BG15">
            <v>92562</v>
          </cell>
          <cell r="BH15">
            <v>93566</v>
          </cell>
          <cell r="BI15">
            <v>94527</v>
          </cell>
          <cell r="BJ15">
            <v>95426</v>
          </cell>
          <cell r="BK15">
            <v>96286</v>
          </cell>
        </row>
        <row r="16">
          <cell r="B16" t="str">
            <v>AUS</v>
          </cell>
          <cell r="C16" t="str">
            <v>Population, total</v>
          </cell>
          <cell r="D16" t="str">
            <v>SP.POP.TOTL</v>
          </cell>
          <cell r="E16">
            <v>10276477</v>
          </cell>
          <cell r="F16">
            <v>10483000</v>
          </cell>
          <cell r="G16">
            <v>10742000</v>
          </cell>
          <cell r="H16">
            <v>10950000</v>
          </cell>
          <cell r="I16">
            <v>11167000</v>
          </cell>
          <cell r="J16">
            <v>11388000</v>
          </cell>
          <cell r="K16">
            <v>11651000</v>
          </cell>
          <cell r="L16">
            <v>11799000</v>
          </cell>
          <cell r="M16">
            <v>12009000</v>
          </cell>
          <cell r="N16">
            <v>12263000</v>
          </cell>
          <cell r="O16">
            <v>12507000</v>
          </cell>
          <cell r="P16">
            <v>12937000</v>
          </cell>
          <cell r="Q16">
            <v>13177000</v>
          </cell>
          <cell r="R16">
            <v>13380000</v>
          </cell>
          <cell r="S16">
            <v>13723000</v>
          </cell>
          <cell r="T16">
            <v>13893000</v>
          </cell>
          <cell r="U16">
            <v>14033000</v>
          </cell>
          <cell r="V16">
            <v>14192000</v>
          </cell>
          <cell r="W16">
            <v>14358000</v>
          </cell>
          <cell r="X16">
            <v>14514000</v>
          </cell>
          <cell r="Y16">
            <v>14692000</v>
          </cell>
          <cell r="Z16">
            <v>14927000</v>
          </cell>
          <cell r="AA16">
            <v>15178000</v>
          </cell>
          <cell r="AB16">
            <v>15369000</v>
          </cell>
          <cell r="AC16">
            <v>15544000</v>
          </cell>
          <cell r="AD16">
            <v>15758000</v>
          </cell>
          <cell r="AE16">
            <v>16018400</v>
          </cell>
          <cell r="AF16">
            <v>16263900</v>
          </cell>
          <cell r="AG16">
            <v>16532200</v>
          </cell>
          <cell r="AH16">
            <v>16814400</v>
          </cell>
          <cell r="AI16">
            <v>17065100</v>
          </cell>
          <cell r="AJ16">
            <v>17284000</v>
          </cell>
          <cell r="AK16">
            <v>17495000</v>
          </cell>
          <cell r="AL16">
            <v>17667000</v>
          </cell>
          <cell r="AM16">
            <v>17855000</v>
          </cell>
          <cell r="AN16">
            <v>18072000</v>
          </cell>
          <cell r="AO16">
            <v>18311000</v>
          </cell>
          <cell r="AP16">
            <v>18517000</v>
          </cell>
          <cell r="AQ16">
            <v>18711000</v>
          </cell>
          <cell r="AR16">
            <v>18926000</v>
          </cell>
          <cell r="AS16">
            <v>19153000</v>
          </cell>
          <cell r="AT16">
            <v>19413000</v>
          </cell>
          <cell r="AU16">
            <v>19651400</v>
          </cell>
          <cell r="AV16">
            <v>19895400</v>
          </cell>
          <cell r="AW16">
            <v>20127400</v>
          </cell>
          <cell r="AX16">
            <v>20394800</v>
          </cell>
          <cell r="AY16">
            <v>20697900</v>
          </cell>
          <cell r="AZ16">
            <v>20827600</v>
          </cell>
          <cell r="BA16">
            <v>21249200</v>
          </cell>
          <cell r="BB16">
            <v>21691700</v>
          </cell>
          <cell r="BC16">
            <v>22031750</v>
          </cell>
          <cell r="BD16">
            <v>22340024</v>
          </cell>
          <cell r="BE16">
            <v>22733465</v>
          </cell>
          <cell r="BF16">
            <v>23128129</v>
          </cell>
          <cell r="BG16">
            <v>23475686</v>
          </cell>
          <cell r="BH16">
            <v>23815995</v>
          </cell>
          <cell r="BI16">
            <v>24190907</v>
          </cell>
          <cell r="BJ16">
            <v>24601860</v>
          </cell>
          <cell r="BK16">
            <v>24982688</v>
          </cell>
        </row>
        <row r="17">
          <cell r="B17" t="str">
            <v>AUT</v>
          </cell>
          <cell r="C17" t="str">
            <v>Population, total</v>
          </cell>
          <cell r="D17" t="str">
            <v>SP.POP.TOTL</v>
          </cell>
          <cell r="E17">
            <v>7047539</v>
          </cell>
          <cell r="F17">
            <v>7086299</v>
          </cell>
          <cell r="G17">
            <v>7129864</v>
          </cell>
          <cell r="H17">
            <v>7175811</v>
          </cell>
          <cell r="I17">
            <v>7223801</v>
          </cell>
          <cell r="J17">
            <v>7270889</v>
          </cell>
          <cell r="K17">
            <v>7322066</v>
          </cell>
          <cell r="L17">
            <v>7376998</v>
          </cell>
          <cell r="M17">
            <v>7415403</v>
          </cell>
          <cell r="N17">
            <v>7441055</v>
          </cell>
          <cell r="O17">
            <v>7467086</v>
          </cell>
          <cell r="P17">
            <v>7500482</v>
          </cell>
          <cell r="Q17">
            <v>7544201</v>
          </cell>
          <cell r="R17">
            <v>7586115</v>
          </cell>
          <cell r="S17">
            <v>7599038</v>
          </cell>
          <cell r="T17">
            <v>7578903</v>
          </cell>
          <cell r="U17">
            <v>7565525</v>
          </cell>
          <cell r="V17">
            <v>7568430</v>
          </cell>
          <cell r="W17">
            <v>7562305</v>
          </cell>
          <cell r="X17">
            <v>7549425</v>
          </cell>
          <cell r="Y17">
            <v>7549433</v>
          </cell>
          <cell r="Z17">
            <v>7568710</v>
          </cell>
          <cell r="AA17">
            <v>7574140</v>
          </cell>
          <cell r="AB17">
            <v>7561910</v>
          </cell>
          <cell r="AC17">
            <v>7561434</v>
          </cell>
          <cell r="AD17">
            <v>7564985</v>
          </cell>
          <cell r="AE17">
            <v>7569794</v>
          </cell>
          <cell r="AF17">
            <v>7574586</v>
          </cell>
          <cell r="AG17">
            <v>7585317</v>
          </cell>
          <cell r="AH17">
            <v>7619567</v>
          </cell>
          <cell r="AI17">
            <v>7677850</v>
          </cell>
          <cell r="AJ17">
            <v>7754891</v>
          </cell>
          <cell r="AK17">
            <v>7840709</v>
          </cell>
          <cell r="AL17">
            <v>7905633</v>
          </cell>
          <cell r="AM17">
            <v>7936118</v>
          </cell>
          <cell r="AN17">
            <v>7948278</v>
          </cell>
          <cell r="AO17">
            <v>7959017</v>
          </cell>
          <cell r="AP17">
            <v>7968041</v>
          </cell>
          <cell r="AQ17">
            <v>7976789</v>
          </cell>
          <cell r="AR17">
            <v>7992324</v>
          </cell>
          <cell r="AS17">
            <v>8011566</v>
          </cell>
          <cell r="AT17">
            <v>8042293</v>
          </cell>
          <cell r="AU17">
            <v>8081957</v>
          </cell>
          <cell r="AV17">
            <v>8121423</v>
          </cell>
          <cell r="AW17">
            <v>8171966</v>
          </cell>
          <cell r="AX17">
            <v>8227829</v>
          </cell>
          <cell r="AY17">
            <v>8268641</v>
          </cell>
          <cell r="AZ17">
            <v>8295487</v>
          </cell>
          <cell r="BA17">
            <v>8321496</v>
          </cell>
          <cell r="BB17">
            <v>8343323</v>
          </cell>
          <cell r="BC17">
            <v>8363404</v>
          </cell>
          <cell r="BD17">
            <v>8391643</v>
          </cell>
          <cell r="BE17">
            <v>8429991</v>
          </cell>
          <cell r="BF17">
            <v>8479823</v>
          </cell>
          <cell r="BG17">
            <v>8546356</v>
          </cell>
          <cell r="BH17">
            <v>8642699</v>
          </cell>
          <cell r="BI17">
            <v>8736668</v>
          </cell>
          <cell r="BJ17">
            <v>8797566</v>
          </cell>
          <cell r="BK17">
            <v>8840521</v>
          </cell>
        </row>
        <row r="18">
          <cell r="B18" t="str">
            <v>AZE</v>
          </cell>
          <cell r="C18" t="str">
            <v>Population, total</v>
          </cell>
          <cell r="D18" t="str">
            <v>SP.POP.TOTL</v>
          </cell>
          <cell r="E18">
            <v>3895397</v>
          </cell>
          <cell r="F18">
            <v>4030322</v>
          </cell>
          <cell r="G18">
            <v>4171426</v>
          </cell>
          <cell r="H18">
            <v>4315127</v>
          </cell>
          <cell r="I18">
            <v>4456687</v>
          </cell>
          <cell r="J18">
            <v>4592609</v>
          </cell>
          <cell r="K18">
            <v>4721523</v>
          </cell>
          <cell r="L18">
            <v>4843868</v>
          </cell>
          <cell r="M18">
            <v>4960232</v>
          </cell>
          <cell r="N18">
            <v>5071927</v>
          </cell>
          <cell r="O18">
            <v>5180023</v>
          </cell>
          <cell r="P18">
            <v>5284531</v>
          </cell>
          <cell r="Q18">
            <v>5385263</v>
          </cell>
          <cell r="R18">
            <v>5483082</v>
          </cell>
          <cell r="S18">
            <v>5579072</v>
          </cell>
          <cell r="T18">
            <v>5674133</v>
          </cell>
          <cell r="U18">
            <v>5768721</v>
          </cell>
          <cell r="V18">
            <v>5863132</v>
          </cell>
          <cell r="W18">
            <v>5957925</v>
          </cell>
          <cell r="X18">
            <v>6053640</v>
          </cell>
          <cell r="Y18">
            <v>6150733</v>
          </cell>
          <cell r="Z18">
            <v>6249314</v>
          </cell>
          <cell r="AA18">
            <v>6349553</v>
          </cell>
          <cell r="AB18">
            <v>6452069</v>
          </cell>
          <cell r="AC18">
            <v>6557581</v>
          </cell>
          <cell r="AD18">
            <v>6666447</v>
          </cell>
          <cell r="AE18">
            <v>6778624</v>
          </cell>
          <cell r="AF18">
            <v>6893489</v>
          </cell>
          <cell r="AG18">
            <v>7010027</v>
          </cell>
          <cell r="AH18">
            <v>7126881</v>
          </cell>
          <cell r="AI18">
            <v>7159000</v>
          </cell>
          <cell r="AJ18">
            <v>7271000</v>
          </cell>
          <cell r="AK18">
            <v>7382000</v>
          </cell>
          <cell r="AL18">
            <v>7495000</v>
          </cell>
          <cell r="AM18">
            <v>7597000</v>
          </cell>
          <cell r="AN18">
            <v>7685000</v>
          </cell>
          <cell r="AO18">
            <v>7763000</v>
          </cell>
          <cell r="AP18">
            <v>7838250</v>
          </cell>
          <cell r="AQ18">
            <v>7913000</v>
          </cell>
          <cell r="AR18">
            <v>7982750</v>
          </cell>
          <cell r="AS18">
            <v>8048600</v>
          </cell>
          <cell r="AT18">
            <v>8111200</v>
          </cell>
          <cell r="AU18">
            <v>8171950</v>
          </cell>
          <cell r="AV18">
            <v>8234100</v>
          </cell>
          <cell r="AW18">
            <v>8306500</v>
          </cell>
          <cell r="AX18">
            <v>8391850</v>
          </cell>
          <cell r="AY18">
            <v>8484550</v>
          </cell>
          <cell r="AZ18">
            <v>8581300</v>
          </cell>
          <cell r="BA18">
            <v>8763400</v>
          </cell>
          <cell r="BB18">
            <v>8947243</v>
          </cell>
          <cell r="BC18">
            <v>9054332</v>
          </cell>
          <cell r="BD18">
            <v>9173082</v>
          </cell>
          <cell r="BE18">
            <v>9295784</v>
          </cell>
          <cell r="BF18">
            <v>9416801</v>
          </cell>
          <cell r="BG18">
            <v>9535079</v>
          </cell>
          <cell r="BH18">
            <v>9649341</v>
          </cell>
          <cell r="BI18">
            <v>9757812</v>
          </cell>
          <cell r="BJ18">
            <v>9854033</v>
          </cell>
          <cell r="BK18">
            <v>9939800</v>
          </cell>
        </row>
        <row r="19">
          <cell r="B19" t="str">
            <v>BDI</v>
          </cell>
          <cell r="C19" t="str">
            <v>Population, total</v>
          </cell>
          <cell r="D19" t="str">
            <v>SP.POP.TOTL</v>
          </cell>
          <cell r="E19">
            <v>2797932</v>
          </cell>
          <cell r="F19">
            <v>2852438</v>
          </cell>
          <cell r="G19">
            <v>2907321</v>
          </cell>
          <cell r="H19">
            <v>2964427</v>
          </cell>
          <cell r="I19">
            <v>3026290</v>
          </cell>
          <cell r="J19">
            <v>3094379</v>
          </cell>
          <cell r="K19">
            <v>3170490</v>
          </cell>
          <cell r="L19">
            <v>3253218</v>
          </cell>
          <cell r="M19">
            <v>3336927</v>
          </cell>
          <cell r="N19">
            <v>3413904</v>
          </cell>
          <cell r="O19">
            <v>3479074</v>
          </cell>
          <cell r="P19">
            <v>3529997</v>
          </cell>
          <cell r="Q19">
            <v>3569666</v>
          </cell>
          <cell r="R19">
            <v>3605126</v>
          </cell>
          <cell r="S19">
            <v>3646431</v>
          </cell>
          <cell r="T19">
            <v>3700880</v>
          </cell>
          <cell r="U19">
            <v>3770871</v>
          </cell>
          <cell r="V19">
            <v>3854445</v>
          </cell>
          <cell r="W19">
            <v>3949266</v>
          </cell>
          <cell r="X19">
            <v>4051234</v>
          </cell>
          <cell r="Y19">
            <v>4157298</v>
          </cell>
          <cell r="Z19">
            <v>4266520</v>
          </cell>
          <cell r="AA19">
            <v>4379724</v>
          </cell>
          <cell r="AB19">
            <v>4497533</v>
          </cell>
          <cell r="AC19">
            <v>4621103</v>
          </cell>
          <cell r="AD19">
            <v>4750837</v>
          </cell>
          <cell r="AE19">
            <v>4886743</v>
          </cell>
          <cell r="AF19">
            <v>5027138</v>
          </cell>
          <cell r="AG19">
            <v>5168698</v>
          </cell>
          <cell r="AH19">
            <v>5307069</v>
          </cell>
          <cell r="AI19">
            <v>5438957</v>
          </cell>
          <cell r="AJ19">
            <v>5564926</v>
          </cell>
          <cell r="AK19">
            <v>5685565</v>
          </cell>
          <cell r="AL19">
            <v>5798053</v>
          </cell>
          <cell r="AM19">
            <v>5898967</v>
          </cell>
          <cell r="AN19">
            <v>5987043</v>
          </cell>
          <cell r="AO19">
            <v>6060111</v>
          </cell>
          <cell r="AP19">
            <v>6122130</v>
          </cell>
          <cell r="AQ19">
            <v>6185562</v>
          </cell>
          <cell r="AR19">
            <v>6267124</v>
          </cell>
          <cell r="AS19">
            <v>6378871</v>
          </cell>
          <cell r="AT19">
            <v>6525545</v>
          </cell>
          <cell r="AU19">
            <v>6704113</v>
          </cell>
          <cell r="AV19">
            <v>6909154</v>
          </cell>
          <cell r="AW19">
            <v>7131693</v>
          </cell>
          <cell r="AX19">
            <v>7364862</v>
          </cell>
          <cell r="AY19">
            <v>7607849</v>
          </cell>
          <cell r="AZ19">
            <v>7862214</v>
          </cell>
          <cell r="BA19">
            <v>8126102</v>
          </cell>
          <cell r="BB19">
            <v>8397668</v>
          </cell>
          <cell r="BC19">
            <v>8675602</v>
          </cell>
          <cell r="BD19">
            <v>8958406</v>
          </cell>
          <cell r="BE19">
            <v>9245988</v>
          </cell>
          <cell r="BF19">
            <v>9540289</v>
          </cell>
          <cell r="BG19">
            <v>9844297</v>
          </cell>
          <cell r="BH19">
            <v>10160030</v>
          </cell>
          <cell r="BI19">
            <v>10487998</v>
          </cell>
          <cell r="BJ19">
            <v>10827024</v>
          </cell>
          <cell r="BK19">
            <v>11175378</v>
          </cell>
        </row>
        <row r="20">
          <cell r="B20" t="str">
            <v>BEL</v>
          </cell>
          <cell r="C20" t="str">
            <v>Population, total</v>
          </cell>
          <cell r="D20" t="str">
            <v>SP.POP.TOTL</v>
          </cell>
          <cell r="E20">
            <v>9153489</v>
          </cell>
          <cell r="F20">
            <v>9183948</v>
          </cell>
          <cell r="G20">
            <v>9220578</v>
          </cell>
          <cell r="H20">
            <v>9289770</v>
          </cell>
          <cell r="I20">
            <v>9378113</v>
          </cell>
          <cell r="J20">
            <v>9463667</v>
          </cell>
          <cell r="K20">
            <v>9527807</v>
          </cell>
          <cell r="L20">
            <v>9580991</v>
          </cell>
          <cell r="M20">
            <v>9618756</v>
          </cell>
          <cell r="N20">
            <v>9646032</v>
          </cell>
          <cell r="O20">
            <v>9655549</v>
          </cell>
          <cell r="P20">
            <v>9673162</v>
          </cell>
          <cell r="Q20">
            <v>9711115</v>
          </cell>
          <cell r="R20">
            <v>9741720</v>
          </cell>
          <cell r="S20">
            <v>9772419</v>
          </cell>
          <cell r="T20">
            <v>9800700</v>
          </cell>
          <cell r="U20">
            <v>9818227</v>
          </cell>
          <cell r="V20">
            <v>9830358</v>
          </cell>
          <cell r="W20">
            <v>9839534</v>
          </cell>
          <cell r="X20">
            <v>9848382</v>
          </cell>
          <cell r="Y20">
            <v>9859242</v>
          </cell>
          <cell r="Z20">
            <v>9858982</v>
          </cell>
          <cell r="AA20">
            <v>9856303</v>
          </cell>
          <cell r="AB20">
            <v>9855520</v>
          </cell>
          <cell r="AC20">
            <v>9855372</v>
          </cell>
          <cell r="AD20">
            <v>9858308</v>
          </cell>
          <cell r="AE20">
            <v>9861823</v>
          </cell>
          <cell r="AF20">
            <v>9870234</v>
          </cell>
          <cell r="AG20">
            <v>9901664</v>
          </cell>
          <cell r="AH20">
            <v>9937697</v>
          </cell>
          <cell r="AI20">
            <v>9967379</v>
          </cell>
          <cell r="AJ20">
            <v>10004486</v>
          </cell>
          <cell r="AK20">
            <v>10045158</v>
          </cell>
          <cell r="AL20">
            <v>10084475</v>
          </cell>
          <cell r="AM20">
            <v>10115603</v>
          </cell>
          <cell r="AN20">
            <v>10136811</v>
          </cell>
          <cell r="AO20">
            <v>10156637</v>
          </cell>
          <cell r="AP20">
            <v>10181245</v>
          </cell>
          <cell r="AQ20">
            <v>10203008</v>
          </cell>
          <cell r="AR20">
            <v>10226419</v>
          </cell>
          <cell r="AS20">
            <v>10251250</v>
          </cell>
          <cell r="AT20">
            <v>10286570</v>
          </cell>
          <cell r="AU20">
            <v>10332785</v>
          </cell>
          <cell r="AV20">
            <v>10376133</v>
          </cell>
          <cell r="AW20">
            <v>10421137</v>
          </cell>
          <cell r="AX20">
            <v>10478617</v>
          </cell>
          <cell r="AY20">
            <v>10547958</v>
          </cell>
          <cell r="AZ20">
            <v>10625700</v>
          </cell>
          <cell r="BA20">
            <v>10709973</v>
          </cell>
          <cell r="BB20">
            <v>10796493</v>
          </cell>
          <cell r="BC20">
            <v>10895586</v>
          </cell>
          <cell r="BD20">
            <v>11038264</v>
          </cell>
          <cell r="BE20">
            <v>11106932</v>
          </cell>
          <cell r="BF20">
            <v>11159407</v>
          </cell>
          <cell r="BG20">
            <v>11209057</v>
          </cell>
          <cell r="BH20">
            <v>11274196</v>
          </cell>
          <cell r="BI20">
            <v>11331422</v>
          </cell>
          <cell r="BJ20">
            <v>11375158</v>
          </cell>
          <cell r="BK20">
            <v>11433256</v>
          </cell>
        </row>
        <row r="21">
          <cell r="B21" t="str">
            <v>BEN</v>
          </cell>
          <cell r="C21" t="str">
            <v>Population, total</v>
          </cell>
          <cell r="D21" t="str">
            <v>SP.POP.TOTL</v>
          </cell>
          <cell r="E21">
            <v>2431622</v>
          </cell>
          <cell r="F21">
            <v>2465867</v>
          </cell>
          <cell r="G21">
            <v>2502896</v>
          </cell>
          <cell r="H21">
            <v>2542859</v>
          </cell>
          <cell r="I21">
            <v>2585965</v>
          </cell>
          <cell r="J21">
            <v>2632356</v>
          </cell>
          <cell r="K21">
            <v>2682159</v>
          </cell>
          <cell r="L21">
            <v>2735307</v>
          </cell>
          <cell r="M21">
            <v>2791590</v>
          </cell>
          <cell r="N21">
            <v>2850661</v>
          </cell>
          <cell r="O21">
            <v>2912340</v>
          </cell>
          <cell r="P21">
            <v>2976572</v>
          </cell>
          <cell r="Q21">
            <v>3043567</v>
          </cell>
          <cell r="R21">
            <v>3113675</v>
          </cell>
          <cell r="S21">
            <v>3187412</v>
          </cell>
          <cell r="T21">
            <v>3265165</v>
          </cell>
          <cell r="U21">
            <v>3347173</v>
          </cell>
          <cell r="V21">
            <v>3433439</v>
          </cell>
          <cell r="W21">
            <v>3523938</v>
          </cell>
          <cell r="X21">
            <v>3618526</v>
          </cell>
          <cell r="Y21">
            <v>3717165</v>
          </cell>
          <cell r="Z21">
            <v>3820128</v>
          </cell>
          <cell r="AA21">
            <v>3927714</v>
          </cell>
          <cell r="AB21">
            <v>4039949</v>
          </cell>
          <cell r="AC21">
            <v>4156819</v>
          </cell>
          <cell r="AD21">
            <v>4278501</v>
          </cell>
          <cell r="AE21">
            <v>4404506</v>
          </cell>
          <cell r="AF21">
            <v>4535263</v>
          </cell>
          <cell r="AG21">
            <v>4672852</v>
          </cell>
          <cell r="AH21">
            <v>4820016</v>
          </cell>
          <cell r="AI21">
            <v>4978496</v>
          </cell>
          <cell r="AJ21">
            <v>5149499</v>
          </cell>
          <cell r="AK21">
            <v>5331803</v>
          </cell>
          <cell r="AL21">
            <v>5521763</v>
          </cell>
          <cell r="AM21">
            <v>5714220</v>
          </cell>
          <cell r="AN21">
            <v>5905558</v>
          </cell>
          <cell r="AO21">
            <v>6094259</v>
          </cell>
          <cell r="AP21">
            <v>6281639</v>
          </cell>
          <cell r="AQ21">
            <v>6470265</v>
          </cell>
          <cell r="AR21">
            <v>6664098</v>
          </cell>
          <cell r="AS21">
            <v>6865951</v>
          </cell>
          <cell r="AT21">
            <v>7076733</v>
          </cell>
          <cell r="AU21">
            <v>7295394</v>
          </cell>
          <cell r="AV21">
            <v>7520555</v>
          </cell>
          <cell r="AW21">
            <v>7750004</v>
          </cell>
          <cell r="AX21">
            <v>7982225</v>
          </cell>
          <cell r="AY21">
            <v>8216897</v>
          </cell>
          <cell r="AZ21">
            <v>8454793</v>
          </cell>
          <cell r="BA21">
            <v>8696921</v>
          </cell>
          <cell r="BB21">
            <v>8944708</v>
          </cell>
          <cell r="BC21">
            <v>9199259</v>
          </cell>
          <cell r="BD21">
            <v>9460830</v>
          </cell>
          <cell r="BE21">
            <v>9729248</v>
          </cell>
          <cell r="BF21">
            <v>10004588</v>
          </cell>
          <cell r="BG21">
            <v>10286842</v>
          </cell>
          <cell r="BH21">
            <v>10575952</v>
          </cell>
          <cell r="BI21">
            <v>10872067</v>
          </cell>
          <cell r="BJ21">
            <v>11175204</v>
          </cell>
          <cell r="BK21">
            <v>11485048</v>
          </cell>
        </row>
        <row r="22">
          <cell r="B22" t="str">
            <v>BFA</v>
          </cell>
          <cell r="C22" t="str">
            <v>Population, total</v>
          </cell>
          <cell r="D22" t="str">
            <v>SP.POP.TOTL</v>
          </cell>
          <cell r="E22">
            <v>4829288</v>
          </cell>
          <cell r="F22">
            <v>4894580</v>
          </cell>
          <cell r="G22">
            <v>4960326</v>
          </cell>
          <cell r="H22">
            <v>5027821</v>
          </cell>
          <cell r="I22">
            <v>5098890</v>
          </cell>
          <cell r="J22">
            <v>5174870</v>
          </cell>
          <cell r="K22">
            <v>5256363</v>
          </cell>
          <cell r="L22">
            <v>5343019</v>
          </cell>
          <cell r="M22">
            <v>5434041</v>
          </cell>
          <cell r="N22">
            <v>5528174</v>
          </cell>
          <cell r="O22">
            <v>5624600</v>
          </cell>
          <cell r="P22">
            <v>5723381</v>
          </cell>
          <cell r="Q22">
            <v>5825173</v>
          </cell>
          <cell r="R22">
            <v>5930483</v>
          </cell>
          <cell r="S22">
            <v>6040041</v>
          </cell>
          <cell r="T22">
            <v>6154545</v>
          </cell>
          <cell r="U22">
            <v>6274037</v>
          </cell>
          <cell r="V22">
            <v>6398935</v>
          </cell>
          <cell r="W22">
            <v>6530819</v>
          </cell>
          <cell r="X22">
            <v>6671656</v>
          </cell>
          <cell r="Y22">
            <v>6822843</v>
          </cell>
          <cell r="Z22">
            <v>6985160</v>
          </cell>
          <cell r="AA22">
            <v>7158255</v>
          </cell>
          <cell r="AB22">
            <v>7340905</v>
          </cell>
          <cell r="AC22">
            <v>7531242</v>
          </cell>
          <cell r="AD22">
            <v>7727907</v>
          </cell>
          <cell r="AE22">
            <v>7930694</v>
          </cell>
          <cell r="AF22">
            <v>8140073</v>
          </cell>
          <cell r="AG22">
            <v>8356305</v>
          </cell>
          <cell r="AH22">
            <v>8579823</v>
          </cell>
          <cell r="AI22">
            <v>8811034</v>
          </cell>
          <cell r="AJ22">
            <v>9050084</v>
          </cell>
          <cell r="AK22">
            <v>9297113</v>
          </cell>
          <cell r="AL22">
            <v>9552476</v>
          </cell>
          <cell r="AM22">
            <v>9816588</v>
          </cell>
          <cell r="AN22">
            <v>10089878</v>
          </cell>
          <cell r="AO22">
            <v>10372745</v>
          </cell>
          <cell r="AP22">
            <v>10665546</v>
          </cell>
          <cell r="AQ22">
            <v>10968724</v>
          </cell>
          <cell r="AR22">
            <v>11282701</v>
          </cell>
          <cell r="AS22">
            <v>11607942</v>
          </cell>
          <cell r="AT22">
            <v>11944587</v>
          </cell>
          <cell r="AU22">
            <v>12293100</v>
          </cell>
          <cell r="AV22">
            <v>12654621</v>
          </cell>
          <cell r="AW22">
            <v>13030569</v>
          </cell>
          <cell r="AX22">
            <v>13421930</v>
          </cell>
          <cell r="AY22">
            <v>13829176</v>
          </cell>
          <cell r="AZ22">
            <v>14252021</v>
          </cell>
          <cell r="BA22">
            <v>14689725</v>
          </cell>
          <cell r="BB22">
            <v>15141098</v>
          </cell>
          <cell r="BC22">
            <v>15605217</v>
          </cell>
          <cell r="BD22">
            <v>16081911</v>
          </cell>
          <cell r="BE22">
            <v>16571246</v>
          </cell>
          <cell r="BF22">
            <v>17072775</v>
          </cell>
          <cell r="BG22">
            <v>17586017</v>
          </cell>
          <cell r="BH22">
            <v>18110624</v>
          </cell>
          <cell r="BI22">
            <v>18646378</v>
          </cell>
          <cell r="BJ22">
            <v>19193284</v>
          </cell>
          <cell r="BK22">
            <v>19751535</v>
          </cell>
        </row>
        <row r="23">
          <cell r="B23" t="str">
            <v>BGD</v>
          </cell>
          <cell r="C23" t="str">
            <v>Population, total</v>
          </cell>
          <cell r="D23" t="str">
            <v>SP.POP.TOTL</v>
          </cell>
          <cell r="E23">
            <v>48013504</v>
          </cell>
          <cell r="F23">
            <v>49362843</v>
          </cell>
          <cell r="G23">
            <v>50752157</v>
          </cell>
          <cell r="H23">
            <v>52202007</v>
          </cell>
          <cell r="I23">
            <v>53741716</v>
          </cell>
          <cell r="J23">
            <v>55385112</v>
          </cell>
          <cell r="K23">
            <v>57157654</v>
          </cell>
          <cell r="L23">
            <v>59034249</v>
          </cell>
          <cell r="M23">
            <v>60918454</v>
          </cell>
          <cell r="N23">
            <v>62679765</v>
          </cell>
          <cell r="O23">
            <v>64232482</v>
          </cell>
          <cell r="P23">
            <v>65531633</v>
          </cell>
          <cell r="Q23">
            <v>66625705</v>
          </cell>
          <cell r="R23">
            <v>67637530</v>
          </cell>
          <cell r="S23">
            <v>68742233</v>
          </cell>
          <cell r="T23">
            <v>70066301</v>
          </cell>
          <cell r="U23">
            <v>71652381</v>
          </cell>
          <cell r="V23">
            <v>73463584</v>
          </cell>
          <cell r="W23">
            <v>75450032</v>
          </cell>
          <cell r="X23">
            <v>77529045</v>
          </cell>
          <cell r="Y23">
            <v>79639491</v>
          </cell>
          <cell r="Z23">
            <v>81767515</v>
          </cell>
          <cell r="AA23">
            <v>83932127</v>
          </cell>
          <cell r="AB23">
            <v>86142495</v>
          </cell>
          <cell r="AC23">
            <v>88416521</v>
          </cell>
          <cell r="AD23">
            <v>90764183</v>
          </cell>
          <cell r="AE23">
            <v>93187603</v>
          </cell>
          <cell r="AF23">
            <v>95671163</v>
          </cell>
          <cell r="AG23">
            <v>98186350</v>
          </cell>
          <cell r="AH23">
            <v>100695497</v>
          </cell>
          <cell r="AI23">
            <v>103171956</v>
          </cell>
          <cell r="AJ23">
            <v>105599127</v>
          </cell>
          <cell r="AK23">
            <v>107983704</v>
          </cell>
          <cell r="AL23">
            <v>110350639</v>
          </cell>
          <cell r="AM23">
            <v>112737683</v>
          </cell>
          <cell r="AN23">
            <v>115169930</v>
          </cell>
          <cell r="AO23">
            <v>117649932</v>
          </cell>
          <cell r="AP23">
            <v>120160564</v>
          </cell>
          <cell r="AQ23">
            <v>122682815</v>
          </cell>
          <cell r="AR23">
            <v>125189651</v>
          </cell>
          <cell r="AS23">
            <v>127657854</v>
          </cell>
          <cell r="AT23">
            <v>130088702</v>
          </cell>
          <cell r="AU23">
            <v>132478086</v>
          </cell>
          <cell r="AV23">
            <v>134791603</v>
          </cell>
          <cell r="AW23">
            <v>136986432</v>
          </cell>
          <cell r="AX23">
            <v>139035505</v>
          </cell>
          <cell r="AY23">
            <v>140921167</v>
          </cell>
          <cell r="AZ23">
            <v>142660376</v>
          </cell>
          <cell r="BA23">
            <v>144304167</v>
          </cell>
          <cell r="BB23">
            <v>145924797</v>
          </cell>
          <cell r="BC23">
            <v>147575430</v>
          </cell>
          <cell r="BD23">
            <v>149273778</v>
          </cell>
          <cell r="BE23">
            <v>151007807</v>
          </cell>
          <cell r="BF23">
            <v>152764676</v>
          </cell>
          <cell r="BG23">
            <v>154520167</v>
          </cell>
          <cell r="BH23">
            <v>156256276</v>
          </cell>
          <cell r="BI23">
            <v>157970840</v>
          </cell>
          <cell r="BJ23">
            <v>159670593</v>
          </cell>
          <cell r="BK23">
            <v>161356039</v>
          </cell>
        </row>
        <row r="24">
          <cell r="B24" t="str">
            <v>BGR</v>
          </cell>
          <cell r="C24" t="str">
            <v>Population, total</v>
          </cell>
          <cell r="D24" t="str">
            <v>SP.POP.TOTL</v>
          </cell>
          <cell r="E24">
            <v>7867374</v>
          </cell>
          <cell r="F24">
            <v>7943118</v>
          </cell>
          <cell r="G24">
            <v>8012946</v>
          </cell>
          <cell r="H24">
            <v>8078145</v>
          </cell>
          <cell r="I24">
            <v>8144340</v>
          </cell>
          <cell r="J24">
            <v>8204168</v>
          </cell>
          <cell r="K24">
            <v>8258057</v>
          </cell>
          <cell r="L24">
            <v>8310226</v>
          </cell>
          <cell r="M24">
            <v>8369603</v>
          </cell>
          <cell r="N24">
            <v>8434172</v>
          </cell>
          <cell r="O24">
            <v>8489574</v>
          </cell>
          <cell r="P24">
            <v>8536395</v>
          </cell>
          <cell r="Q24">
            <v>8576200</v>
          </cell>
          <cell r="R24">
            <v>8620967</v>
          </cell>
          <cell r="S24">
            <v>8678745</v>
          </cell>
          <cell r="T24">
            <v>8720742</v>
          </cell>
          <cell r="U24">
            <v>8758599</v>
          </cell>
          <cell r="V24">
            <v>8804183</v>
          </cell>
          <cell r="W24">
            <v>8814032</v>
          </cell>
          <cell r="X24">
            <v>8825940</v>
          </cell>
          <cell r="Y24">
            <v>8861535</v>
          </cell>
          <cell r="Z24">
            <v>8891117</v>
          </cell>
          <cell r="AA24">
            <v>8917457</v>
          </cell>
          <cell r="AB24">
            <v>8939738</v>
          </cell>
          <cell r="AC24">
            <v>8960679</v>
          </cell>
          <cell r="AD24">
            <v>8960547</v>
          </cell>
          <cell r="AE24">
            <v>8958171</v>
          </cell>
          <cell r="AF24">
            <v>8971359</v>
          </cell>
          <cell r="AG24">
            <v>8981446</v>
          </cell>
          <cell r="AH24">
            <v>8876972</v>
          </cell>
          <cell r="AI24">
            <v>8718289</v>
          </cell>
          <cell r="AJ24">
            <v>8632367</v>
          </cell>
          <cell r="AK24">
            <v>8540164</v>
          </cell>
          <cell r="AL24">
            <v>8472313</v>
          </cell>
          <cell r="AM24">
            <v>8443591</v>
          </cell>
          <cell r="AN24">
            <v>8406067</v>
          </cell>
          <cell r="AO24">
            <v>8362826</v>
          </cell>
          <cell r="AP24">
            <v>8312068</v>
          </cell>
          <cell r="AQ24">
            <v>8256786</v>
          </cell>
          <cell r="AR24">
            <v>8210624</v>
          </cell>
          <cell r="AS24">
            <v>8170172</v>
          </cell>
          <cell r="AT24">
            <v>8009142</v>
          </cell>
          <cell r="AU24">
            <v>7837161</v>
          </cell>
          <cell r="AV24">
            <v>7775327</v>
          </cell>
          <cell r="AW24">
            <v>7716860</v>
          </cell>
          <cell r="AX24">
            <v>7658972</v>
          </cell>
          <cell r="AY24">
            <v>7601022</v>
          </cell>
          <cell r="AZ24">
            <v>7545338</v>
          </cell>
          <cell r="BA24">
            <v>7492561</v>
          </cell>
          <cell r="BB24">
            <v>7444443</v>
          </cell>
          <cell r="BC24">
            <v>7395599</v>
          </cell>
          <cell r="BD24">
            <v>7348328</v>
          </cell>
          <cell r="BE24">
            <v>7305888</v>
          </cell>
          <cell r="BF24">
            <v>7265115</v>
          </cell>
          <cell r="BG24">
            <v>7223938</v>
          </cell>
          <cell r="BH24">
            <v>7177991</v>
          </cell>
          <cell r="BI24">
            <v>7127822</v>
          </cell>
          <cell r="BJ24">
            <v>7075947</v>
          </cell>
          <cell r="BK24">
            <v>7025037</v>
          </cell>
        </row>
        <row r="25">
          <cell r="B25" t="str">
            <v>BHR</v>
          </cell>
          <cell r="C25" t="str">
            <v>Population, total</v>
          </cell>
          <cell r="D25" t="str">
            <v>SP.POP.TOTL</v>
          </cell>
          <cell r="E25">
            <v>162427</v>
          </cell>
          <cell r="F25">
            <v>167894</v>
          </cell>
          <cell r="G25">
            <v>173144</v>
          </cell>
          <cell r="H25">
            <v>178140</v>
          </cell>
          <cell r="I25">
            <v>182887</v>
          </cell>
          <cell r="J25">
            <v>187431</v>
          </cell>
          <cell r="K25">
            <v>191780</v>
          </cell>
          <cell r="L25">
            <v>196063</v>
          </cell>
          <cell r="M25">
            <v>200653</v>
          </cell>
          <cell r="N25">
            <v>206043</v>
          </cell>
          <cell r="O25">
            <v>212605</v>
          </cell>
          <cell r="P25">
            <v>220312</v>
          </cell>
          <cell r="Q25">
            <v>229155</v>
          </cell>
          <cell r="R25">
            <v>239527</v>
          </cell>
          <cell r="S25">
            <v>251911</v>
          </cell>
          <cell r="T25">
            <v>266543</v>
          </cell>
          <cell r="U25">
            <v>283752</v>
          </cell>
          <cell r="V25">
            <v>303175</v>
          </cell>
          <cell r="W25">
            <v>323473</v>
          </cell>
          <cell r="X25">
            <v>342799</v>
          </cell>
          <cell r="Y25">
            <v>359888</v>
          </cell>
          <cell r="Z25">
            <v>374120</v>
          </cell>
          <cell r="AA25">
            <v>385950</v>
          </cell>
          <cell r="AB25">
            <v>396454</v>
          </cell>
          <cell r="AC25">
            <v>407225</v>
          </cell>
          <cell r="AD25">
            <v>419428</v>
          </cell>
          <cell r="AE25">
            <v>433480</v>
          </cell>
          <cell r="AF25">
            <v>448971</v>
          </cell>
          <cell r="AG25">
            <v>465198</v>
          </cell>
          <cell r="AH25">
            <v>481087</v>
          </cell>
          <cell r="AI25">
            <v>495931</v>
          </cell>
          <cell r="AJ25">
            <v>509760</v>
          </cell>
          <cell r="AK25">
            <v>523086</v>
          </cell>
          <cell r="AL25">
            <v>536210</v>
          </cell>
          <cell r="AM25">
            <v>549583</v>
          </cell>
          <cell r="AN25">
            <v>563697</v>
          </cell>
          <cell r="AO25">
            <v>578666</v>
          </cell>
          <cell r="AP25">
            <v>594931</v>
          </cell>
          <cell r="AQ25">
            <v>613700</v>
          </cell>
          <cell r="AR25">
            <v>636541</v>
          </cell>
          <cell r="AS25">
            <v>664611</v>
          </cell>
          <cell r="AT25">
            <v>697545</v>
          </cell>
          <cell r="AU25">
            <v>735146</v>
          </cell>
          <cell r="AV25">
            <v>778708</v>
          </cell>
          <cell r="AW25">
            <v>829844</v>
          </cell>
          <cell r="AX25">
            <v>889164</v>
          </cell>
          <cell r="AY25">
            <v>958418</v>
          </cell>
          <cell r="AZ25">
            <v>1035919</v>
          </cell>
          <cell r="BA25">
            <v>1114641</v>
          </cell>
          <cell r="BB25">
            <v>1185076</v>
          </cell>
          <cell r="BC25">
            <v>1240860</v>
          </cell>
          <cell r="BD25">
            <v>1278151</v>
          </cell>
          <cell r="BE25">
            <v>1299943</v>
          </cell>
          <cell r="BF25">
            <v>1315029</v>
          </cell>
          <cell r="BG25">
            <v>1336075</v>
          </cell>
          <cell r="BH25">
            <v>1371851</v>
          </cell>
          <cell r="BI25">
            <v>1425791</v>
          </cell>
          <cell r="BJ25">
            <v>1494074</v>
          </cell>
          <cell r="BK25">
            <v>1569439</v>
          </cell>
        </row>
        <row r="26">
          <cell r="B26" t="str">
            <v>BHS</v>
          </cell>
          <cell r="C26" t="str">
            <v>Population, total</v>
          </cell>
          <cell r="D26" t="str">
            <v>SP.POP.TOTL</v>
          </cell>
          <cell r="E26">
            <v>109534</v>
          </cell>
          <cell r="F26">
            <v>115121</v>
          </cell>
          <cell r="G26">
            <v>121091</v>
          </cell>
          <cell r="H26">
            <v>127339</v>
          </cell>
          <cell r="I26">
            <v>133709</v>
          </cell>
          <cell r="J26">
            <v>140059</v>
          </cell>
          <cell r="K26">
            <v>146382</v>
          </cell>
          <cell r="L26">
            <v>152620</v>
          </cell>
          <cell r="M26">
            <v>158648</v>
          </cell>
          <cell r="N26">
            <v>164268</v>
          </cell>
          <cell r="O26">
            <v>169377</v>
          </cell>
          <cell r="P26">
            <v>173889</v>
          </cell>
          <cell r="Q26">
            <v>177866</v>
          </cell>
          <cell r="R26">
            <v>181517</v>
          </cell>
          <cell r="S26">
            <v>185120</v>
          </cell>
          <cell r="T26">
            <v>188896</v>
          </cell>
          <cell r="U26">
            <v>192909</v>
          </cell>
          <cell r="V26">
            <v>197101</v>
          </cell>
          <cell r="W26">
            <v>201478</v>
          </cell>
          <cell r="X26">
            <v>205984</v>
          </cell>
          <cell r="Y26">
            <v>210591</v>
          </cell>
          <cell r="Z26">
            <v>215326</v>
          </cell>
          <cell r="AA26">
            <v>220184</v>
          </cell>
          <cell r="AB26">
            <v>225084</v>
          </cell>
          <cell r="AC26">
            <v>229923</v>
          </cell>
          <cell r="AD26">
            <v>234578</v>
          </cell>
          <cell r="AE26">
            <v>239017</v>
          </cell>
          <cell r="AF26">
            <v>243271</v>
          </cell>
          <cell r="AG26">
            <v>247451</v>
          </cell>
          <cell r="AH26">
            <v>251733</v>
          </cell>
          <cell r="AI26">
            <v>256223</v>
          </cell>
          <cell r="AJ26">
            <v>261008</v>
          </cell>
          <cell r="AK26">
            <v>266029</v>
          </cell>
          <cell r="AL26">
            <v>271069</v>
          </cell>
          <cell r="AM26">
            <v>275846</v>
          </cell>
          <cell r="AN26">
            <v>280184</v>
          </cell>
          <cell r="AO26">
            <v>283978</v>
          </cell>
          <cell r="AP26">
            <v>287358</v>
          </cell>
          <cell r="AQ26">
            <v>290597</v>
          </cell>
          <cell r="AR26">
            <v>294062</v>
          </cell>
          <cell r="AS26">
            <v>298051</v>
          </cell>
          <cell r="AT26">
            <v>302618</v>
          </cell>
          <cell r="AU26">
            <v>307660</v>
          </cell>
          <cell r="AV26">
            <v>313129</v>
          </cell>
          <cell r="AW26">
            <v>318894</v>
          </cell>
          <cell r="AX26">
            <v>324859</v>
          </cell>
          <cell r="AY26">
            <v>331033</v>
          </cell>
          <cell r="AZ26">
            <v>337389</v>
          </cell>
          <cell r="BA26">
            <v>343681</v>
          </cell>
          <cell r="BB26">
            <v>349604</v>
          </cell>
          <cell r="BC26">
            <v>354942</v>
          </cell>
          <cell r="BD26">
            <v>359577</v>
          </cell>
          <cell r="BE26">
            <v>363584</v>
          </cell>
          <cell r="BF26">
            <v>367168</v>
          </cell>
          <cell r="BG26">
            <v>370633</v>
          </cell>
          <cell r="BH26">
            <v>374206</v>
          </cell>
          <cell r="BI26">
            <v>377931</v>
          </cell>
          <cell r="BJ26">
            <v>381761</v>
          </cell>
          <cell r="BK26">
            <v>385640</v>
          </cell>
        </row>
        <row r="27">
          <cell r="B27" t="str">
            <v>BIH</v>
          </cell>
          <cell r="C27" t="str">
            <v>Population, total</v>
          </cell>
          <cell r="D27" t="str">
            <v>SP.POP.TOTL</v>
          </cell>
          <cell r="E27">
            <v>3225668</v>
          </cell>
          <cell r="F27">
            <v>3288603</v>
          </cell>
          <cell r="G27">
            <v>3353226</v>
          </cell>
          <cell r="H27">
            <v>3417574</v>
          </cell>
          <cell r="I27">
            <v>3478997</v>
          </cell>
          <cell r="J27">
            <v>3535643</v>
          </cell>
          <cell r="K27">
            <v>3586636</v>
          </cell>
          <cell r="L27">
            <v>3632672</v>
          </cell>
          <cell r="M27">
            <v>3675454</v>
          </cell>
          <cell r="N27">
            <v>3717468</v>
          </cell>
          <cell r="O27">
            <v>3760529</v>
          </cell>
          <cell r="P27">
            <v>3805287</v>
          </cell>
          <cell r="Q27">
            <v>3851153</v>
          </cell>
          <cell r="R27">
            <v>3897256</v>
          </cell>
          <cell r="S27">
            <v>3942225</v>
          </cell>
          <cell r="T27">
            <v>3985105</v>
          </cell>
          <cell r="U27">
            <v>4025266</v>
          </cell>
          <cell r="V27">
            <v>4063193</v>
          </cell>
          <cell r="W27">
            <v>4100349</v>
          </cell>
          <cell r="X27">
            <v>4138819</v>
          </cell>
          <cell r="Y27">
            <v>4179855</v>
          </cell>
          <cell r="Z27">
            <v>4222471</v>
          </cell>
          <cell r="AA27">
            <v>4265185</v>
          </cell>
          <cell r="AB27">
            <v>4307905</v>
          </cell>
          <cell r="AC27">
            <v>4350577</v>
          </cell>
          <cell r="AD27">
            <v>4392131</v>
          </cell>
          <cell r="AE27">
            <v>4435917</v>
          </cell>
          <cell r="AF27">
            <v>4479519</v>
          </cell>
          <cell r="AG27">
            <v>4509461</v>
          </cell>
          <cell r="AH27">
            <v>4507824</v>
          </cell>
          <cell r="AI27">
            <v>4463423</v>
          </cell>
          <cell r="AJ27">
            <v>4369319</v>
          </cell>
          <cell r="AK27">
            <v>4233676</v>
          </cell>
          <cell r="AL27">
            <v>4078937</v>
          </cell>
          <cell r="AM27">
            <v>3936524</v>
          </cell>
          <cell r="AN27">
            <v>3829050</v>
          </cell>
          <cell r="AO27">
            <v>3764425</v>
          </cell>
          <cell r="AP27">
            <v>3736070</v>
          </cell>
          <cell r="AQ27">
            <v>3734337</v>
          </cell>
          <cell r="AR27">
            <v>3743354</v>
          </cell>
          <cell r="AS27">
            <v>3751176</v>
          </cell>
          <cell r="AT27">
            <v>3755512</v>
          </cell>
          <cell r="AU27">
            <v>3759387</v>
          </cell>
          <cell r="AV27">
            <v>3762173</v>
          </cell>
          <cell r="AW27">
            <v>3764194</v>
          </cell>
          <cell r="AX27">
            <v>3765331</v>
          </cell>
          <cell r="AY27">
            <v>3765424</v>
          </cell>
          <cell r="AZ27">
            <v>3762786</v>
          </cell>
          <cell r="BA27">
            <v>3754271</v>
          </cell>
          <cell r="BB27">
            <v>3735938</v>
          </cell>
          <cell r="BC27">
            <v>3705472</v>
          </cell>
          <cell r="BD27">
            <v>3661175</v>
          </cell>
          <cell r="BE27">
            <v>3604972</v>
          </cell>
          <cell r="BF27">
            <v>3542605</v>
          </cell>
          <cell r="BG27">
            <v>3482104</v>
          </cell>
          <cell r="BH27">
            <v>3429361</v>
          </cell>
          <cell r="BI27">
            <v>3386267</v>
          </cell>
          <cell r="BJ27">
            <v>3351527</v>
          </cell>
          <cell r="BK27">
            <v>3323929</v>
          </cell>
        </row>
        <row r="28">
          <cell r="B28" t="str">
            <v>BLR</v>
          </cell>
          <cell r="C28" t="str">
            <v>Population, total</v>
          </cell>
          <cell r="D28" t="str">
            <v>SP.POP.TOTL</v>
          </cell>
          <cell r="E28">
            <v>8198000</v>
          </cell>
          <cell r="F28">
            <v>8271216</v>
          </cell>
          <cell r="G28">
            <v>8351928</v>
          </cell>
          <cell r="H28">
            <v>8437232</v>
          </cell>
          <cell r="I28">
            <v>8524224</v>
          </cell>
          <cell r="J28">
            <v>8610000</v>
          </cell>
          <cell r="K28">
            <v>8696496</v>
          </cell>
          <cell r="L28">
            <v>8785648</v>
          </cell>
          <cell r="M28">
            <v>8874552</v>
          </cell>
          <cell r="N28">
            <v>8960304</v>
          </cell>
          <cell r="O28">
            <v>9040000</v>
          </cell>
          <cell r="P28">
            <v>9115576</v>
          </cell>
          <cell r="Q28">
            <v>9188968</v>
          </cell>
          <cell r="R28">
            <v>9257272</v>
          </cell>
          <cell r="S28">
            <v>9317584</v>
          </cell>
          <cell r="T28">
            <v>9367000</v>
          </cell>
          <cell r="U28">
            <v>9411000</v>
          </cell>
          <cell r="V28">
            <v>9463000</v>
          </cell>
          <cell r="W28">
            <v>9525000</v>
          </cell>
          <cell r="X28">
            <v>9584000</v>
          </cell>
          <cell r="Y28">
            <v>9643000</v>
          </cell>
          <cell r="Z28">
            <v>9710000</v>
          </cell>
          <cell r="AA28">
            <v>9776000</v>
          </cell>
          <cell r="AB28">
            <v>9843000</v>
          </cell>
          <cell r="AC28">
            <v>9910000</v>
          </cell>
          <cell r="AD28">
            <v>9975000</v>
          </cell>
          <cell r="AE28">
            <v>10043000</v>
          </cell>
          <cell r="AF28">
            <v>10111000</v>
          </cell>
          <cell r="AG28">
            <v>10140000</v>
          </cell>
          <cell r="AH28">
            <v>10170000</v>
          </cell>
          <cell r="AI28">
            <v>10189000</v>
          </cell>
          <cell r="AJ28">
            <v>10194000</v>
          </cell>
          <cell r="AK28">
            <v>10216000</v>
          </cell>
          <cell r="AL28">
            <v>10239000</v>
          </cell>
          <cell r="AM28">
            <v>10227000</v>
          </cell>
          <cell r="AN28">
            <v>10194000</v>
          </cell>
          <cell r="AO28">
            <v>10160000</v>
          </cell>
          <cell r="AP28">
            <v>10117000</v>
          </cell>
          <cell r="AQ28">
            <v>10069000</v>
          </cell>
          <cell r="AR28">
            <v>10026738</v>
          </cell>
          <cell r="AS28">
            <v>9979610</v>
          </cell>
          <cell r="AT28">
            <v>9928549</v>
          </cell>
          <cell r="AU28">
            <v>9865548</v>
          </cell>
          <cell r="AV28">
            <v>9796749</v>
          </cell>
          <cell r="AW28">
            <v>9730146</v>
          </cell>
          <cell r="AX28">
            <v>9663915</v>
          </cell>
          <cell r="AY28">
            <v>9604924</v>
          </cell>
          <cell r="AZ28">
            <v>9560953</v>
          </cell>
          <cell r="BA28">
            <v>9527985</v>
          </cell>
          <cell r="BB28">
            <v>9506765</v>
          </cell>
          <cell r="BC28">
            <v>9490583</v>
          </cell>
          <cell r="BD28">
            <v>9473172</v>
          </cell>
          <cell r="BE28">
            <v>9464495</v>
          </cell>
          <cell r="BF28">
            <v>9465997</v>
          </cell>
          <cell r="BG28">
            <v>9474511</v>
          </cell>
          <cell r="BH28">
            <v>9489616</v>
          </cell>
          <cell r="BI28">
            <v>9501534</v>
          </cell>
          <cell r="BJ28">
            <v>9498264</v>
          </cell>
          <cell r="BK28">
            <v>9483499</v>
          </cell>
        </row>
        <row r="29">
          <cell r="B29" t="str">
            <v>BLZ</v>
          </cell>
          <cell r="C29" t="str">
            <v>Population, total</v>
          </cell>
          <cell r="D29" t="str">
            <v>SP.POP.TOTL</v>
          </cell>
          <cell r="E29">
            <v>92064</v>
          </cell>
          <cell r="F29">
            <v>94703</v>
          </cell>
          <cell r="G29">
            <v>97384</v>
          </cell>
          <cell r="H29">
            <v>100164</v>
          </cell>
          <cell r="I29">
            <v>103069</v>
          </cell>
          <cell r="J29">
            <v>106119</v>
          </cell>
          <cell r="K29">
            <v>109347</v>
          </cell>
          <cell r="L29">
            <v>112692</v>
          </cell>
          <cell r="M29">
            <v>116061</v>
          </cell>
          <cell r="N29">
            <v>119261</v>
          </cell>
          <cell r="O29">
            <v>122182</v>
          </cell>
          <cell r="P29">
            <v>124793</v>
          </cell>
          <cell r="Q29">
            <v>127150</v>
          </cell>
          <cell r="R29">
            <v>129294</v>
          </cell>
          <cell r="S29">
            <v>131307</v>
          </cell>
          <cell r="T29">
            <v>133260</v>
          </cell>
          <cell r="U29">
            <v>135147</v>
          </cell>
          <cell r="V29">
            <v>136989</v>
          </cell>
          <cell r="W29">
            <v>138965</v>
          </cell>
          <cell r="X29">
            <v>141305</v>
          </cell>
          <cell r="Y29">
            <v>144155</v>
          </cell>
          <cell r="Z29">
            <v>147566</v>
          </cell>
          <cell r="AA29">
            <v>151500</v>
          </cell>
          <cell r="AB29">
            <v>155822</v>
          </cell>
          <cell r="AC29">
            <v>160347</v>
          </cell>
          <cell r="AD29">
            <v>164921</v>
          </cell>
          <cell r="AE29">
            <v>169568</v>
          </cell>
          <cell r="AF29">
            <v>174320</v>
          </cell>
          <cell r="AG29">
            <v>179028</v>
          </cell>
          <cell r="AH29">
            <v>183469</v>
          </cell>
          <cell r="AI29">
            <v>187552</v>
          </cell>
          <cell r="AJ29">
            <v>191128</v>
          </cell>
          <cell r="AK29">
            <v>194324</v>
          </cell>
          <cell r="AL29">
            <v>197622</v>
          </cell>
          <cell r="AM29">
            <v>201680</v>
          </cell>
          <cell r="AN29">
            <v>206963</v>
          </cell>
          <cell r="AO29">
            <v>213664</v>
          </cell>
          <cell r="AP29">
            <v>221580</v>
          </cell>
          <cell r="AQ29">
            <v>230244</v>
          </cell>
          <cell r="AR29">
            <v>238988</v>
          </cell>
          <cell r="AS29">
            <v>247315</v>
          </cell>
          <cell r="AT29">
            <v>255063</v>
          </cell>
          <cell r="AU29">
            <v>262378</v>
          </cell>
          <cell r="AV29">
            <v>269425</v>
          </cell>
          <cell r="AW29">
            <v>276504</v>
          </cell>
          <cell r="AX29">
            <v>283800</v>
          </cell>
          <cell r="AY29">
            <v>291329</v>
          </cell>
          <cell r="AZ29">
            <v>299025</v>
          </cell>
          <cell r="BA29">
            <v>306823</v>
          </cell>
          <cell r="BB29">
            <v>314655</v>
          </cell>
          <cell r="BC29">
            <v>322464</v>
          </cell>
          <cell r="BD29">
            <v>330237</v>
          </cell>
          <cell r="BE29">
            <v>338000</v>
          </cell>
          <cell r="BF29">
            <v>345715</v>
          </cell>
          <cell r="BG29">
            <v>353366</v>
          </cell>
          <cell r="BH29">
            <v>360933</v>
          </cell>
          <cell r="BI29">
            <v>368400</v>
          </cell>
          <cell r="BJ29">
            <v>375769</v>
          </cell>
          <cell r="BK29">
            <v>383071</v>
          </cell>
        </row>
        <row r="30">
          <cell r="B30" t="str">
            <v>BMU</v>
          </cell>
          <cell r="C30" t="str">
            <v>Population, total</v>
          </cell>
          <cell r="D30" t="str">
            <v>SP.POP.TOTL</v>
          </cell>
          <cell r="E30">
            <v>44400</v>
          </cell>
          <cell r="F30">
            <v>45500</v>
          </cell>
          <cell r="G30">
            <v>46600</v>
          </cell>
          <cell r="H30">
            <v>47700</v>
          </cell>
          <cell r="I30">
            <v>48900</v>
          </cell>
          <cell r="J30">
            <v>50100</v>
          </cell>
          <cell r="K30">
            <v>51000</v>
          </cell>
          <cell r="L30">
            <v>52000</v>
          </cell>
          <cell r="M30">
            <v>53000</v>
          </cell>
          <cell r="N30">
            <v>54000</v>
          </cell>
          <cell r="O30">
            <v>55000</v>
          </cell>
          <cell r="P30">
            <v>54600</v>
          </cell>
          <cell r="Q30">
            <v>54200</v>
          </cell>
          <cell r="R30">
            <v>53800</v>
          </cell>
          <cell r="S30">
            <v>53400</v>
          </cell>
          <cell r="T30">
            <v>53000</v>
          </cell>
          <cell r="U30">
            <v>53200</v>
          </cell>
          <cell r="V30">
            <v>53400</v>
          </cell>
          <cell r="W30">
            <v>53600</v>
          </cell>
          <cell r="X30">
            <v>53800</v>
          </cell>
          <cell r="Y30">
            <v>54670</v>
          </cell>
          <cell r="Z30">
            <v>55050</v>
          </cell>
          <cell r="AA30">
            <v>55449</v>
          </cell>
          <cell r="AB30">
            <v>55930</v>
          </cell>
          <cell r="AC30">
            <v>56423</v>
          </cell>
          <cell r="AD30">
            <v>56898</v>
          </cell>
          <cell r="AE30">
            <v>57382</v>
          </cell>
          <cell r="AF30">
            <v>57849</v>
          </cell>
          <cell r="AG30">
            <v>58347</v>
          </cell>
          <cell r="AH30">
            <v>58841</v>
          </cell>
          <cell r="AI30">
            <v>59326</v>
          </cell>
          <cell r="AJ30">
            <v>59021</v>
          </cell>
          <cell r="AK30">
            <v>58595</v>
          </cell>
          <cell r="AL30">
            <v>58910</v>
          </cell>
          <cell r="AM30">
            <v>59320</v>
          </cell>
          <cell r="AN30">
            <v>59746</v>
          </cell>
          <cell r="AO30">
            <v>60129</v>
          </cell>
          <cell r="AP30">
            <v>60497</v>
          </cell>
          <cell r="AQ30">
            <v>60943</v>
          </cell>
          <cell r="AR30">
            <v>61285</v>
          </cell>
          <cell r="AS30">
            <v>61833</v>
          </cell>
          <cell r="AT30">
            <v>62504</v>
          </cell>
          <cell r="AU30">
            <v>62912</v>
          </cell>
          <cell r="AV30">
            <v>63325</v>
          </cell>
          <cell r="AW30">
            <v>63740</v>
          </cell>
          <cell r="AX30">
            <v>64154</v>
          </cell>
          <cell r="AY30">
            <v>64523</v>
          </cell>
          <cell r="AZ30">
            <v>64888</v>
          </cell>
          <cell r="BA30">
            <v>65273</v>
          </cell>
          <cell r="BB30">
            <v>65636</v>
          </cell>
          <cell r="BC30">
            <v>65124</v>
          </cell>
          <cell r="BD30">
            <v>64564</v>
          </cell>
          <cell r="BE30">
            <v>64798</v>
          </cell>
          <cell r="BF30">
            <v>65001</v>
          </cell>
          <cell r="BG30">
            <v>65139</v>
          </cell>
          <cell r="BH30">
            <v>65239</v>
          </cell>
          <cell r="BI30">
            <v>64555</v>
          </cell>
          <cell r="BJ30">
            <v>63874</v>
          </cell>
          <cell r="BK30">
            <v>63973</v>
          </cell>
        </row>
        <row r="31">
          <cell r="B31" t="str">
            <v>BOL</v>
          </cell>
          <cell r="C31" t="str">
            <v>Population, total</v>
          </cell>
          <cell r="D31" t="str">
            <v>SP.POP.TOTL</v>
          </cell>
          <cell r="E31">
            <v>3656955</v>
          </cell>
          <cell r="F31">
            <v>3728964</v>
          </cell>
          <cell r="G31">
            <v>3802990</v>
          </cell>
          <cell r="H31">
            <v>3879192</v>
          </cell>
          <cell r="I31">
            <v>3957757</v>
          </cell>
          <cell r="J31">
            <v>4038872</v>
          </cell>
          <cell r="K31">
            <v>4122517</v>
          </cell>
          <cell r="L31">
            <v>4208676</v>
          </cell>
          <cell r="M31">
            <v>4297517</v>
          </cell>
          <cell r="N31">
            <v>4389246</v>
          </cell>
          <cell r="O31">
            <v>4484004</v>
          </cell>
          <cell r="P31">
            <v>4581740</v>
          </cell>
          <cell r="Q31">
            <v>4682390</v>
          </cell>
          <cell r="R31">
            <v>4785923</v>
          </cell>
          <cell r="S31">
            <v>4892293</v>
          </cell>
          <cell r="T31">
            <v>5001419</v>
          </cell>
          <cell r="U31">
            <v>5113456</v>
          </cell>
          <cell r="V31">
            <v>5228252</v>
          </cell>
          <cell r="W31">
            <v>5344939</v>
          </cell>
          <cell r="X31">
            <v>5462419</v>
          </cell>
          <cell r="Y31">
            <v>5579935</v>
          </cell>
          <cell r="Z31">
            <v>5697096</v>
          </cell>
          <cell r="AA31">
            <v>5814345</v>
          </cell>
          <cell r="AB31">
            <v>5932810</v>
          </cell>
          <cell r="AC31">
            <v>6054123</v>
          </cell>
          <cell r="AD31">
            <v>6179460</v>
          </cell>
          <cell r="AE31">
            <v>6309130</v>
          </cell>
          <cell r="AF31">
            <v>6442831</v>
          </cell>
          <cell r="AG31">
            <v>6580312</v>
          </cell>
          <cell r="AH31">
            <v>6721115</v>
          </cell>
          <cell r="AI31">
            <v>6864842</v>
          </cell>
          <cell r="AJ31">
            <v>7011453</v>
          </cell>
          <cell r="AK31">
            <v>7160920</v>
          </cell>
          <cell r="AL31">
            <v>7312850</v>
          </cell>
          <cell r="AM31">
            <v>7466793</v>
          </cell>
          <cell r="AN31">
            <v>7622338</v>
          </cell>
          <cell r="AO31">
            <v>7779267</v>
          </cell>
          <cell r="AP31">
            <v>7937458</v>
          </cell>
          <cell r="AQ31">
            <v>8096761</v>
          </cell>
          <cell r="AR31">
            <v>8257066</v>
          </cell>
          <cell r="AS31">
            <v>8418264</v>
          </cell>
          <cell r="AT31">
            <v>8580235</v>
          </cell>
          <cell r="AU31">
            <v>8742814</v>
          </cell>
          <cell r="AV31">
            <v>8905823</v>
          </cell>
          <cell r="AW31">
            <v>9069039</v>
          </cell>
          <cell r="AX31">
            <v>9232306</v>
          </cell>
          <cell r="AY31">
            <v>9395446</v>
          </cell>
          <cell r="AZ31">
            <v>9558439</v>
          </cell>
          <cell r="BA31">
            <v>9721454</v>
          </cell>
          <cell r="BB31">
            <v>9884781</v>
          </cell>
          <cell r="BC31">
            <v>10048590</v>
          </cell>
          <cell r="BD31">
            <v>10212954</v>
          </cell>
          <cell r="BE31">
            <v>10377676</v>
          </cell>
          <cell r="BF31">
            <v>10542376</v>
          </cell>
          <cell r="BG31">
            <v>10706517</v>
          </cell>
          <cell r="BH31">
            <v>10869730</v>
          </cell>
          <cell r="BI31">
            <v>11031813</v>
          </cell>
          <cell r="BJ31">
            <v>11192854</v>
          </cell>
          <cell r="BK31">
            <v>11353142</v>
          </cell>
        </row>
        <row r="32">
          <cell r="B32" t="str">
            <v>BRA</v>
          </cell>
          <cell r="C32" t="str">
            <v>Population, total</v>
          </cell>
          <cell r="D32" t="str">
            <v>SP.POP.TOTL</v>
          </cell>
          <cell r="E32">
            <v>72179226</v>
          </cell>
          <cell r="F32">
            <v>74311343</v>
          </cell>
          <cell r="G32">
            <v>76514328</v>
          </cell>
          <cell r="H32">
            <v>78772657</v>
          </cell>
          <cell r="I32">
            <v>81064571</v>
          </cell>
          <cell r="J32">
            <v>83373530</v>
          </cell>
          <cell r="K32">
            <v>85696505</v>
          </cell>
          <cell r="L32">
            <v>88035814</v>
          </cell>
          <cell r="M32">
            <v>90387079</v>
          </cell>
          <cell r="N32">
            <v>92746614</v>
          </cell>
          <cell r="O32">
            <v>95113265</v>
          </cell>
          <cell r="P32">
            <v>97482920</v>
          </cell>
          <cell r="Q32">
            <v>99859383</v>
          </cell>
          <cell r="R32">
            <v>102259497</v>
          </cell>
          <cell r="S32">
            <v>104706198</v>
          </cell>
          <cell r="T32">
            <v>107216205</v>
          </cell>
          <cell r="U32">
            <v>109790938</v>
          </cell>
          <cell r="V32">
            <v>112425392</v>
          </cell>
          <cell r="W32">
            <v>115121153</v>
          </cell>
          <cell r="X32">
            <v>117878411</v>
          </cell>
          <cell r="Y32">
            <v>120694009</v>
          </cell>
          <cell r="Z32">
            <v>123570327</v>
          </cell>
          <cell r="AA32">
            <v>126498314</v>
          </cell>
          <cell r="AB32">
            <v>129448819</v>
          </cell>
          <cell r="AC32">
            <v>132383568</v>
          </cell>
          <cell r="AD32">
            <v>135274080</v>
          </cell>
          <cell r="AE32">
            <v>138108912</v>
          </cell>
          <cell r="AF32">
            <v>140891602</v>
          </cell>
          <cell r="AG32">
            <v>143627503</v>
          </cell>
          <cell r="AH32">
            <v>146328304</v>
          </cell>
          <cell r="AI32">
            <v>149003223</v>
          </cell>
          <cell r="AJ32">
            <v>151648011</v>
          </cell>
          <cell r="AK32">
            <v>154259380</v>
          </cell>
          <cell r="AL32">
            <v>156849078</v>
          </cell>
          <cell r="AM32">
            <v>159432716</v>
          </cell>
          <cell r="AN32">
            <v>162019896</v>
          </cell>
          <cell r="AO32">
            <v>164614688</v>
          </cell>
          <cell r="AP32">
            <v>167209040</v>
          </cell>
          <cell r="AQ32">
            <v>169785250</v>
          </cell>
          <cell r="AR32">
            <v>172318675</v>
          </cell>
          <cell r="AS32">
            <v>174790340</v>
          </cell>
          <cell r="AT32">
            <v>177196054</v>
          </cell>
          <cell r="AU32">
            <v>179537520</v>
          </cell>
          <cell r="AV32">
            <v>181809246</v>
          </cell>
          <cell r="AW32">
            <v>184006481</v>
          </cell>
          <cell r="AX32">
            <v>186127103</v>
          </cell>
          <cell r="AY32">
            <v>188167356</v>
          </cell>
          <cell r="AZ32">
            <v>190130443</v>
          </cell>
          <cell r="BA32">
            <v>192030362</v>
          </cell>
          <cell r="BB32">
            <v>193886508</v>
          </cell>
          <cell r="BC32">
            <v>195713635</v>
          </cell>
          <cell r="BD32">
            <v>197514534</v>
          </cell>
          <cell r="BE32">
            <v>199287296</v>
          </cell>
          <cell r="BF32">
            <v>201035903</v>
          </cell>
          <cell r="BG32">
            <v>202763735</v>
          </cell>
          <cell r="BH32">
            <v>204471769</v>
          </cell>
          <cell r="BI32">
            <v>206163058</v>
          </cell>
          <cell r="BJ32">
            <v>207833831</v>
          </cell>
          <cell r="BK32">
            <v>209469333</v>
          </cell>
        </row>
        <row r="33">
          <cell r="B33" t="str">
            <v>BRB</v>
          </cell>
          <cell r="C33" t="str">
            <v>Population, total</v>
          </cell>
          <cell r="D33" t="str">
            <v>SP.POP.TOTL</v>
          </cell>
          <cell r="E33">
            <v>230980</v>
          </cell>
          <cell r="F33">
            <v>231718</v>
          </cell>
          <cell r="G33">
            <v>232633</v>
          </cell>
          <cell r="H33">
            <v>233630</v>
          </cell>
          <cell r="I33">
            <v>234586</v>
          </cell>
          <cell r="J33">
            <v>235413</v>
          </cell>
          <cell r="K33">
            <v>236088</v>
          </cell>
          <cell r="L33">
            <v>236659</v>
          </cell>
          <cell r="M33">
            <v>237241</v>
          </cell>
          <cell r="N33">
            <v>237955</v>
          </cell>
          <cell r="O33">
            <v>238896</v>
          </cell>
          <cell r="P33">
            <v>240094</v>
          </cell>
          <cell r="Q33">
            <v>241515</v>
          </cell>
          <cell r="R33">
            <v>243069</v>
          </cell>
          <cell r="S33">
            <v>244644</v>
          </cell>
          <cell r="T33">
            <v>246154</v>
          </cell>
          <cell r="U33">
            <v>247583</v>
          </cell>
          <cell r="V33">
            <v>248937</v>
          </cell>
          <cell r="W33">
            <v>250203</v>
          </cell>
          <cell r="X33">
            <v>251351</v>
          </cell>
          <cell r="Y33">
            <v>252394</v>
          </cell>
          <cell r="Z33">
            <v>253298</v>
          </cell>
          <cell r="AA33">
            <v>254082</v>
          </cell>
          <cell r="AB33">
            <v>254788</v>
          </cell>
          <cell r="AC33">
            <v>255497</v>
          </cell>
          <cell r="AD33">
            <v>256263</v>
          </cell>
          <cell r="AE33">
            <v>257107</v>
          </cell>
          <cell r="AF33">
            <v>258019</v>
          </cell>
          <cell r="AG33">
            <v>258977</v>
          </cell>
          <cell r="AH33">
            <v>259957</v>
          </cell>
          <cell r="AI33">
            <v>260936</v>
          </cell>
          <cell r="AJ33">
            <v>261905</v>
          </cell>
          <cell r="AK33">
            <v>262886</v>
          </cell>
          <cell r="AL33">
            <v>263874</v>
          </cell>
          <cell r="AM33">
            <v>264893</v>
          </cell>
          <cell r="AN33">
            <v>265955</v>
          </cell>
          <cell r="AO33">
            <v>267049</v>
          </cell>
          <cell r="AP33">
            <v>268187</v>
          </cell>
          <cell r="AQ33">
            <v>269336</v>
          </cell>
          <cell r="AR33">
            <v>270451</v>
          </cell>
          <cell r="AS33">
            <v>271515</v>
          </cell>
          <cell r="AT33">
            <v>272500</v>
          </cell>
          <cell r="AU33">
            <v>273425</v>
          </cell>
          <cell r="AV33">
            <v>274329</v>
          </cell>
          <cell r="AW33">
            <v>275284</v>
          </cell>
          <cell r="AX33">
            <v>276323</v>
          </cell>
          <cell r="AY33">
            <v>277477</v>
          </cell>
          <cell r="AZ33">
            <v>278700</v>
          </cell>
          <cell r="BA33">
            <v>279946</v>
          </cell>
          <cell r="BB33">
            <v>281104</v>
          </cell>
          <cell r="BC33">
            <v>282131</v>
          </cell>
          <cell r="BD33">
            <v>282987</v>
          </cell>
          <cell r="BE33">
            <v>283700</v>
          </cell>
          <cell r="BF33">
            <v>284296</v>
          </cell>
          <cell r="BG33">
            <v>284825</v>
          </cell>
          <cell r="BH33">
            <v>285324</v>
          </cell>
          <cell r="BI33">
            <v>285796</v>
          </cell>
          <cell r="BJ33">
            <v>286233</v>
          </cell>
          <cell r="BK33">
            <v>286641</v>
          </cell>
        </row>
        <row r="34">
          <cell r="B34" t="str">
            <v>BRN</v>
          </cell>
          <cell r="C34" t="str">
            <v>Population, total</v>
          </cell>
          <cell r="D34" t="str">
            <v>SP.POP.TOTL</v>
          </cell>
          <cell r="E34">
            <v>81702</v>
          </cell>
          <cell r="F34">
            <v>85562</v>
          </cell>
          <cell r="G34">
            <v>89481</v>
          </cell>
          <cell r="H34">
            <v>93540</v>
          </cell>
          <cell r="I34">
            <v>97812</v>
          </cell>
          <cell r="J34">
            <v>102386</v>
          </cell>
          <cell r="K34">
            <v>107274</v>
          </cell>
          <cell r="L34">
            <v>112448</v>
          </cell>
          <cell r="M34">
            <v>117898</v>
          </cell>
          <cell r="N34">
            <v>123600</v>
          </cell>
          <cell r="O34">
            <v>129529</v>
          </cell>
          <cell r="P34">
            <v>135671</v>
          </cell>
          <cell r="Q34">
            <v>142022</v>
          </cell>
          <cell r="R34">
            <v>148512</v>
          </cell>
          <cell r="S34">
            <v>155072</v>
          </cell>
          <cell r="T34">
            <v>161626</v>
          </cell>
          <cell r="U34">
            <v>168181</v>
          </cell>
          <cell r="V34">
            <v>174714</v>
          </cell>
          <cell r="W34">
            <v>181205</v>
          </cell>
          <cell r="X34">
            <v>187604</v>
          </cell>
          <cell r="Y34">
            <v>193879</v>
          </cell>
          <cell r="Z34">
            <v>200021</v>
          </cell>
          <cell r="AA34">
            <v>206065</v>
          </cell>
          <cell r="AB34">
            <v>212076</v>
          </cell>
          <cell r="AC34">
            <v>218175</v>
          </cell>
          <cell r="AD34">
            <v>224449</v>
          </cell>
          <cell r="AE34">
            <v>230915</v>
          </cell>
          <cell r="AF34">
            <v>237563</v>
          </cell>
          <cell r="AG34">
            <v>244404</v>
          </cell>
          <cell r="AH34">
            <v>251458</v>
          </cell>
          <cell r="AI34">
            <v>258721</v>
          </cell>
          <cell r="AJ34">
            <v>266210</v>
          </cell>
          <cell r="AK34">
            <v>273892</v>
          </cell>
          <cell r="AL34">
            <v>281681</v>
          </cell>
          <cell r="AM34">
            <v>289454</v>
          </cell>
          <cell r="AN34">
            <v>297114</v>
          </cell>
          <cell r="AO34">
            <v>304622</v>
          </cell>
          <cell r="AP34">
            <v>311958</v>
          </cell>
          <cell r="AQ34">
            <v>319144</v>
          </cell>
          <cell r="AR34">
            <v>326210</v>
          </cell>
          <cell r="AS34">
            <v>333165</v>
          </cell>
          <cell r="AT34">
            <v>340034</v>
          </cell>
          <cell r="AU34">
            <v>346782</v>
          </cell>
          <cell r="AV34">
            <v>353293</v>
          </cell>
          <cell r="AW34">
            <v>359433</v>
          </cell>
          <cell r="AX34">
            <v>365114</v>
          </cell>
          <cell r="AY34">
            <v>370263</v>
          </cell>
          <cell r="AZ34">
            <v>374965</v>
          </cell>
          <cell r="BA34">
            <v>379421</v>
          </cell>
          <cell r="BB34">
            <v>383906</v>
          </cell>
          <cell r="BC34">
            <v>388646</v>
          </cell>
          <cell r="BD34">
            <v>393688</v>
          </cell>
          <cell r="BE34">
            <v>398989</v>
          </cell>
          <cell r="BF34">
            <v>404421</v>
          </cell>
          <cell r="BG34">
            <v>409769</v>
          </cell>
          <cell r="BH34">
            <v>414907</v>
          </cell>
          <cell r="BI34">
            <v>419800</v>
          </cell>
          <cell r="BJ34">
            <v>424473</v>
          </cell>
          <cell r="BK34">
            <v>428962</v>
          </cell>
        </row>
        <row r="35">
          <cell r="B35" t="str">
            <v>BTN</v>
          </cell>
          <cell r="C35" t="str">
            <v>Population, total</v>
          </cell>
          <cell r="D35" t="str">
            <v>SP.POP.TOTL</v>
          </cell>
          <cell r="E35">
            <v>223288</v>
          </cell>
          <cell r="F35">
            <v>228851</v>
          </cell>
          <cell r="G35">
            <v>234554</v>
          </cell>
          <cell r="H35">
            <v>240523</v>
          </cell>
          <cell r="I35">
            <v>246964</v>
          </cell>
          <cell r="J35">
            <v>253994</v>
          </cell>
          <cell r="K35">
            <v>261668</v>
          </cell>
          <cell r="L35">
            <v>269947</v>
          </cell>
          <cell r="M35">
            <v>278734</v>
          </cell>
          <cell r="N35">
            <v>287891</v>
          </cell>
          <cell r="O35">
            <v>297316</v>
          </cell>
          <cell r="P35">
            <v>306955</v>
          </cell>
          <cell r="Q35">
            <v>316828</v>
          </cell>
          <cell r="R35">
            <v>326982</v>
          </cell>
          <cell r="S35">
            <v>337485</v>
          </cell>
          <cell r="T35">
            <v>348396</v>
          </cell>
          <cell r="U35">
            <v>359725</v>
          </cell>
          <cell r="V35">
            <v>371428</v>
          </cell>
          <cell r="W35">
            <v>383326</v>
          </cell>
          <cell r="X35">
            <v>395195</v>
          </cell>
          <cell r="Y35">
            <v>406875</v>
          </cell>
          <cell r="Z35">
            <v>418111</v>
          </cell>
          <cell r="AA35">
            <v>428934</v>
          </cell>
          <cell r="AB35">
            <v>439822</v>
          </cell>
          <cell r="AC35">
            <v>451476</v>
          </cell>
          <cell r="AD35">
            <v>464266</v>
          </cell>
          <cell r="AE35">
            <v>478692</v>
          </cell>
          <cell r="AF35">
            <v>494312</v>
          </cell>
          <cell r="AG35">
            <v>509540</v>
          </cell>
          <cell r="AH35">
            <v>522179</v>
          </cell>
          <cell r="AI35">
            <v>530804</v>
          </cell>
          <cell r="AJ35">
            <v>534632</v>
          </cell>
          <cell r="AK35">
            <v>534516</v>
          </cell>
          <cell r="AL35">
            <v>532596</v>
          </cell>
          <cell r="AM35">
            <v>531897</v>
          </cell>
          <cell r="AN35">
            <v>534620</v>
          </cell>
          <cell r="AO35">
            <v>541465</v>
          </cell>
          <cell r="AP35">
            <v>551709</v>
          </cell>
          <cell r="AQ35">
            <v>564377</v>
          </cell>
          <cell r="AR35">
            <v>577881</v>
          </cell>
          <cell r="AS35">
            <v>591021</v>
          </cell>
          <cell r="AT35">
            <v>603640</v>
          </cell>
          <cell r="AU35">
            <v>616018</v>
          </cell>
          <cell r="AV35">
            <v>627839</v>
          </cell>
          <cell r="AW35">
            <v>638815</v>
          </cell>
          <cell r="AX35">
            <v>648739</v>
          </cell>
          <cell r="AY35">
            <v>657410</v>
          </cell>
          <cell r="AZ35">
            <v>664876</v>
          </cell>
          <cell r="BA35">
            <v>671613</v>
          </cell>
          <cell r="BB35">
            <v>678323</v>
          </cell>
          <cell r="BC35">
            <v>685503</v>
          </cell>
          <cell r="BD35">
            <v>693298</v>
          </cell>
          <cell r="BE35">
            <v>701583</v>
          </cell>
          <cell r="BF35">
            <v>710238</v>
          </cell>
          <cell r="BG35">
            <v>719056</v>
          </cell>
          <cell r="BH35">
            <v>727876</v>
          </cell>
          <cell r="BI35">
            <v>736709</v>
          </cell>
          <cell r="BJ35">
            <v>745568</v>
          </cell>
          <cell r="BK35">
            <v>754394</v>
          </cell>
        </row>
        <row r="36">
          <cell r="B36" t="str">
            <v>BWA</v>
          </cell>
          <cell r="C36" t="str">
            <v>Population, total</v>
          </cell>
          <cell r="D36" t="str">
            <v>SP.POP.TOTL</v>
          </cell>
          <cell r="E36">
            <v>502745</v>
          </cell>
          <cell r="F36">
            <v>512685</v>
          </cell>
          <cell r="G36">
            <v>523778</v>
          </cell>
          <cell r="H36">
            <v>535685</v>
          </cell>
          <cell r="I36">
            <v>547873</v>
          </cell>
          <cell r="J36">
            <v>559994</v>
          </cell>
          <cell r="K36">
            <v>571964</v>
          </cell>
          <cell r="L36">
            <v>584092</v>
          </cell>
          <cell r="M36">
            <v>596947</v>
          </cell>
          <cell r="N36">
            <v>611300</v>
          </cell>
          <cell r="O36">
            <v>627715</v>
          </cell>
          <cell r="P36">
            <v>646347</v>
          </cell>
          <cell r="Q36">
            <v>667092</v>
          </cell>
          <cell r="R36">
            <v>689912</v>
          </cell>
          <cell r="S36">
            <v>714712</v>
          </cell>
          <cell r="T36">
            <v>741355</v>
          </cell>
          <cell r="U36">
            <v>769979</v>
          </cell>
          <cell r="V36">
            <v>800529</v>
          </cell>
          <cell r="W36">
            <v>832467</v>
          </cell>
          <cell r="X36">
            <v>865075</v>
          </cell>
          <cell r="Y36">
            <v>897868</v>
          </cell>
          <cell r="Z36">
            <v>930408</v>
          </cell>
          <cell r="AA36">
            <v>962875</v>
          </cell>
          <cell r="AB36">
            <v>996130</v>
          </cell>
          <cell r="AC36">
            <v>1031439</v>
          </cell>
          <cell r="AD36">
            <v>1069582</v>
          </cell>
          <cell r="AE36">
            <v>1110943</v>
          </cell>
          <cell r="AF36">
            <v>1154906</v>
          </cell>
          <cell r="AG36">
            <v>1200067</v>
          </cell>
          <cell r="AH36">
            <v>1244484</v>
          </cell>
          <cell r="AI36">
            <v>1286756</v>
          </cell>
          <cell r="AJ36">
            <v>1326322</v>
          </cell>
          <cell r="AK36">
            <v>1363554</v>
          </cell>
          <cell r="AL36">
            <v>1399110</v>
          </cell>
          <cell r="AM36">
            <v>1434059</v>
          </cell>
          <cell r="AN36">
            <v>1469174</v>
          </cell>
          <cell r="AO36">
            <v>1504730</v>
          </cell>
          <cell r="AP36">
            <v>1540425</v>
          </cell>
          <cell r="AQ36">
            <v>1575824</v>
          </cell>
          <cell r="AR36">
            <v>1610264</v>
          </cell>
          <cell r="AS36">
            <v>1643334</v>
          </cell>
          <cell r="AT36">
            <v>1674678</v>
          </cell>
          <cell r="AU36">
            <v>1704642</v>
          </cell>
          <cell r="AV36">
            <v>1734398</v>
          </cell>
          <cell r="AW36">
            <v>1765527</v>
          </cell>
          <cell r="AX36">
            <v>1799078</v>
          </cell>
          <cell r="AY36">
            <v>1835908</v>
          </cell>
          <cell r="AZ36">
            <v>1875459</v>
          </cell>
          <cell r="BA36">
            <v>1915639</v>
          </cell>
          <cell r="BB36">
            <v>1953498</v>
          </cell>
          <cell r="BC36">
            <v>1987105</v>
          </cell>
          <cell r="BD36">
            <v>2015402</v>
          </cell>
          <cell r="BE36">
            <v>2039551</v>
          </cell>
          <cell r="BF36">
            <v>2062536</v>
          </cell>
          <cell r="BG36">
            <v>2088614</v>
          </cell>
          <cell r="BH36">
            <v>2120716</v>
          </cell>
          <cell r="BI36">
            <v>2159944</v>
          </cell>
          <cell r="BJ36">
            <v>2205128</v>
          </cell>
          <cell r="BK36">
            <v>2254126</v>
          </cell>
        </row>
        <row r="37">
          <cell r="B37" t="str">
            <v>CAF</v>
          </cell>
          <cell r="C37" t="str">
            <v>Population, total</v>
          </cell>
          <cell r="D37" t="str">
            <v>SP.POP.TOTL</v>
          </cell>
          <cell r="E37">
            <v>1501668</v>
          </cell>
          <cell r="F37">
            <v>1526066</v>
          </cell>
          <cell r="G37">
            <v>1551910</v>
          </cell>
          <cell r="H37">
            <v>1579370</v>
          </cell>
          <cell r="I37">
            <v>1608616</v>
          </cell>
          <cell r="J37">
            <v>1639706</v>
          </cell>
          <cell r="K37">
            <v>1673019</v>
          </cell>
          <cell r="L37">
            <v>1708302</v>
          </cell>
          <cell r="M37">
            <v>1744194</v>
          </cell>
          <cell r="N37">
            <v>1778861</v>
          </cell>
          <cell r="O37">
            <v>1811144</v>
          </cell>
          <cell r="P37">
            <v>1840518</v>
          </cell>
          <cell r="Q37">
            <v>1867782</v>
          </cell>
          <cell r="R37">
            <v>1894853</v>
          </cell>
          <cell r="S37">
            <v>1924388</v>
          </cell>
          <cell r="T37">
            <v>1958367</v>
          </cell>
          <cell r="U37">
            <v>1997014</v>
          </cell>
          <cell r="V37">
            <v>2039919</v>
          </cell>
          <cell r="W37">
            <v>2087663</v>
          </cell>
          <cell r="X37">
            <v>2140777</v>
          </cell>
          <cell r="Y37">
            <v>2199356</v>
          </cell>
          <cell r="Z37">
            <v>2264442</v>
          </cell>
          <cell r="AA37">
            <v>2335333</v>
          </cell>
          <cell r="AB37">
            <v>2408317</v>
          </cell>
          <cell r="AC37">
            <v>2478382</v>
          </cell>
          <cell r="AD37">
            <v>2542169</v>
          </cell>
          <cell r="AE37">
            <v>2597761</v>
          </cell>
          <cell r="AF37">
            <v>2646840</v>
          </cell>
          <cell r="AG37">
            <v>2693973</v>
          </cell>
          <cell r="AH37">
            <v>2745734</v>
          </cell>
          <cell r="AI37">
            <v>2806734</v>
          </cell>
          <cell r="AJ37">
            <v>2878509</v>
          </cell>
          <cell r="AK37">
            <v>2959236</v>
          </cell>
          <cell r="AL37">
            <v>3046149</v>
          </cell>
          <cell r="AM37">
            <v>3135015</v>
          </cell>
          <cell r="AN37">
            <v>3222656</v>
          </cell>
          <cell r="AO37">
            <v>3308233</v>
          </cell>
          <cell r="AP37">
            <v>3392436</v>
          </cell>
          <cell r="AQ37">
            <v>3475492</v>
          </cell>
          <cell r="AR37">
            <v>3558014</v>
          </cell>
          <cell r="AS37">
            <v>3640427</v>
          </cell>
          <cell r="AT37">
            <v>3722018</v>
          </cell>
          <cell r="AU37">
            <v>3802128</v>
          </cell>
          <cell r="AV37">
            <v>3881181</v>
          </cell>
          <cell r="AW37">
            <v>3959875</v>
          </cell>
          <cell r="AX37">
            <v>4038382</v>
          </cell>
          <cell r="AY37">
            <v>4118069</v>
          </cell>
          <cell r="AZ37">
            <v>4198010</v>
          </cell>
          <cell r="BA37">
            <v>4273366</v>
          </cell>
          <cell r="BB37">
            <v>4337625</v>
          </cell>
          <cell r="BC37">
            <v>4386768</v>
          </cell>
          <cell r="BD37">
            <v>4418636</v>
          </cell>
          <cell r="BE37">
            <v>4436415</v>
          </cell>
          <cell r="BF37">
            <v>4447942</v>
          </cell>
          <cell r="BG37">
            <v>4464175</v>
          </cell>
          <cell r="BH37">
            <v>4493170</v>
          </cell>
          <cell r="BI37">
            <v>4537687</v>
          </cell>
          <cell r="BJ37">
            <v>4596028</v>
          </cell>
          <cell r="BK37">
            <v>4666377</v>
          </cell>
        </row>
        <row r="38">
          <cell r="B38" t="str">
            <v>CAN</v>
          </cell>
          <cell r="C38" t="str">
            <v>Population, total</v>
          </cell>
          <cell r="D38" t="str">
            <v>SP.POP.TOTL</v>
          </cell>
          <cell r="E38">
            <v>17909009</v>
          </cell>
          <cell r="F38">
            <v>18271000</v>
          </cell>
          <cell r="G38">
            <v>18614000</v>
          </cell>
          <cell r="H38">
            <v>18964000</v>
          </cell>
          <cell r="I38">
            <v>19325000</v>
          </cell>
          <cell r="J38">
            <v>19678000</v>
          </cell>
          <cell r="K38">
            <v>20048000</v>
          </cell>
          <cell r="L38">
            <v>20412000</v>
          </cell>
          <cell r="M38">
            <v>20744000</v>
          </cell>
          <cell r="N38">
            <v>21028000</v>
          </cell>
          <cell r="O38">
            <v>21324000</v>
          </cell>
          <cell r="P38">
            <v>21962032</v>
          </cell>
          <cell r="Q38">
            <v>22218463</v>
          </cell>
          <cell r="R38">
            <v>22491777</v>
          </cell>
          <cell r="S38">
            <v>22807969</v>
          </cell>
          <cell r="T38">
            <v>23143275</v>
          </cell>
          <cell r="U38">
            <v>23449808</v>
          </cell>
          <cell r="V38">
            <v>23725843</v>
          </cell>
          <cell r="W38">
            <v>23963203</v>
          </cell>
          <cell r="X38">
            <v>24201544</v>
          </cell>
          <cell r="Y38">
            <v>24515667</v>
          </cell>
          <cell r="Z38">
            <v>24819915</v>
          </cell>
          <cell r="AA38">
            <v>25116942</v>
          </cell>
          <cell r="AB38">
            <v>25366451</v>
          </cell>
          <cell r="AC38">
            <v>25607053</v>
          </cell>
          <cell r="AD38">
            <v>25842116</v>
          </cell>
          <cell r="AE38">
            <v>26100278</v>
          </cell>
          <cell r="AF38">
            <v>26446601</v>
          </cell>
          <cell r="AG38">
            <v>26791747</v>
          </cell>
          <cell r="AH38">
            <v>27276781</v>
          </cell>
          <cell r="AI38">
            <v>27691138</v>
          </cell>
          <cell r="AJ38">
            <v>28037420</v>
          </cell>
          <cell r="AK38">
            <v>28371264</v>
          </cell>
          <cell r="AL38">
            <v>28684764</v>
          </cell>
          <cell r="AM38">
            <v>29000663</v>
          </cell>
          <cell r="AN38">
            <v>29302311</v>
          </cell>
          <cell r="AO38">
            <v>29610218</v>
          </cell>
          <cell r="AP38">
            <v>29905948</v>
          </cell>
          <cell r="AQ38">
            <v>30155173</v>
          </cell>
          <cell r="AR38">
            <v>30401286</v>
          </cell>
          <cell r="AS38">
            <v>30685730</v>
          </cell>
          <cell r="AT38">
            <v>31020902</v>
          </cell>
          <cell r="AU38">
            <v>31360079</v>
          </cell>
          <cell r="AV38">
            <v>31644028</v>
          </cell>
          <cell r="AW38">
            <v>31940655</v>
          </cell>
          <cell r="AX38">
            <v>32243753</v>
          </cell>
          <cell r="AY38">
            <v>32571174</v>
          </cell>
          <cell r="AZ38">
            <v>32889025</v>
          </cell>
          <cell r="BA38">
            <v>33247118</v>
          </cell>
          <cell r="BB38">
            <v>33628895</v>
          </cell>
          <cell r="BC38">
            <v>34004889</v>
          </cell>
          <cell r="BD38">
            <v>34339328</v>
          </cell>
          <cell r="BE38">
            <v>34714222</v>
          </cell>
          <cell r="BF38">
            <v>35082954</v>
          </cell>
          <cell r="BG38">
            <v>35437435</v>
          </cell>
          <cell r="BH38">
            <v>35702908</v>
          </cell>
          <cell r="BI38">
            <v>36109487</v>
          </cell>
          <cell r="BJ38">
            <v>36543321</v>
          </cell>
          <cell r="BK38">
            <v>37057765</v>
          </cell>
        </row>
        <row r="39">
          <cell r="B39" t="str">
            <v>CEB</v>
          </cell>
          <cell r="C39" t="str">
            <v>Population, total</v>
          </cell>
          <cell r="D39" t="str">
            <v>SP.POP.TOTL</v>
          </cell>
          <cell r="E39">
            <v>91401764</v>
          </cell>
          <cell r="F39">
            <v>92232738</v>
          </cell>
          <cell r="G39">
            <v>93009498</v>
          </cell>
          <cell r="H39">
            <v>93840016</v>
          </cell>
          <cell r="I39">
            <v>94715795</v>
          </cell>
          <cell r="J39">
            <v>95440988</v>
          </cell>
          <cell r="K39">
            <v>96146336</v>
          </cell>
          <cell r="L39">
            <v>97043270</v>
          </cell>
          <cell r="M39">
            <v>97884022</v>
          </cell>
          <cell r="N39">
            <v>98606630</v>
          </cell>
          <cell r="O39">
            <v>99134548</v>
          </cell>
          <cell r="P39">
            <v>99635258</v>
          </cell>
          <cell r="Q39">
            <v>100357161</v>
          </cell>
          <cell r="R39">
            <v>101112680</v>
          </cell>
          <cell r="S39">
            <v>101939916</v>
          </cell>
          <cell r="T39">
            <v>102860571</v>
          </cell>
          <cell r="U39">
            <v>103776068</v>
          </cell>
          <cell r="V39">
            <v>104616884</v>
          </cell>
          <cell r="W39">
            <v>105329397</v>
          </cell>
          <cell r="X39">
            <v>105948616</v>
          </cell>
          <cell r="Y39">
            <v>106576687</v>
          </cell>
          <cell r="Z39">
            <v>107191491</v>
          </cell>
          <cell r="AA39">
            <v>107770028</v>
          </cell>
          <cell r="AB39">
            <v>108326149</v>
          </cell>
          <cell r="AC39">
            <v>108853466</v>
          </cell>
          <cell r="AD39">
            <v>109360713</v>
          </cell>
          <cell r="AE39">
            <v>109846594</v>
          </cell>
          <cell r="AF39">
            <v>110296425</v>
          </cell>
          <cell r="AG39">
            <v>110686740</v>
          </cell>
          <cell r="AH39">
            <v>110801640</v>
          </cell>
          <cell r="AI39">
            <v>110743128</v>
          </cell>
          <cell r="AJ39">
            <v>110469467</v>
          </cell>
          <cell r="AK39">
            <v>110111454</v>
          </cell>
          <cell r="AL39">
            <v>110041924</v>
          </cell>
          <cell r="AM39">
            <v>110021594</v>
          </cell>
          <cell r="AN39">
            <v>109864246</v>
          </cell>
          <cell r="AO39">
            <v>109626194</v>
          </cell>
          <cell r="AP39">
            <v>109422013</v>
          </cell>
          <cell r="AQ39">
            <v>109238340</v>
          </cell>
          <cell r="AR39">
            <v>109060951</v>
          </cell>
          <cell r="AS39">
            <v>108447824</v>
          </cell>
          <cell r="AT39">
            <v>107660041</v>
          </cell>
          <cell r="AU39">
            <v>106959751</v>
          </cell>
          <cell r="AV39">
            <v>106624167</v>
          </cell>
          <cell r="AW39">
            <v>106331716</v>
          </cell>
          <cell r="AX39">
            <v>106041911</v>
          </cell>
          <cell r="AY39">
            <v>105772481</v>
          </cell>
          <cell r="AZ39">
            <v>105378748</v>
          </cell>
          <cell r="BA39">
            <v>105001883</v>
          </cell>
          <cell r="BB39">
            <v>104800475</v>
          </cell>
          <cell r="BC39">
            <v>104421447</v>
          </cell>
          <cell r="BD39">
            <v>104174038</v>
          </cell>
          <cell r="BE39">
            <v>103935318</v>
          </cell>
          <cell r="BF39">
            <v>103713726</v>
          </cell>
          <cell r="BG39">
            <v>103496179</v>
          </cell>
          <cell r="BH39">
            <v>103257751</v>
          </cell>
          <cell r="BI39">
            <v>102994343</v>
          </cell>
          <cell r="BJ39">
            <v>102738854</v>
          </cell>
          <cell r="BK39">
            <v>102511922</v>
          </cell>
        </row>
        <row r="40">
          <cell r="B40" t="str">
            <v>CHE</v>
          </cell>
          <cell r="C40" t="str">
            <v>Population, total</v>
          </cell>
          <cell r="D40" t="str">
            <v>SP.POP.TOTL</v>
          </cell>
          <cell r="E40">
            <v>5327827</v>
          </cell>
          <cell r="F40">
            <v>5434294</v>
          </cell>
          <cell r="G40">
            <v>5573815</v>
          </cell>
          <cell r="H40">
            <v>5694247</v>
          </cell>
          <cell r="I40">
            <v>5789228</v>
          </cell>
          <cell r="J40">
            <v>5856472</v>
          </cell>
          <cell r="K40">
            <v>5918002</v>
          </cell>
          <cell r="L40">
            <v>5991785</v>
          </cell>
          <cell r="M40">
            <v>6067714</v>
          </cell>
          <cell r="N40">
            <v>6136387</v>
          </cell>
          <cell r="O40">
            <v>6180877</v>
          </cell>
          <cell r="P40">
            <v>6213399</v>
          </cell>
          <cell r="Q40">
            <v>6260956</v>
          </cell>
          <cell r="R40">
            <v>6307347</v>
          </cell>
          <cell r="S40">
            <v>6341405</v>
          </cell>
          <cell r="T40">
            <v>6338632</v>
          </cell>
          <cell r="U40">
            <v>6302504</v>
          </cell>
          <cell r="V40">
            <v>6281174</v>
          </cell>
          <cell r="W40">
            <v>6281738</v>
          </cell>
          <cell r="X40">
            <v>6294365</v>
          </cell>
          <cell r="Y40">
            <v>6319408</v>
          </cell>
          <cell r="Z40">
            <v>6354074</v>
          </cell>
          <cell r="AA40">
            <v>6391309</v>
          </cell>
          <cell r="AB40">
            <v>6418773</v>
          </cell>
          <cell r="AC40">
            <v>6441865</v>
          </cell>
          <cell r="AD40">
            <v>6470365</v>
          </cell>
          <cell r="AE40">
            <v>6504124</v>
          </cell>
          <cell r="AF40">
            <v>6545106</v>
          </cell>
          <cell r="AG40">
            <v>6593386</v>
          </cell>
          <cell r="AH40">
            <v>6646912</v>
          </cell>
          <cell r="AI40">
            <v>6715519</v>
          </cell>
          <cell r="AJ40">
            <v>6799978</v>
          </cell>
          <cell r="AK40">
            <v>6875364</v>
          </cell>
          <cell r="AL40">
            <v>6938265</v>
          </cell>
          <cell r="AM40">
            <v>6993795</v>
          </cell>
          <cell r="AN40">
            <v>7040687</v>
          </cell>
          <cell r="AO40">
            <v>7071850</v>
          </cell>
          <cell r="AP40">
            <v>7088906</v>
          </cell>
          <cell r="AQ40">
            <v>7110001</v>
          </cell>
          <cell r="AR40">
            <v>7143991</v>
          </cell>
          <cell r="AS40">
            <v>7184250</v>
          </cell>
          <cell r="AT40">
            <v>7229854</v>
          </cell>
          <cell r="AU40">
            <v>7284753</v>
          </cell>
          <cell r="AV40">
            <v>7339001</v>
          </cell>
          <cell r="AW40">
            <v>7389625</v>
          </cell>
          <cell r="AX40">
            <v>7437115</v>
          </cell>
          <cell r="AY40">
            <v>7483934</v>
          </cell>
          <cell r="AZ40">
            <v>7551117</v>
          </cell>
          <cell r="BA40">
            <v>7647675</v>
          </cell>
          <cell r="BB40">
            <v>7743831</v>
          </cell>
          <cell r="BC40">
            <v>7824909</v>
          </cell>
          <cell r="BD40">
            <v>7912398</v>
          </cell>
          <cell r="BE40">
            <v>7996861</v>
          </cell>
          <cell r="BF40">
            <v>8089346</v>
          </cell>
          <cell r="BG40">
            <v>8188649</v>
          </cell>
          <cell r="BH40">
            <v>8282396</v>
          </cell>
          <cell r="BI40">
            <v>8373338</v>
          </cell>
          <cell r="BJ40">
            <v>8451840</v>
          </cell>
          <cell r="BK40">
            <v>8513227</v>
          </cell>
        </row>
        <row r="41">
          <cell r="B41" t="str">
            <v>CHI</v>
          </cell>
          <cell r="C41" t="str">
            <v>Population, total</v>
          </cell>
          <cell r="D41" t="str">
            <v>SP.POP.TOTL</v>
          </cell>
          <cell r="E41">
            <v>109420</v>
          </cell>
          <cell r="F41">
            <v>110399</v>
          </cell>
          <cell r="G41">
            <v>111457</v>
          </cell>
          <cell r="H41">
            <v>112595</v>
          </cell>
          <cell r="I41">
            <v>113773</v>
          </cell>
          <cell r="J41">
            <v>114995</v>
          </cell>
          <cell r="K41">
            <v>116227</v>
          </cell>
          <cell r="L41">
            <v>117474</v>
          </cell>
          <cell r="M41">
            <v>118726</v>
          </cell>
          <cell r="N41">
            <v>119972</v>
          </cell>
          <cell r="O41">
            <v>121197</v>
          </cell>
          <cell r="P41">
            <v>122413</v>
          </cell>
          <cell r="Q41">
            <v>123614</v>
          </cell>
          <cell r="R41">
            <v>124725</v>
          </cell>
          <cell r="S41">
            <v>125682</v>
          </cell>
          <cell r="T41">
            <v>126415</v>
          </cell>
          <cell r="U41">
            <v>126902</v>
          </cell>
          <cell r="V41">
            <v>127183</v>
          </cell>
          <cell r="W41">
            <v>127390</v>
          </cell>
          <cell r="X41">
            <v>127692</v>
          </cell>
          <cell r="Y41">
            <v>128212</v>
          </cell>
          <cell r="Z41">
            <v>128982</v>
          </cell>
          <cell r="AA41">
            <v>129979</v>
          </cell>
          <cell r="AB41">
            <v>131149</v>
          </cell>
          <cell r="AC41">
            <v>132446</v>
          </cell>
          <cell r="AD41">
            <v>133808</v>
          </cell>
          <cell r="AE41">
            <v>135249</v>
          </cell>
          <cell r="AF41">
            <v>136762</v>
          </cell>
          <cell r="AG41">
            <v>138245</v>
          </cell>
          <cell r="AH41">
            <v>139573</v>
          </cell>
          <cell r="AI41">
            <v>140671</v>
          </cell>
          <cell r="AJ41">
            <v>141467</v>
          </cell>
          <cell r="AK41">
            <v>142006</v>
          </cell>
          <cell r="AL41">
            <v>142415</v>
          </cell>
          <cell r="AM41">
            <v>142863</v>
          </cell>
          <cell r="AN41">
            <v>143484</v>
          </cell>
          <cell r="AO41">
            <v>144335</v>
          </cell>
          <cell r="AP41">
            <v>145373</v>
          </cell>
          <cell r="AQ41">
            <v>146498</v>
          </cell>
          <cell r="AR41">
            <v>147555</v>
          </cell>
          <cell r="AS41">
            <v>148443</v>
          </cell>
          <cell r="AT41">
            <v>149097</v>
          </cell>
          <cell r="AU41">
            <v>149596</v>
          </cell>
          <cell r="AV41">
            <v>150068</v>
          </cell>
          <cell r="AW41">
            <v>150716</v>
          </cell>
          <cell r="AX41">
            <v>151678</v>
          </cell>
          <cell r="AY41">
            <v>153008</v>
          </cell>
          <cell r="AZ41">
            <v>154636</v>
          </cell>
          <cell r="BA41">
            <v>156433</v>
          </cell>
          <cell r="BB41">
            <v>158178</v>
          </cell>
          <cell r="BC41">
            <v>159734</v>
          </cell>
          <cell r="BD41">
            <v>160998</v>
          </cell>
          <cell r="BE41">
            <v>162056</v>
          </cell>
          <cell r="BF41">
            <v>163038</v>
          </cell>
          <cell r="BG41">
            <v>164100</v>
          </cell>
          <cell r="BH41">
            <v>165385</v>
          </cell>
          <cell r="BI41">
            <v>166923</v>
          </cell>
          <cell r="BJ41">
            <v>168665</v>
          </cell>
          <cell r="BK41">
            <v>170499</v>
          </cell>
        </row>
        <row r="42">
          <cell r="B42" t="str">
            <v>CHL</v>
          </cell>
          <cell r="C42" t="str">
            <v>Population, total</v>
          </cell>
          <cell r="D42" t="str">
            <v>SP.POP.TOTL</v>
          </cell>
          <cell r="E42">
            <v>8132990</v>
          </cell>
          <cell r="F42">
            <v>8303811</v>
          </cell>
          <cell r="G42">
            <v>8476897</v>
          </cell>
          <cell r="H42">
            <v>8650387</v>
          </cell>
          <cell r="I42">
            <v>8821858</v>
          </cell>
          <cell r="J42">
            <v>8989621</v>
          </cell>
          <cell r="K42">
            <v>9152844</v>
          </cell>
          <cell r="L42">
            <v>9312095</v>
          </cell>
          <cell r="M42">
            <v>9468845</v>
          </cell>
          <cell r="N42">
            <v>9625312</v>
          </cell>
          <cell r="O42">
            <v>9783134</v>
          </cell>
          <cell r="P42">
            <v>9942727</v>
          </cell>
          <cell r="Q42">
            <v>10103674</v>
          </cell>
          <cell r="R42">
            <v>10265829</v>
          </cell>
          <cell r="S42">
            <v>10428798</v>
          </cell>
          <cell r="T42">
            <v>10592307</v>
          </cell>
          <cell r="U42">
            <v>10756878</v>
          </cell>
          <cell r="V42">
            <v>10922779</v>
          </cell>
          <cell r="W42">
            <v>11089165</v>
          </cell>
          <cell r="X42">
            <v>11254877</v>
          </cell>
          <cell r="Y42">
            <v>11419348</v>
          </cell>
          <cell r="Z42">
            <v>11582014</v>
          </cell>
          <cell r="AA42">
            <v>11743911</v>
          </cell>
          <cell r="AB42">
            <v>11907960</v>
          </cell>
          <cell r="AC42">
            <v>12078135</v>
          </cell>
          <cell r="AD42">
            <v>12257236</v>
          </cell>
          <cell r="AE42">
            <v>12445823</v>
          </cell>
          <cell r="AF42">
            <v>12642924</v>
          </cell>
          <cell r="AG42">
            <v>12847708</v>
          </cell>
          <cell r="AH42">
            <v>13058758</v>
          </cell>
          <cell r="AI42">
            <v>13274623</v>
          </cell>
          <cell r="AJ42">
            <v>13495258</v>
          </cell>
          <cell r="AK42">
            <v>13719819</v>
          </cell>
          <cell r="AL42">
            <v>13944937</v>
          </cell>
          <cell r="AM42">
            <v>14166340</v>
          </cell>
          <cell r="AN42">
            <v>14380866</v>
          </cell>
          <cell r="AO42">
            <v>14587370</v>
          </cell>
          <cell r="AP42">
            <v>14786220</v>
          </cell>
          <cell r="AQ42">
            <v>14977733</v>
          </cell>
          <cell r="AR42">
            <v>15162800</v>
          </cell>
          <cell r="AS42">
            <v>15342353</v>
          </cell>
          <cell r="AT42">
            <v>15516113</v>
          </cell>
          <cell r="AU42">
            <v>15684409</v>
          </cell>
          <cell r="AV42">
            <v>15849652</v>
          </cell>
          <cell r="AW42">
            <v>16014971</v>
          </cell>
          <cell r="AX42">
            <v>16182721</v>
          </cell>
          <cell r="AY42">
            <v>16354504</v>
          </cell>
          <cell r="AZ42">
            <v>16530195</v>
          </cell>
          <cell r="BA42">
            <v>16708258</v>
          </cell>
          <cell r="BB42">
            <v>16886186</v>
          </cell>
          <cell r="BC42">
            <v>17062536</v>
          </cell>
          <cell r="BD42">
            <v>17233576</v>
          </cell>
          <cell r="BE42">
            <v>17400347</v>
          </cell>
          <cell r="BF42">
            <v>17571507</v>
          </cell>
          <cell r="BG42">
            <v>17758959</v>
          </cell>
          <cell r="BH42">
            <v>17969353</v>
          </cell>
          <cell r="BI42">
            <v>18209068</v>
          </cell>
          <cell r="BJ42">
            <v>18470439</v>
          </cell>
          <cell r="BK42">
            <v>18729160</v>
          </cell>
        </row>
        <row r="43">
          <cell r="B43" t="str">
            <v>CHN</v>
          </cell>
          <cell r="C43" t="str">
            <v>Population, total</v>
          </cell>
          <cell r="D43" t="str">
            <v>SP.POP.TOTL</v>
          </cell>
          <cell r="E43">
            <v>667070000</v>
          </cell>
          <cell r="F43">
            <v>660330000</v>
          </cell>
          <cell r="G43">
            <v>665770000</v>
          </cell>
          <cell r="H43">
            <v>682335000</v>
          </cell>
          <cell r="I43">
            <v>698355000</v>
          </cell>
          <cell r="J43">
            <v>715185000</v>
          </cell>
          <cell r="K43">
            <v>735400000</v>
          </cell>
          <cell r="L43">
            <v>754550000</v>
          </cell>
          <cell r="M43">
            <v>774510000</v>
          </cell>
          <cell r="N43">
            <v>796025000</v>
          </cell>
          <cell r="O43">
            <v>818315000</v>
          </cell>
          <cell r="P43">
            <v>841105000</v>
          </cell>
          <cell r="Q43">
            <v>862030000</v>
          </cell>
          <cell r="R43">
            <v>881940000</v>
          </cell>
          <cell r="S43">
            <v>900350000</v>
          </cell>
          <cell r="T43">
            <v>916395000</v>
          </cell>
          <cell r="U43">
            <v>930685000</v>
          </cell>
          <cell r="V43">
            <v>943455000</v>
          </cell>
          <cell r="W43">
            <v>956165000</v>
          </cell>
          <cell r="X43">
            <v>969005000</v>
          </cell>
          <cell r="Y43">
            <v>981235000</v>
          </cell>
          <cell r="Z43">
            <v>993885000</v>
          </cell>
          <cell r="AA43">
            <v>1008630000</v>
          </cell>
          <cell r="AB43">
            <v>1023310000</v>
          </cell>
          <cell r="AC43">
            <v>1036825000</v>
          </cell>
          <cell r="AD43">
            <v>1051040000</v>
          </cell>
          <cell r="AE43">
            <v>1066790000</v>
          </cell>
          <cell r="AF43">
            <v>1084035000</v>
          </cell>
          <cell r="AG43">
            <v>1101630000</v>
          </cell>
          <cell r="AH43">
            <v>1118650000</v>
          </cell>
          <cell r="AI43">
            <v>1135185000</v>
          </cell>
          <cell r="AJ43">
            <v>1150780000</v>
          </cell>
          <cell r="AK43">
            <v>1164970000</v>
          </cell>
          <cell r="AL43">
            <v>1178440000</v>
          </cell>
          <cell r="AM43">
            <v>1191835000</v>
          </cell>
          <cell r="AN43">
            <v>1204855000</v>
          </cell>
          <cell r="AO43">
            <v>1217550000</v>
          </cell>
          <cell r="AP43">
            <v>1230075000</v>
          </cell>
          <cell r="AQ43">
            <v>1241935000</v>
          </cell>
          <cell r="AR43">
            <v>1252735000</v>
          </cell>
          <cell r="AS43">
            <v>1262645000</v>
          </cell>
          <cell r="AT43">
            <v>1271850000</v>
          </cell>
          <cell r="AU43">
            <v>1280400000</v>
          </cell>
          <cell r="AV43">
            <v>1288400000</v>
          </cell>
          <cell r="AW43">
            <v>1296075000</v>
          </cell>
          <cell r="AX43">
            <v>1303720000</v>
          </cell>
          <cell r="AY43">
            <v>1311020000</v>
          </cell>
          <cell r="AZ43">
            <v>1317885000</v>
          </cell>
          <cell r="BA43">
            <v>1324655000</v>
          </cell>
          <cell r="BB43">
            <v>1331260000</v>
          </cell>
          <cell r="BC43">
            <v>1337705000</v>
          </cell>
          <cell r="BD43">
            <v>1344130000</v>
          </cell>
          <cell r="BE43">
            <v>1350695000</v>
          </cell>
          <cell r="BF43">
            <v>1357380000</v>
          </cell>
          <cell r="BG43">
            <v>1364270000</v>
          </cell>
          <cell r="BH43">
            <v>1371220000</v>
          </cell>
          <cell r="BI43">
            <v>1378665000</v>
          </cell>
          <cell r="BJ43">
            <v>1386395000</v>
          </cell>
          <cell r="BK43">
            <v>1392730000</v>
          </cell>
        </row>
        <row r="44">
          <cell r="B44" t="str">
            <v>CIV</v>
          </cell>
          <cell r="C44" t="str">
            <v>Population, total</v>
          </cell>
          <cell r="D44" t="str">
            <v>SP.POP.TOTL</v>
          </cell>
          <cell r="E44">
            <v>3503553</v>
          </cell>
          <cell r="F44">
            <v>3631553</v>
          </cell>
          <cell r="G44">
            <v>3770766</v>
          </cell>
          <cell r="H44">
            <v>3918628</v>
          </cell>
          <cell r="I44">
            <v>4071411</v>
          </cell>
          <cell r="J44">
            <v>4226844</v>
          </cell>
          <cell r="K44">
            <v>4383728</v>
          </cell>
          <cell r="L44">
            <v>4544164</v>
          </cell>
          <cell r="M44">
            <v>4713135</v>
          </cell>
          <cell r="N44">
            <v>4897472</v>
          </cell>
          <cell r="O44">
            <v>5102064</v>
          </cell>
          <cell r="P44">
            <v>5328744</v>
          </cell>
          <cell r="Q44">
            <v>5576038</v>
          </cell>
          <cell r="R44">
            <v>5841506</v>
          </cell>
          <cell r="S44">
            <v>6121285</v>
          </cell>
          <cell r="T44">
            <v>6412403</v>
          </cell>
          <cell r="U44">
            <v>6713950</v>
          </cell>
          <cell r="V44">
            <v>7026496</v>
          </cell>
          <cell r="W44">
            <v>7350270</v>
          </cell>
          <cell r="X44">
            <v>7685918</v>
          </cell>
          <cell r="Y44">
            <v>8033650</v>
          </cell>
          <cell r="Z44">
            <v>8393691</v>
          </cell>
          <cell r="AA44">
            <v>8764989</v>
          </cell>
          <cell r="AB44">
            <v>9144931</v>
          </cell>
          <cell r="AC44">
            <v>9530107</v>
          </cell>
          <cell r="AD44">
            <v>9918196</v>
          </cell>
          <cell r="AE44">
            <v>10307281</v>
          </cell>
          <cell r="AF44">
            <v>10698194</v>
          </cell>
          <cell r="AG44">
            <v>11094748</v>
          </cell>
          <cell r="AH44">
            <v>11502449</v>
          </cell>
          <cell r="AI44">
            <v>11924877</v>
          </cell>
          <cell r="AJ44">
            <v>12362407</v>
          </cell>
          <cell r="AK44">
            <v>12812421</v>
          </cell>
          <cell r="AL44">
            <v>13271643</v>
          </cell>
          <cell r="AM44">
            <v>13735433</v>
          </cell>
          <cell r="AN44">
            <v>14199762</v>
          </cell>
          <cell r="AO44">
            <v>14665127</v>
          </cell>
          <cell r="AP44">
            <v>15130663</v>
          </cell>
          <cell r="AQ44">
            <v>15589414</v>
          </cell>
          <cell r="AR44">
            <v>16032573</v>
          </cell>
          <cell r="AS44">
            <v>16454668</v>
          </cell>
          <cell r="AT44">
            <v>16853026</v>
          </cell>
          <cell r="AU44">
            <v>17231539</v>
          </cell>
          <cell r="AV44">
            <v>17599610</v>
          </cell>
          <cell r="AW44">
            <v>17970494</v>
          </cell>
          <cell r="AX44">
            <v>18354514</v>
          </cell>
          <cell r="AY44">
            <v>18754916</v>
          </cell>
          <cell r="AZ44">
            <v>19171237</v>
          </cell>
          <cell r="BA44">
            <v>19605569</v>
          </cell>
          <cell r="BB44">
            <v>20059147</v>
          </cell>
          <cell r="BC44">
            <v>20532950</v>
          </cell>
          <cell r="BD44">
            <v>21028655</v>
          </cell>
          <cell r="BE44">
            <v>21547188</v>
          </cell>
          <cell r="BF44">
            <v>22087505</v>
          </cell>
          <cell r="BG44">
            <v>22647683</v>
          </cell>
          <cell r="BH44">
            <v>23226143</v>
          </cell>
          <cell r="BI44">
            <v>23822714</v>
          </cell>
          <cell r="BJ44">
            <v>24437469</v>
          </cell>
          <cell r="BK44">
            <v>25069229</v>
          </cell>
        </row>
        <row r="45">
          <cell r="B45" t="str">
            <v>CMR</v>
          </cell>
          <cell r="C45" t="str">
            <v>Population, total</v>
          </cell>
          <cell r="D45" t="str">
            <v>SP.POP.TOTL</v>
          </cell>
          <cell r="E45">
            <v>5176918</v>
          </cell>
          <cell r="F45">
            <v>5285017</v>
          </cell>
          <cell r="G45">
            <v>5398729</v>
          </cell>
          <cell r="H45">
            <v>5518104</v>
          </cell>
          <cell r="I45">
            <v>5643036</v>
          </cell>
          <cell r="J45">
            <v>5773543</v>
          </cell>
          <cell r="K45">
            <v>5909882</v>
          </cell>
          <cell r="L45">
            <v>6052420</v>
          </cell>
          <cell r="M45">
            <v>6201413</v>
          </cell>
          <cell r="N45">
            <v>6357092</v>
          </cell>
          <cell r="O45">
            <v>6519762</v>
          </cell>
          <cell r="P45">
            <v>6689662</v>
          </cell>
          <cell r="Q45">
            <v>6867178</v>
          </cell>
          <cell r="R45">
            <v>7052849</v>
          </cell>
          <cell r="S45">
            <v>7247287</v>
          </cell>
          <cell r="T45">
            <v>7451054</v>
          </cell>
          <cell r="U45">
            <v>7664406</v>
          </cell>
          <cell r="V45">
            <v>7887560</v>
          </cell>
          <cell r="W45">
            <v>8121084</v>
          </cell>
          <cell r="X45">
            <v>8365567</v>
          </cell>
          <cell r="Y45">
            <v>8621406</v>
          </cell>
          <cell r="Z45">
            <v>8888535</v>
          </cell>
          <cell r="AA45">
            <v>9166816</v>
          </cell>
          <cell r="AB45">
            <v>9456494</v>
          </cell>
          <cell r="AC45">
            <v>9757841</v>
          </cell>
          <cell r="AD45">
            <v>10070806</v>
          </cell>
          <cell r="AE45">
            <v>10395480</v>
          </cell>
          <cell r="AF45">
            <v>10731064</v>
          </cell>
          <cell r="AG45">
            <v>11075422</v>
          </cell>
          <cell r="AH45">
            <v>11425800</v>
          </cell>
          <cell r="AI45">
            <v>11780088</v>
          </cell>
          <cell r="AJ45">
            <v>12137912</v>
          </cell>
          <cell r="AK45">
            <v>12499499</v>
          </cell>
          <cell r="AL45">
            <v>12864090</v>
          </cell>
          <cell r="AM45">
            <v>13230984</v>
          </cell>
          <cell r="AN45">
            <v>13599988</v>
          </cell>
          <cell r="AO45">
            <v>13970813</v>
          </cell>
          <cell r="AP45">
            <v>14344449</v>
          </cell>
          <cell r="AQ45">
            <v>14723768</v>
          </cell>
          <cell r="AR45">
            <v>15112592</v>
          </cell>
          <cell r="AS45">
            <v>15513945</v>
          </cell>
          <cell r="AT45">
            <v>15928910</v>
          </cell>
          <cell r="AU45">
            <v>16357602</v>
          </cell>
          <cell r="AV45">
            <v>16800865</v>
          </cell>
          <cell r="AW45">
            <v>17259322</v>
          </cell>
          <cell r="AX45">
            <v>17733410</v>
          </cell>
          <cell r="AY45">
            <v>18223674</v>
          </cell>
          <cell r="AZ45">
            <v>18730282</v>
          </cell>
          <cell r="BA45">
            <v>19252666</v>
          </cell>
          <cell r="BB45">
            <v>19789919</v>
          </cell>
          <cell r="BC45">
            <v>20341241</v>
          </cell>
          <cell r="BD45">
            <v>20906388</v>
          </cell>
          <cell r="BE45">
            <v>21485266</v>
          </cell>
          <cell r="BF45">
            <v>22077298</v>
          </cell>
          <cell r="BG45">
            <v>22681858</v>
          </cell>
          <cell r="BH45">
            <v>23298368</v>
          </cell>
          <cell r="BI45">
            <v>23926539</v>
          </cell>
          <cell r="BJ45">
            <v>24566045</v>
          </cell>
          <cell r="BK45">
            <v>25216237</v>
          </cell>
        </row>
        <row r="46">
          <cell r="B46" t="str">
            <v>COD</v>
          </cell>
          <cell r="C46" t="str">
            <v>Population, total</v>
          </cell>
          <cell r="D46" t="str">
            <v>SP.POP.TOTL</v>
          </cell>
          <cell r="E46">
            <v>15248251</v>
          </cell>
          <cell r="F46">
            <v>15637699</v>
          </cell>
          <cell r="G46">
            <v>16041190</v>
          </cell>
          <cell r="H46">
            <v>16461830</v>
          </cell>
          <cell r="I46">
            <v>16903831</v>
          </cell>
          <cell r="J46">
            <v>17369883</v>
          </cell>
          <cell r="K46">
            <v>17862049</v>
          </cell>
          <cell r="L46">
            <v>18378625</v>
          </cell>
          <cell r="M46">
            <v>18913878</v>
          </cell>
          <cell r="N46">
            <v>19459816</v>
          </cell>
          <cell r="O46">
            <v>20011036</v>
          </cell>
          <cell r="P46">
            <v>20564067</v>
          </cell>
          <cell r="Q46">
            <v>21121363</v>
          </cell>
          <cell r="R46">
            <v>21690443</v>
          </cell>
          <cell r="S46">
            <v>22282136</v>
          </cell>
          <cell r="T46">
            <v>22903581</v>
          </cell>
          <cell r="U46">
            <v>23560464</v>
          </cell>
          <cell r="V46">
            <v>24249130</v>
          </cell>
          <cell r="W46">
            <v>24956385</v>
          </cell>
          <cell r="X46">
            <v>25663592</v>
          </cell>
          <cell r="Y46">
            <v>26358908</v>
          </cell>
          <cell r="Z46">
            <v>27040322</v>
          </cell>
          <cell r="AA46">
            <v>27717291</v>
          </cell>
          <cell r="AB46">
            <v>28403851</v>
          </cell>
          <cell r="AC46">
            <v>29119673</v>
          </cell>
          <cell r="AD46">
            <v>29881229</v>
          </cell>
          <cell r="AE46">
            <v>30683869</v>
          </cell>
          <cell r="AF46">
            <v>31528708</v>
          </cell>
          <cell r="AG46">
            <v>32443781</v>
          </cell>
          <cell r="AH46">
            <v>33464765</v>
          </cell>
          <cell r="AI46">
            <v>34612023</v>
          </cell>
          <cell r="AJ46">
            <v>35908244</v>
          </cell>
          <cell r="AK46">
            <v>37333914</v>
          </cell>
          <cell r="AL46">
            <v>38815834</v>
          </cell>
          <cell r="AM46">
            <v>40252975</v>
          </cell>
          <cell r="AN46">
            <v>41576234</v>
          </cell>
          <cell r="AO46">
            <v>42757243</v>
          </cell>
          <cell r="AP46">
            <v>43827180</v>
          </cell>
          <cell r="AQ46">
            <v>44849967</v>
          </cell>
          <cell r="AR46">
            <v>45919613</v>
          </cell>
          <cell r="AS46">
            <v>47105826</v>
          </cell>
          <cell r="AT46">
            <v>48428545</v>
          </cell>
          <cell r="AU46">
            <v>49871666</v>
          </cell>
          <cell r="AV46">
            <v>51425580</v>
          </cell>
          <cell r="AW46">
            <v>53068880</v>
          </cell>
          <cell r="AX46">
            <v>54785903</v>
          </cell>
          <cell r="AY46">
            <v>56578037</v>
          </cell>
          <cell r="AZ46">
            <v>58453683</v>
          </cell>
          <cell r="BA46">
            <v>60411195</v>
          </cell>
          <cell r="BB46">
            <v>62448574</v>
          </cell>
          <cell r="BC46">
            <v>64563854</v>
          </cell>
          <cell r="BD46">
            <v>66755153</v>
          </cell>
          <cell r="BE46">
            <v>69020747</v>
          </cell>
          <cell r="BF46">
            <v>71358807</v>
          </cell>
          <cell r="BG46">
            <v>73767447</v>
          </cell>
          <cell r="BH46">
            <v>76244544</v>
          </cell>
          <cell r="BI46">
            <v>78789127</v>
          </cell>
          <cell r="BJ46">
            <v>81398764</v>
          </cell>
          <cell r="BK46">
            <v>84068091</v>
          </cell>
        </row>
        <row r="47">
          <cell r="B47" t="str">
            <v>COG</v>
          </cell>
          <cell r="C47" t="str">
            <v>Population, total</v>
          </cell>
          <cell r="D47" t="str">
            <v>SP.POP.TOTL</v>
          </cell>
          <cell r="E47">
            <v>1018253</v>
          </cell>
          <cell r="F47">
            <v>1043116</v>
          </cell>
          <cell r="G47">
            <v>1069238</v>
          </cell>
          <cell r="H47">
            <v>1096638</v>
          </cell>
          <cell r="I47">
            <v>1125352</v>
          </cell>
          <cell r="J47">
            <v>1155392</v>
          </cell>
          <cell r="K47">
            <v>1186785</v>
          </cell>
          <cell r="L47">
            <v>1219541</v>
          </cell>
          <cell r="M47">
            <v>1253760</v>
          </cell>
          <cell r="N47">
            <v>1289522</v>
          </cell>
          <cell r="O47">
            <v>1326885</v>
          </cell>
          <cell r="P47">
            <v>1365899</v>
          </cell>
          <cell r="Q47">
            <v>1406522</v>
          </cell>
          <cell r="R47">
            <v>1448637</v>
          </cell>
          <cell r="S47">
            <v>1492055</v>
          </cell>
          <cell r="T47">
            <v>1536654</v>
          </cell>
          <cell r="U47">
            <v>1582358</v>
          </cell>
          <cell r="V47">
            <v>1629209</v>
          </cell>
          <cell r="W47">
            <v>1677332</v>
          </cell>
          <cell r="X47">
            <v>1726866</v>
          </cell>
          <cell r="Y47">
            <v>1777934</v>
          </cell>
          <cell r="Z47">
            <v>1830632</v>
          </cell>
          <cell r="AA47">
            <v>1884875</v>
          </cell>
          <cell r="AB47">
            <v>1940443</v>
          </cell>
          <cell r="AC47">
            <v>1996995</v>
          </cell>
          <cell r="AD47">
            <v>2054312</v>
          </cell>
          <cell r="AE47">
            <v>2112361</v>
          </cell>
          <cell r="AF47">
            <v>2171321</v>
          </cell>
          <cell r="AG47">
            <v>2231465</v>
          </cell>
          <cell r="AH47">
            <v>2293166</v>
          </cell>
          <cell r="AI47">
            <v>2356737</v>
          </cell>
          <cell r="AJ47">
            <v>2422305</v>
          </cell>
          <cell r="AK47">
            <v>2489952</v>
          </cell>
          <cell r="AL47">
            <v>2559873</v>
          </cell>
          <cell r="AM47">
            <v>2632345</v>
          </cell>
          <cell r="AN47">
            <v>2707537</v>
          </cell>
          <cell r="AO47">
            <v>2785810</v>
          </cell>
          <cell r="AP47">
            <v>2867280</v>
          </cell>
          <cell r="AQ47">
            <v>2951647</v>
          </cell>
          <cell r="AR47">
            <v>3038433</v>
          </cell>
          <cell r="AS47">
            <v>3127411</v>
          </cell>
          <cell r="AT47">
            <v>3217933</v>
          </cell>
          <cell r="AU47">
            <v>3310387</v>
          </cell>
          <cell r="AV47">
            <v>3406922</v>
          </cell>
          <cell r="AW47">
            <v>3510468</v>
          </cell>
          <cell r="AX47">
            <v>3622775</v>
          </cell>
          <cell r="AY47">
            <v>3745141</v>
          </cell>
          <cell r="AZ47">
            <v>3876119</v>
          </cell>
          <cell r="BA47">
            <v>4011486</v>
          </cell>
          <cell r="BB47">
            <v>4145391</v>
          </cell>
          <cell r="BC47">
            <v>4273731</v>
          </cell>
          <cell r="BD47">
            <v>4394844</v>
          </cell>
          <cell r="BE47">
            <v>4510198</v>
          </cell>
          <cell r="BF47">
            <v>4622761</v>
          </cell>
          <cell r="BG47">
            <v>4736974</v>
          </cell>
          <cell r="BH47">
            <v>4856095</v>
          </cell>
          <cell r="BI47">
            <v>4980999</v>
          </cell>
          <cell r="BJ47">
            <v>5110702</v>
          </cell>
          <cell r="BK47">
            <v>5244363</v>
          </cell>
        </row>
        <row r="48">
          <cell r="B48" t="str">
            <v>COL</v>
          </cell>
          <cell r="C48" t="str">
            <v>Population, total</v>
          </cell>
          <cell r="D48" t="str">
            <v>SP.POP.TOTL</v>
          </cell>
          <cell r="E48">
            <v>16057724</v>
          </cell>
          <cell r="F48">
            <v>16567811</v>
          </cell>
          <cell r="G48">
            <v>17092918</v>
          </cell>
          <cell r="H48">
            <v>17629979</v>
          </cell>
          <cell r="I48">
            <v>18175185</v>
          </cell>
          <cell r="J48">
            <v>18725245</v>
          </cell>
          <cell r="K48">
            <v>19279740</v>
          </cell>
          <cell r="L48">
            <v>19837510</v>
          </cell>
          <cell r="M48">
            <v>20393699</v>
          </cell>
          <cell r="N48">
            <v>20942456</v>
          </cell>
          <cell r="O48">
            <v>21480065</v>
          </cell>
          <cell r="P48">
            <v>22003980</v>
          </cell>
          <cell r="Q48">
            <v>22516425</v>
          </cell>
          <cell r="R48">
            <v>23024517</v>
          </cell>
          <cell r="S48">
            <v>23538386</v>
          </cell>
          <cell r="T48">
            <v>24065507</v>
          </cell>
          <cell r="U48">
            <v>24608113</v>
          </cell>
          <cell r="V48">
            <v>25164545</v>
          </cell>
          <cell r="W48">
            <v>25733673</v>
          </cell>
          <cell r="X48">
            <v>26312994</v>
          </cell>
          <cell r="Y48">
            <v>26900506</v>
          </cell>
          <cell r="Z48">
            <v>27496617</v>
          </cell>
          <cell r="AA48">
            <v>28101819</v>
          </cell>
          <cell r="AB48">
            <v>28714190</v>
          </cell>
          <cell r="AC48">
            <v>29331238</v>
          </cell>
          <cell r="AD48">
            <v>29951201</v>
          </cell>
          <cell r="AE48">
            <v>30572478</v>
          </cell>
          <cell r="AF48">
            <v>31195413</v>
          </cell>
          <cell r="AG48">
            <v>31822525</v>
          </cell>
          <cell r="AH48">
            <v>32457499</v>
          </cell>
          <cell r="AI48">
            <v>33102575</v>
          </cell>
          <cell r="AJ48">
            <v>33758337</v>
          </cell>
          <cell r="AK48">
            <v>34422569</v>
          </cell>
          <cell r="AL48">
            <v>35091275</v>
          </cell>
          <cell r="AM48">
            <v>35758979</v>
          </cell>
          <cell r="AN48">
            <v>36421438</v>
          </cell>
          <cell r="AO48">
            <v>37076387</v>
          </cell>
          <cell r="AP48">
            <v>37723800</v>
          </cell>
          <cell r="AQ48">
            <v>38364309</v>
          </cell>
          <cell r="AR48">
            <v>38999471</v>
          </cell>
          <cell r="AS48">
            <v>39629968</v>
          </cell>
          <cell r="AT48">
            <v>40255967</v>
          </cell>
          <cell r="AU48">
            <v>40875360</v>
          </cell>
          <cell r="AV48">
            <v>41483869</v>
          </cell>
          <cell r="AW48">
            <v>42075955</v>
          </cell>
          <cell r="AX48">
            <v>42647723</v>
          </cell>
          <cell r="AY48">
            <v>43200897</v>
          </cell>
          <cell r="AZ48">
            <v>43737516</v>
          </cell>
          <cell r="BA48">
            <v>44254975</v>
          </cell>
          <cell r="BB48">
            <v>44750054</v>
          </cell>
          <cell r="BC48">
            <v>45222700</v>
          </cell>
          <cell r="BD48">
            <v>45663099</v>
          </cell>
          <cell r="BE48">
            <v>46076848</v>
          </cell>
          <cell r="BF48">
            <v>46497267</v>
          </cell>
          <cell r="BG48">
            <v>46969209</v>
          </cell>
          <cell r="BH48">
            <v>47520667</v>
          </cell>
          <cell r="BI48">
            <v>48171392</v>
          </cell>
          <cell r="BJ48">
            <v>48901066</v>
          </cell>
          <cell r="BK48">
            <v>49648685</v>
          </cell>
        </row>
        <row r="49">
          <cell r="B49" t="str">
            <v>COM</v>
          </cell>
          <cell r="C49" t="str">
            <v>Population, total</v>
          </cell>
          <cell r="D49" t="str">
            <v>SP.POP.TOTL</v>
          </cell>
          <cell r="E49">
            <v>191121</v>
          </cell>
          <cell r="F49">
            <v>194139</v>
          </cell>
          <cell r="G49">
            <v>197198</v>
          </cell>
          <cell r="H49">
            <v>200372</v>
          </cell>
          <cell r="I49">
            <v>203753</v>
          </cell>
          <cell r="J49">
            <v>207424</v>
          </cell>
          <cell r="K49">
            <v>211478</v>
          </cell>
          <cell r="L49">
            <v>215897</v>
          </cell>
          <cell r="M49">
            <v>220575</v>
          </cell>
          <cell r="N49">
            <v>225325</v>
          </cell>
          <cell r="O49">
            <v>230054</v>
          </cell>
          <cell r="P49">
            <v>234644</v>
          </cell>
          <cell r="Q49">
            <v>239235</v>
          </cell>
          <cell r="R49">
            <v>244208</v>
          </cell>
          <cell r="S49">
            <v>250104</v>
          </cell>
          <cell r="T49">
            <v>257290</v>
          </cell>
          <cell r="U49">
            <v>265953</v>
          </cell>
          <cell r="V49">
            <v>275900</v>
          </cell>
          <cell r="W49">
            <v>286634</v>
          </cell>
          <cell r="X49">
            <v>297447</v>
          </cell>
          <cell r="Y49">
            <v>307829</v>
          </cell>
          <cell r="Z49">
            <v>317606</v>
          </cell>
          <cell r="AA49">
            <v>326946</v>
          </cell>
          <cell r="AB49">
            <v>336096</v>
          </cell>
          <cell r="AC49">
            <v>345466</v>
          </cell>
          <cell r="AD49">
            <v>355337</v>
          </cell>
          <cell r="AE49">
            <v>365760</v>
          </cell>
          <cell r="AF49">
            <v>376654</v>
          </cell>
          <cell r="AG49">
            <v>387963</v>
          </cell>
          <cell r="AH49">
            <v>399632</v>
          </cell>
          <cell r="AI49">
            <v>411594</v>
          </cell>
          <cell r="AJ49">
            <v>423872</v>
          </cell>
          <cell r="AK49">
            <v>436448</v>
          </cell>
          <cell r="AL49">
            <v>449274</v>
          </cell>
          <cell r="AM49">
            <v>462277</v>
          </cell>
          <cell r="AN49">
            <v>475394</v>
          </cell>
          <cell r="AO49">
            <v>488627</v>
          </cell>
          <cell r="AP49">
            <v>501953</v>
          </cell>
          <cell r="AQ49">
            <v>515385</v>
          </cell>
          <cell r="AR49">
            <v>528848</v>
          </cell>
          <cell r="AS49">
            <v>542357</v>
          </cell>
          <cell r="AT49">
            <v>555888</v>
          </cell>
          <cell r="AU49">
            <v>569479</v>
          </cell>
          <cell r="AV49">
            <v>583211</v>
          </cell>
          <cell r="AW49">
            <v>597228</v>
          </cell>
          <cell r="AX49">
            <v>611627</v>
          </cell>
          <cell r="AY49">
            <v>626425</v>
          </cell>
          <cell r="AZ49">
            <v>641620</v>
          </cell>
          <cell r="BA49">
            <v>657229</v>
          </cell>
          <cell r="BB49">
            <v>673252</v>
          </cell>
          <cell r="BC49">
            <v>689692</v>
          </cell>
          <cell r="BD49">
            <v>706569</v>
          </cell>
          <cell r="BE49">
            <v>723871</v>
          </cell>
          <cell r="BF49">
            <v>741505</v>
          </cell>
          <cell r="BG49">
            <v>759390</v>
          </cell>
          <cell r="BH49">
            <v>777424</v>
          </cell>
          <cell r="BI49">
            <v>795592</v>
          </cell>
          <cell r="BJ49">
            <v>813892</v>
          </cell>
          <cell r="BK49">
            <v>832322</v>
          </cell>
        </row>
        <row r="50">
          <cell r="B50" t="str">
            <v>CPV</v>
          </cell>
          <cell r="C50" t="str">
            <v>Population, total</v>
          </cell>
          <cell r="D50" t="str">
            <v>SP.POP.TOTL</v>
          </cell>
          <cell r="E50">
            <v>201765</v>
          </cell>
          <cell r="F50">
            <v>205327</v>
          </cell>
          <cell r="G50">
            <v>210142</v>
          </cell>
          <cell r="H50">
            <v>216096</v>
          </cell>
          <cell r="I50">
            <v>222948</v>
          </cell>
          <cell r="J50">
            <v>230418</v>
          </cell>
          <cell r="K50">
            <v>238655</v>
          </cell>
          <cell r="L50">
            <v>247527</v>
          </cell>
          <cell r="M50">
            <v>256176</v>
          </cell>
          <cell r="N50">
            <v>263453</v>
          </cell>
          <cell r="O50">
            <v>268627</v>
          </cell>
          <cell r="P50">
            <v>271309</v>
          </cell>
          <cell r="Q50">
            <v>271843</v>
          </cell>
          <cell r="R50">
            <v>271068</v>
          </cell>
          <cell r="S50">
            <v>270230</v>
          </cell>
          <cell r="T50">
            <v>270247</v>
          </cell>
          <cell r="U50">
            <v>271342</v>
          </cell>
          <cell r="V50">
            <v>273335</v>
          </cell>
          <cell r="W50">
            <v>276174</v>
          </cell>
          <cell r="X50">
            <v>279730</v>
          </cell>
          <cell r="Y50">
            <v>283847</v>
          </cell>
          <cell r="Z50">
            <v>288677</v>
          </cell>
          <cell r="AA50">
            <v>294254</v>
          </cell>
          <cell r="AB50">
            <v>300230</v>
          </cell>
          <cell r="AC50">
            <v>306136</v>
          </cell>
          <cell r="AD50">
            <v>311678</v>
          </cell>
          <cell r="AE50">
            <v>316616</v>
          </cell>
          <cell r="AF50">
            <v>321135</v>
          </cell>
          <cell r="AG50">
            <v>325746</v>
          </cell>
          <cell r="AH50">
            <v>331179</v>
          </cell>
          <cell r="AI50">
            <v>337950</v>
          </cell>
          <cell r="AJ50">
            <v>346230</v>
          </cell>
          <cell r="AK50">
            <v>355757</v>
          </cell>
          <cell r="AL50">
            <v>366053</v>
          </cell>
          <cell r="AM50">
            <v>376407</v>
          </cell>
          <cell r="AN50">
            <v>386284</v>
          </cell>
          <cell r="AO50">
            <v>395533</v>
          </cell>
          <cell r="AP50">
            <v>404259</v>
          </cell>
          <cell r="AQ50">
            <v>412514</v>
          </cell>
          <cell r="AR50">
            <v>420452</v>
          </cell>
          <cell r="AS50">
            <v>428188</v>
          </cell>
          <cell r="AT50">
            <v>435709</v>
          </cell>
          <cell r="AU50">
            <v>442951</v>
          </cell>
          <cell r="AV50">
            <v>449930</v>
          </cell>
          <cell r="AW50">
            <v>456617</v>
          </cell>
          <cell r="AX50">
            <v>463032</v>
          </cell>
          <cell r="AY50">
            <v>469170</v>
          </cell>
          <cell r="AZ50">
            <v>475060</v>
          </cell>
          <cell r="BA50">
            <v>480842</v>
          </cell>
          <cell r="BB50">
            <v>486671</v>
          </cell>
          <cell r="BC50">
            <v>492654</v>
          </cell>
          <cell r="BD50">
            <v>498856</v>
          </cell>
          <cell r="BE50">
            <v>505235</v>
          </cell>
          <cell r="BF50">
            <v>511748</v>
          </cell>
          <cell r="BG50">
            <v>518269</v>
          </cell>
          <cell r="BH50">
            <v>524743</v>
          </cell>
          <cell r="BI50">
            <v>531146</v>
          </cell>
          <cell r="BJ50">
            <v>537497</v>
          </cell>
          <cell r="BK50">
            <v>543767</v>
          </cell>
        </row>
        <row r="51">
          <cell r="B51" t="str">
            <v>CRI</v>
          </cell>
          <cell r="C51" t="str">
            <v>Population, total</v>
          </cell>
          <cell r="D51" t="str">
            <v>SP.POP.TOTL</v>
          </cell>
          <cell r="E51">
            <v>1330782</v>
          </cell>
          <cell r="F51">
            <v>1381183</v>
          </cell>
          <cell r="G51">
            <v>1433335</v>
          </cell>
          <cell r="H51">
            <v>1486553</v>
          </cell>
          <cell r="I51">
            <v>1539941</v>
          </cell>
          <cell r="J51">
            <v>1592841</v>
          </cell>
          <cell r="K51">
            <v>1645083</v>
          </cell>
          <cell r="L51">
            <v>1696732</v>
          </cell>
          <cell r="M51">
            <v>1747694</v>
          </cell>
          <cell r="N51">
            <v>1797893</v>
          </cell>
          <cell r="O51">
            <v>1847394</v>
          </cell>
          <cell r="P51">
            <v>1896077</v>
          </cell>
          <cell r="Q51">
            <v>1944169</v>
          </cell>
          <cell r="R51">
            <v>1992514</v>
          </cell>
          <cell r="S51">
            <v>2042241</v>
          </cell>
          <cell r="T51">
            <v>2094188</v>
          </cell>
          <cell r="U51">
            <v>2148677</v>
          </cell>
          <cell r="V51">
            <v>2205615</v>
          </cell>
          <cell r="W51">
            <v>2264946</v>
          </cell>
          <cell r="X51">
            <v>2326464</v>
          </cell>
          <cell r="Y51">
            <v>2389977</v>
          </cell>
          <cell r="Z51">
            <v>2455588</v>
          </cell>
          <cell r="AA51">
            <v>2523354</v>
          </cell>
          <cell r="AB51">
            <v>2593020</v>
          </cell>
          <cell r="AC51">
            <v>2664223</v>
          </cell>
          <cell r="AD51">
            <v>2736712</v>
          </cell>
          <cell r="AE51">
            <v>2810242</v>
          </cell>
          <cell r="AF51">
            <v>2884851</v>
          </cell>
          <cell r="AG51">
            <v>2960929</v>
          </cell>
          <cell r="AH51">
            <v>3039013</v>
          </cell>
          <cell r="AI51">
            <v>3119433</v>
          </cell>
          <cell r="AJ51">
            <v>3202085</v>
          </cell>
          <cell r="AK51">
            <v>3286520</v>
          </cell>
          <cell r="AL51">
            <v>3372298</v>
          </cell>
          <cell r="AM51">
            <v>3458834</v>
          </cell>
          <cell r="AN51">
            <v>3545534</v>
          </cell>
          <cell r="AO51">
            <v>3632362</v>
          </cell>
          <cell r="AP51">
            <v>3718949</v>
          </cell>
          <cell r="AQ51">
            <v>3803887</v>
          </cell>
          <cell r="AR51">
            <v>3885430</v>
          </cell>
          <cell r="AS51">
            <v>3962372</v>
          </cell>
          <cell r="AT51">
            <v>4034074</v>
          </cell>
          <cell r="AU51">
            <v>4100925</v>
          </cell>
          <cell r="AV51">
            <v>4164053</v>
          </cell>
          <cell r="AW51">
            <v>4225155</v>
          </cell>
          <cell r="AX51">
            <v>4285502</v>
          </cell>
          <cell r="AY51">
            <v>4345412</v>
          </cell>
          <cell r="AZ51">
            <v>4404628</v>
          </cell>
          <cell r="BA51">
            <v>4463125</v>
          </cell>
          <cell r="BB51">
            <v>4520740</v>
          </cell>
          <cell r="BC51">
            <v>4577378</v>
          </cell>
          <cell r="BD51">
            <v>4633086</v>
          </cell>
          <cell r="BE51">
            <v>4688000</v>
          </cell>
          <cell r="BF51">
            <v>4742107</v>
          </cell>
          <cell r="BG51">
            <v>4795396</v>
          </cell>
          <cell r="BH51">
            <v>4847804</v>
          </cell>
          <cell r="BI51">
            <v>4899345</v>
          </cell>
          <cell r="BJ51">
            <v>4949954</v>
          </cell>
          <cell r="BK51">
            <v>4999441</v>
          </cell>
        </row>
        <row r="52">
          <cell r="B52" t="str">
            <v>CSS</v>
          </cell>
          <cell r="C52" t="str">
            <v>Population, total</v>
          </cell>
          <cell r="D52" t="str">
            <v>SP.POP.TOTL</v>
          </cell>
          <cell r="E52">
            <v>4194710</v>
          </cell>
          <cell r="F52">
            <v>4274060</v>
          </cell>
          <cell r="G52">
            <v>4353628</v>
          </cell>
          <cell r="H52">
            <v>4432217</v>
          </cell>
          <cell r="I52">
            <v>4508198</v>
          </cell>
          <cell r="J52">
            <v>4580374</v>
          </cell>
          <cell r="K52">
            <v>4648367</v>
          </cell>
          <cell r="L52">
            <v>4712526</v>
          </cell>
          <cell r="M52">
            <v>4773902</v>
          </cell>
          <cell r="N52">
            <v>4833842</v>
          </cell>
          <cell r="O52">
            <v>4893454</v>
          </cell>
          <cell r="P52">
            <v>4953087</v>
          </cell>
          <cell r="Q52">
            <v>5012612</v>
          </cell>
          <cell r="R52">
            <v>5071954</v>
          </cell>
          <cell r="S52">
            <v>5130833</v>
          </cell>
          <cell r="T52">
            <v>5189153</v>
          </cell>
          <cell r="U52">
            <v>5246563</v>
          </cell>
          <cell r="V52">
            <v>5303307</v>
          </cell>
          <cell r="W52">
            <v>5360561</v>
          </cell>
          <cell r="X52">
            <v>5419884</v>
          </cell>
          <cell r="Y52">
            <v>5482206</v>
          </cell>
          <cell r="Z52">
            <v>5548512</v>
          </cell>
          <cell r="AA52">
            <v>5617885</v>
          </cell>
          <cell r="AB52">
            <v>5687092</v>
          </cell>
          <cell r="AC52">
            <v>5751543</v>
          </cell>
          <cell r="AD52">
            <v>5808179</v>
          </cell>
          <cell r="AE52">
            <v>5855443</v>
          </cell>
          <cell r="AF52">
            <v>5894827</v>
          </cell>
          <cell r="AG52">
            <v>5930179</v>
          </cell>
          <cell r="AH52">
            <v>5967018</v>
          </cell>
          <cell r="AI52">
            <v>6009251</v>
          </cell>
          <cell r="AJ52">
            <v>6058308</v>
          </cell>
          <cell r="AK52">
            <v>6112815</v>
          </cell>
          <cell r="AL52">
            <v>6170351</v>
          </cell>
          <cell r="AM52">
            <v>6227335</v>
          </cell>
          <cell r="AN52">
            <v>6281190</v>
          </cell>
          <cell r="AO52">
            <v>6331280</v>
          </cell>
          <cell r="AP52">
            <v>6378552</v>
          </cell>
          <cell r="AQ52">
            <v>6423827</v>
          </cell>
          <cell r="AR52">
            <v>6468476</v>
          </cell>
          <cell r="AS52">
            <v>6513485</v>
          </cell>
          <cell r="AT52">
            <v>6559096</v>
          </cell>
          <cell r="AU52">
            <v>6604965</v>
          </cell>
          <cell r="AV52">
            <v>6650971</v>
          </cell>
          <cell r="AW52">
            <v>6696953</v>
          </cell>
          <cell r="AX52">
            <v>6742717</v>
          </cell>
          <cell r="AY52">
            <v>6788123</v>
          </cell>
          <cell r="AZ52">
            <v>6833393</v>
          </cell>
          <cell r="BA52">
            <v>6878978</v>
          </cell>
          <cell r="BB52">
            <v>6925452</v>
          </cell>
          <cell r="BC52">
            <v>6973206</v>
          </cell>
          <cell r="BD52">
            <v>7022387</v>
          </cell>
          <cell r="BE52">
            <v>7072665</v>
          </cell>
          <cell r="BF52">
            <v>7123332</v>
          </cell>
          <cell r="BG52">
            <v>7173435</v>
          </cell>
          <cell r="BH52">
            <v>7222212</v>
          </cell>
          <cell r="BI52">
            <v>7269386</v>
          </cell>
          <cell r="BJ52">
            <v>7314990</v>
          </cell>
          <cell r="BK52">
            <v>7358965</v>
          </cell>
        </row>
        <row r="53">
          <cell r="B53" t="str">
            <v>CUB</v>
          </cell>
          <cell r="C53" t="str">
            <v>Population, total</v>
          </cell>
          <cell r="D53" t="str">
            <v>SP.POP.TOTL</v>
          </cell>
          <cell r="E53">
            <v>7141250</v>
          </cell>
          <cell r="F53">
            <v>7291200</v>
          </cell>
          <cell r="G53">
            <v>7453540</v>
          </cell>
          <cell r="H53">
            <v>7623294</v>
          </cell>
          <cell r="I53">
            <v>7793262</v>
          </cell>
          <cell r="J53">
            <v>7958169</v>
          </cell>
          <cell r="K53">
            <v>8115487</v>
          </cell>
          <cell r="L53">
            <v>8266380</v>
          </cell>
          <cell r="M53">
            <v>8413552</v>
          </cell>
          <cell r="N53">
            <v>8561384</v>
          </cell>
          <cell r="O53">
            <v>8712541</v>
          </cell>
          <cell r="P53">
            <v>8868083</v>
          </cell>
          <cell r="Q53">
            <v>9025345</v>
          </cell>
          <cell r="R53">
            <v>9178804</v>
          </cell>
          <cell r="S53">
            <v>9320945</v>
          </cell>
          <cell r="T53">
            <v>9446442</v>
          </cell>
          <cell r="U53">
            <v>9554188</v>
          </cell>
          <cell r="V53">
            <v>9646142</v>
          </cell>
          <cell r="W53">
            <v>9724044</v>
          </cell>
          <cell r="X53">
            <v>9790851</v>
          </cell>
          <cell r="Y53">
            <v>9849459</v>
          </cell>
          <cell r="Z53">
            <v>9898889</v>
          </cell>
          <cell r="AA53">
            <v>9940317</v>
          </cell>
          <cell r="AB53">
            <v>9981304</v>
          </cell>
          <cell r="AC53">
            <v>10031649</v>
          </cell>
          <cell r="AD53">
            <v>10097911</v>
          </cell>
          <cell r="AE53">
            <v>10183899</v>
          </cell>
          <cell r="AF53">
            <v>10286643</v>
          </cell>
          <cell r="AG53">
            <v>10397511</v>
          </cell>
          <cell r="AH53">
            <v>10503972</v>
          </cell>
          <cell r="AI53">
            <v>10596987</v>
          </cell>
          <cell r="AJ53">
            <v>10673542</v>
          </cell>
          <cell r="AK53">
            <v>10736387</v>
          </cell>
          <cell r="AL53">
            <v>10789306</v>
          </cell>
          <cell r="AM53">
            <v>10838462</v>
          </cell>
          <cell r="AN53">
            <v>10888252</v>
          </cell>
          <cell r="AO53">
            <v>10939293</v>
          </cell>
          <cell r="AP53">
            <v>10989732</v>
          </cell>
          <cell r="AQ53">
            <v>11038692</v>
          </cell>
          <cell r="AR53">
            <v>11084670</v>
          </cell>
          <cell r="AS53">
            <v>11126430</v>
          </cell>
          <cell r="AT53">
            <v>11164667</v>
          </cell>
          <cell r="AU53">
            <v>11199651</v>
          </cell>
          <cell r="AV53">
            <v>11229183</v>
          </cell>
          <cell r="AW53">
            <v>11250365</v>
          </cell>
          <cell r="AX53">
            <v>11261582</v>
          </cell>
          <cell r="AY53">
            <v>11261248</v>
          </cell>
          <cell r="AZ53">
            <v>11251122</v>
          </cell>
          <cell r="BA53">
            <v>11236971</v>
          </cell>
          <cell r="BB53">
            <v>11226709</v>
          </cell>
          <cell r="BC53">
            <v>11225832</v>
          </cell>
          <cell r="BD53">
            <v>11236670</v>
          </cell>
          <cell r="BE53">
            <v>11257101</v>
          </cell>
          <cell r="BF53">
            <v>11282720</v>
          </cell>
          <cell r="BG53">
            <v>11306902</v>
          </cell>
          <cell r="BH53">
            <v>11324781</v>
          </cell>
          <cell r="BI53">
            <v>11335109</v>
          </cell>
          <cell r="BJ53">
            <v>11339259</v>
          </cell>
          <cell r="BK53">
            <v>11338138</v>
          </cell>
        </row>
        <row r="54">
          <cell r="B54" t="str">
            <v>CUW</v>
          </cell>
          <cell r="C54" t="str">
            <v>Population, total</v>
          </cell>
          <cell r="D54" t="str">
            <v>SP.POP.TOTL</v>
          </cell>
          <cell r="E54">
            <v>124826</v>
          </cell>
          <cell r="F54">
            <v>126125</v>
          </cell>
          <cell r="G54">
            <v>128414</v>
          </cell>
          <cell r="H54">
            <v>130860</v>
          </cell>
          <cell r="I54">
            <v>133148</v>
          </cell>
          <cell r="J54">
            <v>135266</v>
          </cell>
          <cell r="K54">
            <v>136682</v>
          </cell>
          <cell r="L54">
            <v>138140</v>
          </cell>
          <cell r="M54">
            <v>140298</v>
          </cell>
          <cell r="N54">
            <v>142581</v>
          </cell>
          <cell r="O54">
            <v>144739</v>
          </cell>
          <cell r="P54">
            <v>147389</v>
          </cell>
          <cell r="Q54">
            <v>147710</v>
          </cell>
          <cell r="R54">
            <v>146912</v>
          </cell>
          <cell r="S54">
            <v>148351</v>
          </cell>
          <cell r="T54">
            <v>149129</v>
          </cell>
          <cell r="U54">
            <v>149399</v>
          </cell>
          <cell r="V54">
            <v>149459</v>
          </cell>
          <cell r="W54">
            <v>148341</v>
          </cell>
          <cell r="X54">
            <v>147851</v>
          </cell>
          <cell r="Y54">
            <v>148041</v>
          </cell>
          <cell r="Z54">
            <v>148629</v>
          </cell>
          <cell r="AA54">
            <v>150101</v>
          </cell>
          <cell r="AB54">
            <v>151159</v>
          </cell>
          <cell r="AC54">
            <v>151940</v>
          </cell>
          <cell r="AD54">
            <v>152711</v>
          </cell>
          <cell r="AE54">
            <v>152662</v>
          </cell>
          <cell r="AF54">
            <v>151456</v>
          </cell>
          <cell r="AG54">
            <v>149254</v>
          </cell>
          <cell r="AH54">
            <v>146937</v>
          </cell>
          <cell r="AI54">
            <v>145400</v>
          </cell>
          <cell r="AJ54">
            <v>144403</v>
          </cell>
          <cell r="AK54">
            <v>143912</v>
          </cell>
          <cell r="AL54">
            <v>144299</v>
          </cell>
          <cell r="AM54">
            <v>144630</v>
          </cell>
          <cell r="AN54">
            <v>145139</v>
          </cell>
          <cell r="AO54">
            <v>146306</v>
          </cell>
          <cell r="AP54">
            <v>146956</v>
          </cell>
          <cell r="AQ54">
            <v>144472</v>
          </cell>
          <cell r="AR54">
            <v>139428</v>
          </cell>
          <cell r="AS54">
            <v>133860</v>
          </cell>
          <cell r="AT54">
            <v>129047</v>
          </cell>
          <cell r="AU54">
            <v>129205</v>
          </cell>
          <cell r="AV54">
            <v>131897</v>
          </cell>
          <cell r="AW54">
            <v>134192</v>
          </cell>
          <cell r="AX54">
            <v>137658</v>
          </cell>
          <cell r="AY54">
            <v>141239</v>
          </cell>
          <cell r="AZ54">
            <v>144056</v>
          </cell>
          <cell r="BA54">
            <v>145880</v>
          </cell>
          <cell r="BB54">
            <v>146833</v>
          </cell>
          <cell r="BC54">
            <v>148703</v>
          </cell>
          <cell r="BD54">
            <v>150831</v>
          </cell>
          <cell r="BE54">
            <v>152088</v>
          </cell>
          <cell r="BF54">
            <v>153822</v>
          </cell>
          <cell r="BG54">
            <v>155909</v>
          </cell>
          <cell r="BH54">
            <v>157980</v>
          </cell>
          <cell r="BI54">
            <v>159664</v>
          </cell>
          <cell r="BJ54">
            <v>160175</v>
          </cell>
          <cell r="BK54">
            <v>159800</v>
          </cell>
        </row>
        <row r="55">
          <cell r="B55" t="str">
            <v>CYM</v>
          </cell>
          <cell r="C55" t="str">
            <v>Population, total</v>
          </cell>
          <cell r="D55" t="str">
            <v>SP.POP.TOTL</v>
          </cell>
          <cell r="E55">
            <v>7865</v>
          </cell>
          <cell r="F55">
            <v>8026</v>
          </cell>
          <cell r="G55">
            <v>8146</v>
          </cell>
          <cell r="H55">
            <v>8227</v>
          </cell>
          <cell r="I55">
            <v>8298</v>
          </cell>
          <cell r="J55">
            <v>8369</v>
          </cell>
          <cell r="K55">
            <v>8441</v>
          </cell>
          <cell r="L55">
            <v>8522</v>
          </cell>
          <cell r="M55">
            <v>8631</v>
          </cell>
          <cell r="N55">
            <v>8827</v>
          </cell>
          <cell r="O55">
            <v>9144</v>
          </cell>
          <cell r="P55">
            <v>9580</v>
          </cell>
          <cell r="Q55">
            <v>10133</v>
          </cell>
          <cell r="R55">
            <v>10782</v>
          </cell>
          <cell r="S55">
            <v>11491</v>
          </cell>
          <cell r="T55">
            <v>12244</v>
          </cell>
          <cell r="U55">
            <v>13025</v>
          </cell>
          <cell r="V55">
            <v>13853</v>
          </cell>
          <cell r="W55">
            <v>14683</v>
          </cell>
          <cell r="X55">
            <v>15480</v>
          </cell>
          <cell r="Y55">
            <v>16212</v>
          </cell>
          <cell r="Z55">
            <v>16860</v>
          </cell>
          <cell r="AA55">
            <v>17439</v>
          </cell>
          <cell r="AB55">
            <v>18011</v>
          </cell>
          <cell r="AC55">
            <v>18670</v>
          </cell>
          <cell r="AD55">
            <v>19467</v>
          </cell>
          <cell r="AE55">
            <v>20430</v>
          </cell>
          <cell r="AF55">
            <v>21544</v>
          </cell>
          <cell r="AG55">
            <v>22761</v>
          </cell>
          <cell r="AH55">
            <v>24039</v>
          </cell>
          <cell r="AI55">
            <v>25312</v>
          </cell>
          <cell r="AJ55">
            <v>26544</v>
          </cell>
          <cell r="AK55">
            <v>27780</v>
          </cell>
          <cell r="AL55">
            <v>29069</v>
          </cell>
          <cell r="AM55">
            <v>30514</v>
          </cell>
          <cell r="AN55">
            <v>32166</v>
          </cell>
          <cell r="AO55">
            <v>34065</v>
          </cell>
          <cell r="AP55">
            <v>36156</v>
          </cell>
          <cell r="AQ55">
            <v>38329</v>
          </cell>
          <cell r="AR55">
            <v>40420</v>
          </cell>
          <cell r="AS55">
            <v>42303</v>
          </cell>
          <cell r="AT55">
            <v>43935</v>
          </cell>
          <cell r="AU55">
            <v>45351</v>
          </cell>
          <cell r="AV55">
            <v>46632</v>
          </cell>
          <cell r="AW55">
            <v>47902</v>
          </cell>
          <cell r="AX55">
            <v>49261</v>
          </cell>
          <cell r="AY55">
            <v>50740</v>
          </cell>
          <cell r="AZ55">
            <v>52280</v>
          </cell>
          <cell r="BA55">
            <v>53836</v>
          </cell>
          <cell r="BB55">
            <v>55322</v>
          </cell>
          <cell r="BC55">
            <v>56672</v>
          </cell>
          <cell r="BD55">
            <v>57878</v>
          </cell>
          <cell r="BE55">
            <v>58958</v>
          </cell>
          <cell r="BF55">
            <v>59932</v>
          </cell>
          <cell r="BG55">
            <v>60848</v>
          </cell>
          <cell r="BH55">
            <v>61724</v>
          </cell>
          <cell r="BI55">
            <v>62569</v>
          </cell>
          <cell r="BJ55">
            <v>63382</v>
          </cell>
          <cell r="BK55">
            <v>64174</v>
          </cell>
        </row>
        <row r="56">
          <cell r="B56" t="str">
            <v>CYP</v>
          </cell>
          <cell r="C56" t="str">
            <v>Population, total</v>
          </cell>
          <cell r="D56" t="str">
            <v>SP.POP.TOTL</v>
          </cell>
          <cell r="E56">
            <v>572930</v>
          </cell>
          <cell r="F56">
            <v>576395</v>
          </cell>
          <cell r="G56">
            <v>577691</v>
          </cell>
          <cell r="H56">
            <v>577913</v>
          </cell>
          <cell r="I56">
            <v>578625</v>
          </cell>
          <cell r="J56">
            <v>580966</v>
          </cell>
          <cell r="K56">
            <v>585309</v>
          </cell>
          <cell r="L56">
            <v>591308</v>
          </cell>
          <cell r="M56">
            <v>598495</v>
          </cell>
          <cell r="N56">
            <v>606116</v>
          </cell>
          <cell r="O56">
            <v>613618</v>
          </cell>
          <cell r="P56">
            <v>620859</v>
          </cell>
          <cell r="Q56">
            <v>627998</v>
          </cell>
          <cell r="R56">
            <v>635107</v>
          </cell>
          <cell r="S56">
            <v>642332</v>
          </cell>
          <cell r="T56">
            <v>649751</v>
          </cell>
          <cell r="U56">
            <v>657527</v>
          </cell>
          <cell r="V56">
            <v>665525</v>
          </cell>
          <cell r="W56">
            <v>673247</v>
          </cell>
          <cell r="X56">
            <v>680005</v>
          </cell>
          <cell r="Y56">
            <v>685405</v>
          </cell>
          <cell r="Z56">
            <v>689173</v>
          </cell>
          <cell r="AA56">
            <v>691702</v>
          </cell>
          <cell r="AB56">
            <v>694077</v>
          </cell>
          <cell r="AC56">
            <v>697714</v>
          </cell>
          <cell r="AD56">
            <v>703685</v>
          </cell>
          <cell r="AE56">
            <v>712340</v>
          </cell>
          <cell r="AF56">
            <v>723376</v>
          </cell>
          <cell r="AG56">
            <v>736474</v>
          </cell>
          <cell r="AH56">
            <v>751047</v>
          </cell>
          <cell r="AI56">
            <v>766615</v>
          </cell>
          <cell r="AJ56">
            <v>783124</v>
          </cell>
          <cell r="AK56">
            <v>800611</v>
          </cell>
          <cell r="AL56">
            <v>818746</v>
          </cell>
          <cell r="AM56">
            <v>837110</v>
          </cell>
          <cell r="AN56">
            <v>855383</v>
          </cell>
          <cell r="AO56">
            <v>873423</v>
          </cell>
          <cell r="AP56">
            <v>891190</v>
          </cell>
          <cell r="AQ56">
            <v>908702</v>
          </cell>
          <cell r="AR56">
            <v>926046</v>
          </cell>
          <cell r="AS56">
            <v>943290</v>
          </cell>
          <cell r="AT56">
            <v>960276</v>
          </cell>
          <cell r="AU56">
            <v>976964</v>
          </cell>
          <cell r="AV56">
            <v>993563</v>
          </cell>
          <cell r="AW56">
            <v>1010408</v>
          </cell>
          <cell r="AX56">
            <v>1027662</v>
          </cell>
          <cell r="AY56">
            <v>1045507</v>
          </cell>
          <cell r="AZ56">
            <v>1063713</v>
          </cell>
          <cell r="BA56">
            <v>1081563</v>
          </cell>
          <cell r="BB56">
            <v>1098083</v>
          </cell>
          <cell r="BC56">
            <v>1112612</v>
          </cell>
          <cell r="BD56">
            <v>1124833</v>
          </cell>
          <cell r="BE56">
            <v>1135046</v>
          </cell>
          <cell r="BF56">
            <v>1143866</v>
          </cell>
          <cell r="BG56">
            <v>1152285</v>
          </cell>
          <cell r="BH56">
            <v>1160985</v>
          </cell>
          <cell r="BI56">
            <v>1170187</v>
          </cell>
          <cell r="BJ56">
            <v>1179680</v>
          </cell>
          <cell r="BK56">
            <v>1189265</v>
          </cell>
        </row>
        <row r="57">
          <cell r="B57" t="str">
            <v>CZE</v>
          </cell>
          <cell r="C57" t="str">
            <v>Population, total</v>
          </cell>
          <cell r="D57" t="str">
            <v>SP.POP.TOTL</v>
          </cell>
          <cell r="E57">
            <v>9602006</v>
          </cell>
          <cell r="F57">
            <v>9586651</v>
          </cell>
          <cell r="G57">
            <v>9624660</v>
          </cell>
          <cell r="H57">
            <v>9670685</v>
          </cell>
          <cell r="I57">
            <v>9727804</v>
          </cell>
          <cell r="J57">
            <v>9779358</v>
          </cell>
          <cell r="K57">
            <v>9821040</v>
          </cell>
          <cell r="L57">
            <v>9852899</v>
          </cell>
          <cell r="M57">
            <v>9876346</v>
          </cell>
          <cell r="N57">
            <v>9896580</v>
          </cell>
          <cell r="O57">
            <v>9858071</v>
          </cell>
          <cell r="P57">
            <v>9826815</v>
          </cell>
          <cell r="Q57">
            <v>9867632</v>
          </cell>
          <cell r="R57">
            <v>9922266</v>
          </cell>
          <cell r="S57">
            <v>9988459</v>
          </cell>
          <cell r="T57">
            <v>10058620</v>
          </cell>
          <cell r="U57">
            <v>10125939</v>
          </cell>
          <cell r="V57">
            <v>10186755</v>
          </cell>
          <cell r="W57">
            <v>10242098</v>
          </cell>
          <cell r="X57">
            <v>10292341</v>
          </cell>
          <cell r="Y57">
            <v>10304193</v>
          </cell>
          <cell r="Z57">
            <v>10300591</v>
          </cell>
          <cell r="AA57">
            <v>10314826</v>
          </cell>
          <cell r="AB57">
            <v>10323856</v>
          </cell>
          <cell r="AC57">
            <v>10330213</v>
          </cell>
          <cell r="AD57">
            <v>10337118</v>
          </cell>
          <cell r="AE57">
            <v>10342227</v>
          </cell>
          <cell r="AF57">
            <v>10347318</v>
          </cell>
          <cell r="AG57">
            <v>10355276</v>
          </cell>
          <cell r="AH57">
            <v>10361068</v>
          </cell>
          <cell r="AI57">
            <v>10333355</v>
          </cell>
          <cell r="AJ57">
            <v>10308578</v>
          </cell>
          <cell r="AK57">
            <v>10319123</v>
          </cell>
          <cell r="AL57">
            <v>10329855</v>
          </cell>
          <cell r="AM57">
            <v>10333587</v>
          </cell>
          <cell r="AN57">
            <v>10327253</v>
          </cell>
          <cell r="AO57">
            <v>10315241</v>
          </cell>
          <cell r="AP57">
            <v>10304131</v>
          </cell>
          <cell r="AQ57">
            <v>10294373</v>
          </cell>
          <cell r="AR57">
            <v>10283860</v>
          </cell>
          <cell r="AS57">
            <v>10255063</v>
          </cell>
          <cell r="AT57">
            <v>10216605</v>
          </cell>
          <cell r="AU57">
            <v>10196916</v>
          </cell>
          <cell r="AV57">
            <v>10193998</v>
          </cell>
          <cell r="AW57">
            <v>10197101</v>
          </cell>
          <cell r="AX57">
            <v>10211216</v>
          </cell>
          <cell r="AY57">
            <v>10238905</v>
          </cell>
          <cell r="AZ57">
            <v>10298828</v>
          </cell>
          <cell r="BA57">
            <v>10384603</v>
          </cell>
          <cell r="BB57">
            <v>10443936</v>
          </cell>
          <cell r="BC57">
            <v>10474410</v>
          </cell>
          <cell r="BD57">
            <v>10496088</v>
          </cell>
          <cell r="BE57">
            <v>10510785</v>
          </cell>
          <cell r="BF57">
            <v>10514272</v>
          </cell>
          <cell r="BG57">
            <v>10525347</v>
          </cell>
          <cell r="BH57">
            <v>10546059</v>
          </cell>
          <cell r="BI57">
            <v>10566332</v>
          </cell>
          <cell r="BJ57">
            <v>10594438</v>
          </cell>
          <cell r="BK57">
            <v>10629928</v>
          </cell>
        </row>
        <row r="58">
          <cell r="B58" t="str">
            <v>DEU</v>
          </cell>
          <cell r="C58" t="str">
            <v>Population, total</v>
          </cell>
          <cell r="D58" t="str">
            <v>SP.POP.TOTL</v>
          </cell>
          <cell r="E58">
            <v>72814900</v>
          </cell>
          <cell r="F58">
            <v>73377632</v>
          </cell>
          <cell r="G58">
            <v>74025784</v>
          </cell>
          <cell r="H58">
            <v>74714353</v>
          </cell>
          <cell r="I58">
            <v>75318337</v>
          </cell>
          <cell r="J58">
            <v>75963695</v>
          </cell>
          <cell r="K58">
            <v>76600311</v>
          </cell>
          <cell r="L58">
            <v>76951336</v>
          </cell>
          <cell r="M58">
            <v>77294314</v>
          </cell>
          <cell r="N58">
            <v>77909682</v>
          </cell>
          <cell r="O58">
            <v>78169289</v>
          </cell>
          <cell r="P58">
            <v>78312842</v>
          </cell>
          <cell r="Q58">
            <v>78688452</v>
          </cell>
          <cell r="R58">
            <v>78936666</v>
          </cell>
          <cell r="S58">
            <v>78967433</v>
          </cell>
          <cell r="T58">
            <v>78673554</v>
          </cell>
          <cell r="U58">
            <v>78336950</v>
          </cell>
          <cell r="V58">
            <v>78159814</v>
          </cell>
          <cell r="W58">
            <v>78091820</v>
          </cell>
          <cell r="X58">
            <v>78126350</v>
          </cell>
          <cell r="Y58">
            <v>78288576</v>
          </cell>
          <cell r="Z58">
            <v>78407907</v>
          </cell>
          <cell r="AA58">
            <v>78333366</v>
          </cell>
          <cell r="AB58">
            <v>78128282</v>
          </cell>
          <cell r="AC58">
            <v>77858685</v>
          </cell>
          <cell r="AD58">
            <v>77684873</v>
          </cell>
          <cell r="AE58">
            <v>77720436</v>
          </cell>
          <cell r="AF58">
            <v>77839920</v>
          </cell>
          <cell r="AG58">
            <v>78144619</v>
          </cell>
          <cell r="AH58">
            <v>78751283</v>
          </cell>
          <cell r="AI58">
            <v>79433029</v>
          </cell>
          <cell r="AJ58">
            <v>80013896</v>
          </cell>
          <cell r="AK58">
            <v>80624598</v>
          </cell>
          <cell r="AL58">
            <v>81156363</v>
          </cell>
          <cell r="AM58">
            <v>81438348</v>
          </cell>
          <cell r="AN58">
            <v>81678051</v>
          </cell>
          <cell r="AO58">
            <v>81914831</v>
          </cell>
          <cell r="AP58">
            <v>82034771</v>
          </cell>
          <cell r="AQ58">
            <v>82047195</v>
          </cell>
          <cell r="AR58">
            <v>82100243</v>
          </cell>
          <cell r="AS58">
            <v>82211508</v>
          </cell>
          <cell r="AT58">
            <v>82349925</v>
          </cell>
          <cell r="AU58">
            <v>82488495</v>
          </cell>
          <cell r="AV58">
            <v>82534176</v>
          </cell>
          <cell r="AW58">
            <v>82516260</v>
          </cell>
          <cell r="AX58">
            <v>82469422</v>
          </cell>
          <cell r="AY58">
            <v>82376451</v>
          </cell>
          <cell r="AZ58">
            <v>82266372</v>
          </cell>
          <cell r="BA58">
            <v>82110097</v>
          </cell>
          <cell r="BB58">
            <v>81902307</v>
          </cell>
          <cell r="BC58">
            <v>81776930</v>
          </cell>
          <cell r="BD58">
            <v>80274983</v>
          </cell>
          <cell r="BE58">
            <v>80425823</v>
          </cell>
          <cell r="BF58">
            <v>80645605</v>
          </cell>
          <cell r="BG58">
            <v>80982500</v>
          </cell>
          <cell r="BH58">
            <v>81686611</v>
          </cell>
          <cell r="BI58">
            <v>82348669</v>
          </cell>
          <cell r="BJ58">
            <v>82657002</v>
          </cell>
          <cell r="BK58">
            <v>82905782</v>
          </cell>
        </row>
        <row r="59">
          <cell r="B59" t="str">
            <v>DJI</v>
          </cell>
          <cell r="C59" t="str">
            <v>Population, total</v>
          </cell>
          <cell r="D59" t="str">
            <v>SP.POP.TOTL</v>
          </cell>
          <cell r="E59">
            <v>83636</v>
          </cell>
          <cell r="F59">
            <v>88498</v>
          </cell>
          <cell r="G59">
            <v>94204</v>
          </cell>
          <cell r="H59">
            <v>100628</v>
          </cell>
          <cell r="I59">
            <v>107583</v>
          </cell>
          <cell r="J59">
            <v>114963</v>
          </cell>
          <cell r="K59">
            <v>122866</v>
          </cell>
          <cell r="L59">
            <v>131397</v>
          </cell>
          <cell r="M59">
            <v>140462</v>
          </cell>
          <cell r="N59">
            <v>149887</v>
          </cell>
          <cell r="O59">
            <v>159659</v>
          </cell>
          <cell r="P59">
            <v>169372</v>
          </cell>
          <cell r="Q59">
            <v>179224</v>
          </cell>
          <cell r="R59">
            <v>190568</v>
          </cell>
          <cell r="S59">
            <v>205181</v>
          </cell>
          <cell r="T59">
            <v>224183</v>
          </cell>
          <cell r="U59">
            <v>248556</v>
          </cell>
          <cell r="V59">
            <v>277479</v>
          </cell>
          <cell r="W59">
            <v>308008</v>
          </cell>
          <cell r="X59">
            <v>336085</v>
          </cell>
          <cell r="Y59">
            <v>358960</v>
          </cell>
          <cell r="Z59">
            <v>374937</v>
          </cell>
          <cell r="AA59">
            <v>385271</v>
          </cell>
          <cell r="AB59">
            <v>393802</v>
          </cell>
          <cell r="AC59">
            <v>406017</v>
          </cell>
          <cell r="AD59">
            <v>425613</v>
          </cell>
          <cell r="AE59">
            <v>454361</v>
          </cell>
          <cell r="AF59">
            <v>490330</v>
          </cell>
          <cell r="AG59">
            <v>528999</v>
          </cell>
          <cell r="AH59">
            <v>563864</v>
          </cell>
          <cell r="AI59">
            <v>590398</v>
          </cell>
          <cell r="AJ59">
            <v>606844</v>
          </cell>
          <cell r="AK59">
            <v>615054</v>
          </cell>
          <cell r="AL59">
            <v>618495</v>
          </cell>
          <cell r="AM59">
            <v>622366</v>
          </cell>
          <cell r="AN59">
            <v>630388</v>
          </cell>
          <cell r="AO59">
            <v>643654</v>
          </cell>
          <cell r="AP59">
            <v>660863</v>
          </cell>
          <cell r="AQ59">
            <v>680463</v>
          </cell>
          <cell r="AR59">
            <v>699975</v>
          </cell>
          <cell r="AS59">
            <v>717584</v>
          </cell>
          <cell r="AT59">
            <v>733015</v>
          </cell>
          <cell r="AU59">
            <v>746942</v>
          </cell>
          <cell r="AV59">
            <v>759641</v>
          </cell>
          <cell r="AW59">
            <v>771603</v>
          </cell>
          <cell r="AX59">
            <v>783254</v>
          </cell>
          <cell r="AY59">
            <v>794563</v>
          </cell>
          <cell r="AZ59">
            <v>805451</v>
          </cell>
          <cell r="BA59">
            <v>816358</v>
          </cell>
          <cell r="BB59">
            <v>827823</v>
          </cell>
          <cell r="BC59">
            <v>840198</v>
          </cell>
          <cell r="BD59">
            <v>853674</v>
          </cell>
          <cell r="BE59">
            <v>868136</v>
          </cell>
          <cell r="BF59">
            <v>883293</v>
          </cell>
          <cell r="BG59">
            <v>898696</v>
          </cell>
          <cell r="BH59">
            <v>913993</v>
          </cell>
          <cell r="BI59">
            <v>929112</v>
          </cell>
          <cell r="BJ59">
            <v>944097</v>
          </cell>
          <cell r="BK59">
            <v>958920</v>
          </cell>
        </row>
        <row r="60">
          <cell r="B60" t="str">
            <v>DMA</v>
          </cell>
          <cell r="C60" t="str">
            <v>Population, total</v>
          </cell>
          <cell r="D60" t="str">
            <v>SP.POP.TOTL</v>
          </cell>
          <cell r="E60">
            <v>60011</v>
          </cell>
          <cell r="F60">
            <v>61032</v>
          </cell>
          <cell r="G60">
            <v>61982</v>
          </cell>
          <cell r="H60">
            <v>62918</v>
          </cell>
          <cell r="I60">
            <v>63926</v>
          </cell>
          <cell r="J60">
            <v>65038</v>
          </cell>
          <cell r="K60">
            <v>66311</v>
          </cell>
          <cell r="L60">
            <v>67686</v>
          </cell>
          <cell r="M60">
            <v>69040</v>
          </cell>
          <cell r="N60">
            <v>70213</v>
          </cell>
          <cell r="O60">
            <v>71073</v>
          </cell>
          <cell r="P60">
            <v>71568</v>
          </cell>
          <cell r="Q60">
            <v>71731</v>
          </cell>
          <cell r="R60">
            <v>71738</v>
          </cell>
          <cell r="S60">
            <v>71802</v>
          </cell>
          <cell r="T60">
            <v>72094</v>
          </cell>
          <cell r="U60">
            <v>72654</v>
          </cell>
          <cell r="V60">
            <v>73440</v>
          </cell>
          <cell r="W60">
            <v>74284</v>
          </cell>
          <cell r="X60">
            <v>74955</v>
          </cell>
          <cell r="Y60">
            <v>75314</v>
          </cell>
          <cell r="Z60">
            <v>75309</v>
          </cell>
          <cell r="AA60">
            <v>75003</v>
          </cell>
          <cell r="AB60">
            <v>74483</v>
          </cell>
          <cell r="AC60">
            <v>73851</v>
          </cell>
          <cell r="AD60">
            <v>73201</v>
          </cell>
          <cell r="AE60">
            <v>72533</v>
          </cell>
          <cell r="AF60">
            <v>71842</v>
          </cell>
          <cell r="AG60">
            <v>71208</v>
          </cell>
          <cell r="AH60">
            <v>70723</v>
          </cell>
          <cell r="AI60">
            <v>70419</v>
          </cell>
          <cell r="AJ60">
            <v>70374</v>
          </cell>
          <cell r="AK60">
            <v>70544</v>
          </cell>
          <cell r="AL60">
            <v>70831</v>
          </cell>
          <cell r="AM60">
            <v>71043</v>
          </cell>
          <cell r="AN60">
            <v>71098</v>
          </cell>
          <cell r="AO60">
            <v>70936</v>
          </cell>
          <cell r="AP60">
            <v>70599</v>
          </cell>
          <cell r="AQ60">
            <v>70185</v>
          </cell>
          <cell r="AR60">
            <v>69835</v>
          </cell>
          <cell r="AS60">
            <v>69650</v>
          </cell>
          <cell r="AT60">
            <v>69661</v>
          </cell>
          <cell r="AU60">
            <v>69837</v>
          </cell>
          <cell r="AV60">
            <v>70100</v>
          </cell>
          <cell r="AW60">
            <v>70382</v>
          </cell>
          <cell r="AX60">
            <v>70589</v>
          </cell>
          <cell r="AY60">
            <v>70718</v>
          </cell>
          <cell r="AZ60">
            <v>70795</v>
          </cell>
          <cell r="BA60">
            <v>70827</v>
          </cell>
          <cell r="BB60">
            <v>70851</v>
          </cell>
          <cell r="BC60">
            <v>70878</v>
          </cell>
          <cell r="BD60">
            <v>70916</v>
          </cell>
          <cell r="BE60">
            <v>70965</v>
          </cell>
          <cell r="BF60">
            <v>71016</v>
          </cell>
          <cell r="BG60">
            <v>71085</v>
          </cell>
          <cell r="BH60">
            <v>71183</v>
          </cell>
          <cell r="BI60">
            <v>71307</v>
          </cell>
          <cell r="BJ60">
            <v>71458</v>
          </cell>
          <cell r="BK60">
            <v>71625</v>
          </cell>
        </row>
        <row r="61">
          <cell r="B61" t="str">
            <v>DNK</v>
          </cell>
          <cell r="C61" t="str">
            <v>Population, total</v>
          </cell>
          <cell r="D61" t="str">
            <v>SP.POP.TOTL</v>
          </cell>
          <cell r="E61">
            <v>4579603</v>
          </cell>
          <cell r="F61">
            <v>4611687</v>
          </cell>
          <cell r="G61">
            <v>4647727</v>
          </cell>
          <cell r="H61">
            <v>4684483</v>
          </cell>
          <cell r="I61">
            <v>4722072</v>
          </cell>
          <cell r="J61">
            <v>4759012</v>
          </cell>
          <cell r="K61">
            <v>4797381</v>
          </cell>
          <cell r="L61">
            <v>4835354</v>
          </cell>
          <cell r="M61">
            <v>4864883</v>
          </cell>
          <cell r="N61">
            <v>4891860</v>
          </cell>
          <cell r="O61">
            <v>4928757</v>
          </cell>
          <cell r="P61">
            <v>4963126</v>
          </cell>
          <cell r="Q61">
            <v>4991596</v>
          </cell>
          <cell r="R61">
            <v>5021861</v>
          </cell>
          <cell r="S61">
            <v>5045297</v>
          </cell>
          <cell r="T61">
            <v>5059862</v>
          </cell>
          <cell r="U61">
            <v>5072596</v>
          </cell>
          <cell r="V61">
            <v>5088419</v>
          </cell>
          <cell r="W61">
            <v>5104248</v>
          </cell>
          <cell r="X61">
            <v>5116801</v>
          </cell>
          <cell r="Y61">
            <v>5123027</v>
          </cell>
          <cell r="Z61">
            <v>5121572</v>
          </cell>
          <cell r="AA61">
            <v>5117810</v>
          </cell>
          <cell r="AB61">
            <v>5114297</v>
          </cell>
          <cell r="AC61">
            <v>5111619</v>
          </cell>
          <cell r="AD61">
            <v>5113691</v>
          </cell>
          <cell r="AE61">
            <v>5120534</v>
          </cell>
          <cell r="AF61">
            <v>5127024</v>
          </cell>
          <cell r="AG61">
            <v>5129516</v>
          </cell>
          <cell r="AH61">
            <v>5132594</v>
          </cell>
          <cell r="AI61">
            <v>5140939</v>
          </cell>
          <cell r="AJ61">
            <v>5154298</v>
          </cell>
          <cell r="AK61">
            <v>5171370</v>
          </cell>
          <cell r="AL61">
            <v>5188628</v>
          </cell>
          <cell r="AM61">
            <v>5206180</v>
          </cell>
          <cell r="AN61">
            <v>5233373</v>
          </cell>
          <cell r="AO61">
            <v>5263074</v>
          </cell>
          <cell r="AP61">
            <v>5284991</v>
          </cell>
          <cell r="AQ61">
            <v>5304219</v>
          </cell>
          <cell r="AR61">
            <v>5321799</v>
          </cell>
          <cell r="AS61">
            <v>5339616</v>
          </cell>
          <cell r="AT61">
            <v>5358783</v>
          </cell>
          <cell r="AU61">
            <v>5375931</v>
          </cell>
          <cell r="AV61">
            <v>5390574</v>
          </cell>
          <cell r="AW61">
            <v>5404523</v>
          </cell>
          <cell r="AX61">
            <v>5419432</v>
          </cell>
          <cell r="AY61">
            <v>5437272</v>
          </cell>
          <cell r="AZ61">
            <v>5461438</v>
          </cell>
          <cell r="BA61">
            <v>5493621</v>
          </cell>
          <cell r="BB61">
            <v>5523095</v>
          </cell>
          <cell r="BC61">
            <v>5547683</v>
          </cell>
          <cell r="BD61">
            <v>5570572</v>
          </cell>
          <cell r="BE61">
            <v>5591572</v>
          </cell>
          <cell r="BF61">
            <v>5614932</v>
          </cell>
          <cell r="BG61">
            <v>5643475</v>
          </cell>
          <cell r="BH61">
            <v>5683483</v>
          </cell>
          <cell r="BI61">
            <v>5728010</v>
          </cell>
          <cell r="BJ61">
            <v>5764980</v>
          </cell>
          <cell r="BK61">
            <v>5793636</v>
          </cell>
        </row>
        <row r="62">
          <cell r="B62" t="str">
            <v>DOM</v>
          </cell>
          <cell r="C62" t="str">
            <v>Population, total</v>
          </cell>
          <cell r="D62" t="str">
            <v>SP.POP.TOTL</v>
          </cell>
          <cell r="E62">
            <v>3294224</v>
          </cell>
          <cell r="F62">
            <v>3406280</v>
          </cell>
          <cell r="G62">
            <v>3521018</v>
          </cell>
          <cell r="H62">
            <v>3638109</v>
          </cell>
          <cell r="I62">
            <v>3757132</v>
          </cell>
          <cell r="J62">
            <v>3877765</v>
          </cell>
          <cell r="K62">
            <v>3999796</v>
          </cell>
          <cell r="L62">
            <v>4123092</v>
          </cell>
          <cell r="M62">
            <v>4247558</v>
          </cell>
          <cell r="N62">
            <v>4373124</v>
          </cell>
          <cell r="O62">
            <v>4499720</v>
          </cell>
          <cell r="P62">
            <v>4627210</v>
          </cell>
          <cell r="Q62">
            <v>4755459</v>
          </cell>
          <cell r="R62">
            <v>4884461</v>
          </cell>
          <cell r="S62">
            <v>5014189</v>
          </cell>
          <cell r="T62">
            <v>5144637</v>
          </cell>
          <cell r="U62">
            <v>5275770</v>
          </cell>
          <cell r="V62">
            <v>5407500</v>
          </cell>
          <cell r="W62">
            <v>5539590</v>
          </cell>
          <cell r="X62">
            <v>5671797</v>
          </cell>
          <cell r="Y62">
            <v>5803927</v>
          </cell>
          <cell r="Z62">
            <v>5935909</v>
          </cell>
          <cell r="AA62">
            <v>6067770</v>
          </cell>
          <cell r="AB62">
            <v>6199661</v>
          </cell>
          <cell r="AC62">
            <v>6331764</v>
          </cell>
          <cell r="AD62">
            <v>6464229</v>
          </cell>
          <cell r="AE62">
            <v>6596962</v>
          </cell>
          <cell r="AF62">
            <v>6729933</v>
          </cell>
          <cell r="AG62">
            <v>6863441</v>
          </cell>
          <cell r="AH62">
            <v>6997888</v>
          </cell>
          <cell r="AI62">
            <v>7133494</v>
          </cell>
          <cell r="AJ62">
            <v>7270409</v>
          </cell>
          <cell r="AK62">
            <v>7408342</v>
          </cell>
          <cell r="AL62">
            <v>7546463</v>
          </cell>
          <cell r="AM62">
            <v>7683707</v>
          </cell>
          <cell r="AN62">
            <v>7819247</v>
          </cell>
          <cell r="AO62">
            <v>7952763</v>
          </cell>
          <cell r="AP62">
            <v>8084407</v>
          </cell>
          <cell r="AQ62">
            <v>8214426</v>
          </cell>
          <cell r="AR62">
            <v>8343283</v>
          </cell>
          <cell r="AS62">
            <v>8471321</v>
          </cell>
          <cell r="AT62">
            <v>8598601</v>
          </cell>
          <cell r="AU62">
            <v>8724975</v>
          </cell>
          <cell r="AV62">
            <v>8850317</v>
          </cell>
          <cell r="AW62">
            <v>8974444</v>
          </cell>
          <cell r="AX62">
            <v>9097257</v>
          </cell>
          <cell r="AY62">
            <v>9218686</v>
          </cell>
          <cell r="AZ62">
            <v>9338861</v>
          </cell>
          <cell r="BA62">
            <v>9458075</v>
          </cell>
          <cell r="BB62">
            <v>9576737</v>
          </cell>
          <cell r="BC62">
            <v>9695121</v>
          </cell>
          <cell r="BD62">
            <v>9813210</v>
          </cell>
          <cell r="BE62">
            <v>9930911</v>
          </cell>
          <cell r="BF62">
            <v>10048224</v>
          </cell>
          <cell r="BG62">
            <v>10165178</v>
          </cell>
          <cell r="BH62">
            <v>10281680</v>
          </cell>
          <cell r="BI62">
            <v>10397743</v>
          </cell>
          <cell r="BJ62">
            <v>10513131</v>
          </cell>
          <cell r="BK62">
            <v>10627165</v>
          </cell>
        </row>
        <row r="63">
          <cell r="B63" t="str">
            <v>DZA</v>
          </cell>
          <cell r="C63" t="str">
            <v>Population, total</v>
          </cell>
          <cell r="D63" t="str">
            <v>SP.POP.TOTL</v>
          </cell>
          <cell r="E63">
            <v>11057863</v>
          </cell>
          <cell r="F63">
            <v>11336339</v>
          </cell>
          <cell r="G63">
            <v>11619828</v>
          </cell>
          <cell r="H63">
            <v>11912803</v>
          </cell>
          <cell r="I63">
            <v>12221675</v>
          </cell>
          <cell r="J63">
            <v>12550885</v>
          </cell>
          <cell r="K63">
            <v>12902627</v>
          </cell>
          <cell r="L63">
            <v>13275026</v>
          </cell>
          <cell r="M63">
            <v>13663583</v>
          </cell>
          <cell r="N63">
            <v>14061722</v>
          </cell>
          <cell r="O63">
            <v>14464985</v>
          </cell>
          <cell r="P63">
            <v>14872250</v>
          </cell>
          <cell r="Q63">
            <v>15285990</v>
          </cell>
          <cell r="R63">
            <v>15709825</v>
          </cell>
          <cell r="S63">
            <v>16149025</v>
          </cell>
          <cell r="T63">
            <v>16607707</v>
          </cell>
          <cell r="U63">
            <v>17085801</v>
          </cell>
          <cell r="V63">
            <v>17582904</v>
          </cell>
          <cell r="W63">
            <v>18102266</v>
          </cell>
          <cell r="X63">
            <v>18647815</v>
          </cell>
          <cell r="Y63">
            <v>19221665</v>
          </cell>
          <cell r="Z63">
            <v>19824301</v>
          </cell>
          <cell r="AA63">
            <v>20452902</v>
          </cell>
          <cell r="AB63">
            <v>21101875</v>
          </cell>
          <cell r="AC63">
            <v>21763575</v>
          </cell>
          <cell r="AD63">
            <v>22431502</v>
          </cell>
          <cell r="AE63">
            <v>23102389</v>
          </cell>
          <cell r="AF63">
            <v>23774284</v>
          </cell>
          <cell r="AG63">
            <v>24443467</v>
          </cell>
          <cell r="AH63">
            <v>25106190</v>
          </cell>
          <cell r="AI63">
            <v>25758869</v>
          </cell>
          <cell r="AJ63">
            <v>26400479</v>
          </cell>
          <cell r="AK63">
            <v>27028326</v>
          </cell>
          <cell r="AL63">
            <v>27635515</v>
          </cell>
          <cell r="AM63">
            <v>28213774</v>
          </cell>
          <cell r="AN63">
            <v>28757785</v>
          </cell>
          <cell r="AO63">
            <v>29266405</v>
          </cell>
          <cell r="AP63">
            <v>29742979</v>
          </cell>
          <cell r="AQ63">
            <v>30192754</v>
          </cell>
          <cell r="AR63">
            <v>30623406</v>
          </cell>
          <cell r="AS63">
            <v>31042235</v>
          </cell>
          <cell r="AT63">
            <v>31451514</v>
          </cell>
          <cell r="AU63">
            <v>31855109</v>
          </cell>
          <cell r="AV63">
            <v>32264157</v>
          </cell>
          <cell r="AW63">
            <v>32692163</v>
          </cell>
          <cell r="AX63">
            <v>33149724</v>
          </cell>
          <cell r="AY63">
            <v>33641002</v>
          </cell>
          <cell r="AZ63">
            <v>34166972</v>
          </cell>
          <cell r="BA63">
            <v>34730608</v>
          </cell>
          <cell r="BB63">
            <v>35333881</v>
          </cell>
          <cell r="BC63">
            <v>35977455</v>
          </cell>
          <cell r="BD63">
            <v>36661444</v>
          </cell>
          <cell r="BE63">
            <v>37383887</v>
          </cell>
          <cell r="BF63">
            <v>38140132</v>
          </cell>
          <cell r="BG63">
            <v>38923687</v>
          </cell>
          <cell r="BH63">
            <v>39728025</v>
          </cell>
          <cell r="BI63">
            <v>40551404</v>
          </cell>
          <cell r="BJ63">
            <v>41389198</v>
          </cell>
          <cell r="BK63">
            <v>42228429</v>
          </cell>
        </row>
        <row r="64">
          <cell r="B64" t="str">
            <v>EAP</v>
          </cell>
          <cell r="C64" t="str">
            <v>Population, total</v>
          </cell>
          <cell r="D64" t="str">
            <v>SP.POP.TOTL</v>
          </cell>
          <cell r="E64">
            <v>894880101</v>
          </cell>
          <cell r="F64">
            <v>894484115</v>
          </cell>
          <cell r="G64">
            <v>906418827</v>
          </cell>
          <cell r="H64">
            <v>929639988</v>
          </cell>
          <cell r="I64">
            <v>952499842</v>
          </cell>
          <cell r="J64">
            <v>976366448</v>
          </cell>
          <cell r="K64">
            <v>1003805626</v>
          </cell>
          <cell r="L64">
            <v>1030347262</v>
          </cell>
          <cell r="M64">
            <v>1057855221</v>
          </cell>
          <cell r="N64">
            <v>1087061065</v>
          </cell>
          <cell r="O64">
            <v>1117169518</v>
          </cell>
          <cell r="P64">
            <v>1147914103</v>
          </cell>
          <cell r="Q64">
            <v>1176916274</v>
          </cell>
          <cell r="R64">
            <v>1204963130</v>
          </cell>
          <cell r="S64">
            <v>1231488459</v>
          </cell>
          <cell r="T64">
            <v>1255575508</v>
          </cell>
          <cell r="U64">
            <v>1277794190</v>
          </cell>
          <cell r="V64">
            <v>1298410796</v>
          </cell>
          <cell r="W64">
            <v>1318993009</v>
          </cell>
          <cell r="X64">
            <v>1339882617</v>
          </cell>
          <cell r="Y64">
            <v>1360444852</v>
          </cell>
          <cell r="Z64">
            <v>1381740161</v>
          </cell>
          <cell r="AA64">
            <v>1405396789</v>
          </cell>
          <cell r="AB64">
            <v>1429187408</v>
          </cell>
          <cell r="AC64">
            <v>1451910036</v>
          </cell>
          <cell r="AD64">
            <v>1475348519</v>
          </cell>
          <cell r="AE64">
            <v>1500319170</v>
          </cell>
          <cell r="AF64">
            <v>1526783271</v>
          </cell>
          <cell r="AG64">
            <v>1553557307</v>
          </cell>
          <cell r="AH64">
            <v>1579675516</v>
          </cell>
          <cell r="AI64">
            <v>1605197175</v>
          </cell>
          <cell r="AJ64">
            <v>1629641399</v>
          </cell>
          <cell r="AK64">
            <v>1652538259</v>
          </cell>
          <cell r="AL64">
            <v>1674590518</v>
          </cell>
          <cell r="AM64">
            <v>1696474639</v>
          </cell>
          <cell r="AN64">
            <v>1717912312</v>
          </cell>
          <cell r="AO64">
            <v>1738960485</v>
          </cell>
          <cell r="AP64">
            <v>1759761226</v>
          </cell>
          <cell r="AQ64">
            <v>1779799008</v>
          </cell>
          <cell r="AR64">
            <v>1798649990</v>
          </cell>
          <cell r="AS64">
            <v>1816466142</v>
          </cell>
          <cell r="AT64">
            <v>1833433229</v>
          </cell>
          <cell r="AU64">
            <v>1849617640</v>
          </cell>
          <cell r="AV64">
            <v>1865142700</v>
          </cell>
          <cell r="AW64">
            <v>1880258797</v>
          </cell>
          <cell r="AX64">
            <v>1895285323</v>
          </cell>
          <cell r="AY64">
            <v>1909901290</v>
          </cell>
          <cell r="AZ64">
            <v>1924028068</v>
          </cell>
          <cell r="BA64">
            <v>1938067140</v>
          </cell>
          <cell r="BB64">
            <v>1952027348</v>
          </cell>
          <cell r="BC64">
            <v>1965964309</v>
          </cell>
          <cell r="BD64">
            <v>1980045666</v>
          </cell>
          <cell r="BE64">
            <v>1994401378</v>
          </cell>
          <cell r="BF64">
            <v>2008932012</v>
          </cell>
          <cell r="BG64">
            <v>2023609315</v>
          </cell>
          <cell r="BH64">
            <v>2038202511</v>
          </cell>
          <cell r="BI64">
            <v>2053116851</v>
          </cell>
          <cell r="BJ64">
            <v>2068155660</v>
          </cell>
          <cell r="BK64">
            <v>2081651801</v>
          </cell>
        </row>
        <row r="65">
          <cell r="B65" t="str">
            <v>EAR</v>
          </cell>
          <cell r="C65" t="str">
            <v>Population, total</v>
          </cell>
          <cell r="D65" t="str">
            <v>SP.POP.TOTL</v>
          </cell>
          <cell r="E65">
            <v>980085256</v>
          </cell>
          <cell r="F65">
            <v>1003279186</v>
          </cell>
          <cell r="G65">
            <v>1027290366</v>
          </cell>
          <cell r="H65">
            <v>1052059966</v>
          </cell>
          <cell r="I65">
            <v>1077621038</v>
          </cell>
          <cell r="J65">
            <v>1103954709</v>
          </cell>
          <cell r="K65">
            <v>1131050085</v>
          </cell>
          <cell r="L65">
            <v>1158974343</v>
          </cell>
          <cell r="M65">
            <v>1187602236</v>
          </cell>
          <cell r="N65">
            <v>1216984739</v>
          </cell>
          <cell r="O65">
            <v>1247114277</v>
          </cell>
          <cell r="P65">
            <v>1277990369</v>
          </cell>
          <cell r="Q65">
            <v>1309615000</v>
          </cell>
          <cell r="R65">
            <v>1342025603</v>
          </cell>
          <cell r="S65">
            <v>1375099398</v>
          </cell>
          <cell r="T65">
            <v>1408837332</v>
          </cell>
          <cell r="U65">
            <v>1443191766</v>
          </cell>
          <cell r="V65">
            <v>1478222903</v>
          </cell>
          <cell r="W65">
            <v>1514191924</v>
          </cell>
          <cell r="X65">
            <v>1551478689</v>
          </cell>
          <cell r="Y65">
            <v>1590290482</v>
          </cell>
          <cell r="Z65">
            <v>1630688780</v>
          </cell>
          <cell r="AA65">
            <v>1672527054</v>
          </cell>
          <cell r="AB65">
            <v>1715519001</v>
          </cell>
          <cell r="AC65">
            <v>1759236282</v>
          </cell>
          <cell r="AD65">
            <v>1803388664</v>
          </cell>
          <cell r="AE65">
            <v>1847860252</v>
          </cell>
          <cell r="AF65">
            <v>1892643036</v>
          </cell>
          <cell r="AG65">
            <v>1937555154</v>
          </cell>
          <cell r="AH65">
            <v>1982404841</v>
          </cell>
          <cell r="AI65">
            <v>2029207305</v>
          </cell>
          <cell r="AJ65">
            <v>2073777602</v>
          </cell>
          <cell r="AK65">
            <v>2117950211</v>
          </cell>
          <cell r="AL65">
            <v>2161909784</v>
          </cell>
          <cell r="AM65">
            <v>2205893669</v>
          </cell>
          <cell r="AN65">
            <v>2250115643</v>
          </cell>
          <cell r="AO65">
            <v>2294686411</v>
          </cell>
          <cell r="AP65">
            <v>2339478706</v>
          </cell>
          <cell r="AQ65">
            <v>2384215228</v>
          </cell>
          <cell r="AR65">
            <v>2428682278</v>
          </cell>
          <cell r="AS65">
            <v>2472913805</v>
          </cell>
          <cell r="AT65">
            <v>2516715617</v>
          </cell>
          <cell r="AU65">
            <v>2560162782</v>
          </cell>
          <cell r="AV65">
            <v>2603385880</v>
          </cell>
          <cell r="AW65">
            <v>2646598382</v>
          </cell>
          <cell r="AX65">
            <v>2689939785</v>
          </cell>
          <cell r="AY65">
            <v>2733462527</v>
          </cell>
          <cell r="AZ65">
            <v>2777145806</v>
          </cell>
          <cell r="BA65">
            <v>2820903724</v>
          </cell>
          <cell r="BB65">
            <v>2864614907</v>
          </cell>
          <cell r="BC65">
            <v>2908287643</v>
          </cell>
          <cell r="BD65">
            <v>2951856336</v>
          </cell>
          <cell r="BE65">
            <v>2994852889</v>
          </cell>
          <cell r="BF65">
            <v>3037662926</v>
          </cell>
          <cell r="BG65">
            <v>3080325473</v>
          </cell>
          <cell r="BH65">
            <v>3122841922</v>
          </cell>
          <cell r="BI65">
            <v>3165142287</v>
          </cell>
          <cell r="BJ65">
            <v>3207188541</v>
          </cell>
          <cell r="BK65">
            <v>3249140605</v>
          </cell>
        </row>
        <row r="66">
          <cell r="B66" t="str">
            <v>EAS</v>
          </cell>
          <cell r="C66" t="str">
            <v>Population, total</v>
          </cell>
          <cell r="D66" t="str">
            <v>SP.POP.TOTL</v>
          </cell>
          <cell r="E66">
            <v>1040958103</v>
          </cell>
          <cell r="F66">
            <v>1044544622</v>
          </cell>
          <cell r="G66">
            <v>1059018809</v>
          </cell>
          <cell r="H66">
            <v>1084796352</v>
          </cell>
          <cell r="I66">
            <v>1110214377</v>
          </cell>
          <cell r="J66">
            <v>1136691455</v>
          </cell>
          <cell r="K66">
            <v>1166600015</v>
          </cell>
          <cell r="L66">
            <v>1195269923</v>
          </cell>
          <cell r="M66">
            <v>1224531259</v>
          </cell>
          <cell r="N66">
            <v>1257454897</v>
          </cell>
          <cell r="O66">
            <v>1290384064</v>
          </cell>
          <cell r="P66">
            <v>1324084715</v>
          </cell>
          <cell r="Q66">
            <v>1355934900</v>
          </cell>
          <cell r="R66">
            <v>1386188710</v>
          </cell>
          <cell r="S66">
            <v>1416257366</v>
          </cell>
          <cell r="T66">
            <v>1443359147</v>
          </cell>
          <cell r="U66">
            <v>1467569010</v>
          </cell>
          <cell r="V66">
            <v>1490449457</v>
          </cell>
          <cell r="W66">
            <v>1513227369</v>
          </cell>
          <cell r="X66">
            <v>1536434993</v>
          </cell>
          <cell r="Y66">
            <v>1559194619</v>
          </cell>
          <cell r="Z66">
            <v>1582789699</v>
          </cell>
          <cell r="AA66">
            <v>1608678553</v>
          </cell>
          <cell r="AB66">
            <v>1634539937</v>
          </cell>
          <cell r="AC66">
            <v>1659131214</v>
          </cell>
          <cell r="AD66">
            <v>1684294889</v>
          </cell>
          <cell r="AE66">
            <v>1710989831</v>
          </cell>
          <cell r="AF66">
            <v>1739071545</v>
          </cell>
          <cell r="AG66">
            <v>1767429690</v>
          </cell>
          <cell r="AH66">
            <v>1795159128</v>
          </cell>
          <cell r="AI66">
            <v>1822193192</v>
          </cell>
          <cell r="AJ66">
            <v>1848222188</v>
          </cell>
          <cell r="AK66">
            <v>1872480731</v>
          </cell>
          <cell r="AL66">
            <v>1895897521</v>
          </cell>
          <cell r="AM66">
            <v>1919359723</v>
          </cell>
          <cell r="AN66">
            <v>1942431457</v>
          </cell>
          <cell r="AO66">
            <v>1965146504</v>
          </cell>
          <cell r="AP66">
            <v>1987315562</v>
          </cell>
          <cell r="AQ66">
            <v>2008705489</v>
          </cell>
          <cell r="AR66">
            <v>2028650274</v>
          </cell>
          <cell r="AS66">
            <v>2047640119</v>
          </cell>
          <cell r="AT66">
            <v>2065912076</v>
          </cell>
          <cell r="AU66">
            <v>2083186112</v>
          </cell>
          <cell r="AV66">
            <v>2099602439</v>
          </cell>
          <cell r="AW66">
            <v>2115458616</v>
          </cell>
          <cell r="AX66">
            <v>2131146832</v>
          </cell>
          <cell r="AY66">
            <v>2146744075</v>
          </cell>
          <cell r="AZ66">
            <v>2161785573</v>
          </cell>
          <cell r="BA66">
            <v>2177119142</v>
          </cell>
          <cell r="BB66">
            <v>2192059415</v>
          </cell>
          <cell r="BC66">
            <v>2206884624</v>
          </cell>
          <cell r="BD66">
            <v>2221673110</v>
          </cell>
          <cell r="BE66">
            <v>2236819053</v>
          </cell>
          <cell r="BF66">
            <v>2252046977</v>
          </cell>
          <cell r="BG66">
            <v>2267482299</v>
          </cell>
          <cell r="BH66">
            <v>2282855831</v>
          </cell>
          <cell r="BI66">
            <v>2298514046</v>
          </cell>
          <cell r="BJ66">
            <v>2314202003</v>
          </cell>
          <cell r="BK66">
            <v>2328220870</v>
          </cell>
        </row>
        <row r="67">
          <cell r="B67" t="str">
            <v>ECA</v>
          </cell>
          <cell r="C67" t="str">
            <v>Population, total</v>
          </cell>
          <cell r="D67" t="str">
            <v>SP.POP.TOTL</v>
          </cell>
          <cell r="E67">
            <v>275147578</v>
          </cell>
          <cell r="F67">
            <v>279443876</v>
          </cell>
          <cell r="G67">
            <v>283762877</v>
          </cell>
          <cell r="H67">
            <v>288099625</v>
          </cell>
          <cell r="I67">
            <v>292424434</v>
          </cell>
          <cell r="J67">
            <v>296682673</v>
          </cell>
          <cell r="K67">
            <v>300278116</v>
          </cell>
          <cell r="L67">
            <v>303940876</v>
          </cell>
          <cell r="M67">
            <v>307516657</v>
          </cell>
          <cell r="N67">
            <v>311023409</v>
          </cell>
          <cell r="O67">
            <v>314539976</v>
          </cell>
          <cell r="P67">
            <v>318052830</v>
          </cell>
          <cell r="Q67">
            <v>321560922</v>
          </cell>
          <cell r="R67">
            <v>325046534</v>
          </cell>
          <cell r="S67">
            <v>328549115</v>
          </cell>
          <cell r="T67">
            <v>332071182</v>
          </cell>
          <cell r="U67">
            <v>335746714</v>
          </cell>
          <cell r="V67">
            <v>339361874</v>
          </cell>
          <cell r="W67">
            <v>342936802</v>
          </cell>
          <cell r="X67">
            <v>346489990</v>
          </cell>
          <cell r="Y67">
            <v>350139462</v>
          </cell>
          <cell r="Z67">
            <v>353859116</v>
          </cell>
          <cell r="AA67">
            <v>357399180</v>
          </cell>
          <cell r="AB67">
            <v>360920890</v>
          </cell>
          <cell r="AC67">
            <v>364686101</v>
          </cell>
          <cell r="AD67">
            <v>368464042</v>
          </cell>
          <cell r="AE67">
            <v>372210556</v>
          </cell>
          <cell r="AF67">
            <v>375941782</v>
          </cell>
          <cell r="AG67">
            <v>379557335</v>
          </cell>
          <cell r="AH67">
            <v>382800641</v>
          </cell>
          <cell r="AI67">
            <v>385427601</v>
          </cell>
          <cell r="AJ67">
            <v>387394807</v>
          </cell>
          <cell r="AK67">
            <v>389005125</v>
          </cell>
          <cell r="AL67">
            <v>390255767</v>
          </cell>
          <cell r="AM67">
            <v>390879149</v>
          </cell>
          <cell r="AN67">
            <v>391293819</v>
          </cell>
          <cell r="AO67">
            <v>391652704</v>
          </cell>
          <cell r="AP67">
            <v>392007080</v>
          </cell>
          <cell r="AQ67">
            <v>392243961</v>
          </cell>
          <cell r="AR67">
            <v>392211706</v>
          </cell>
          <cell r="AS67">
            <v>392301484</v>
          </cell>
          <cell r="AT67">
            <v>392050558</v>
          </cell>
          <cell r="AU67">
            <v>391720978</v>
          </cell>
          <cell r="AV67">
            <v>391882450</v>
          </cell>
          <cell r="AW67">
            <v>392243981</v>
          </cell>
          <cell r="AX67">
            <v>392658986</v>
          </cell>
          <cell r="AY67">
            <v>393216869</v>
          </cell>
          <cell r="AZ67">
            <v>393919037</v>
          </cell>
          <cell r="BA67">
            <v>394991819</v>
          </cell>
          <cell r="BB67">
            <v>396743394</v>
          </cell>
          <cell r="BC67">
            <v>398783138</v>
          </cell>
          <cell r="BD67">
            <v>401012737</v>
          </cell>
          <cell r="BE67">
            <v>403265869</v>
          </cell>
          <cell r="BF67">
            <v>405778196</v>
          </cell>
          <cell r="BG67">
            <v>408278056</v>
          </cell>
          <cell r="BH67">
            <v>410844329</v>
          </cell>
          <cell r="BI67">
            <v>413361214</v>
          </cell>
          <cell r="BJ67">
            <v>415710935</v>
          </cell>
          <cell r="BK67">
            <v>417797257</v>
          </cell>
        </row>
        <row r="68">
          <cell r="B68" t="str">
            <v>ECS</v>
          </cell>
          <cell r="C68" t="str">
            <v>Population, total</v>
          </cell>
          <cell r="D68" t="str">
            <v>SP.POP.TOTL</v>
          </cell>
          <cell r="E68">
            <v>667253650</v>
          </cell>
          <cell r="F68">
            <v>674962981</v>
          </cell>
          <cell r="G68">
            <v>682921730</v>
          </cell>
          <cell r="H68">
            <v>690946639</v>
          </cell>
          <cell r="I68">
            <v>698901133</v>
          </cell>
          <cell r="J68">
            <v>706626086</v>
          </cell>
          <cell r="K68">
            <v>713395321</v>
          </cell>
          <cell r="L68">
            <v>719979928</v>
          </cell>
          <cell r="M68">
            <v>726307440</v>
          </cell>
          <cell r="N68">
            <v>732494115</v>
          </cell>
          <cell r="O68">
            <v>738123474</v>
          </cell>
          <cell r="P68">
            <v>743747729</v>
          </cell>
          <cell r="Q68">
            <v>749899411</v>
          </cell>
          <cell r="R68">
            <v>755883707</v>
          </cell>
          <cell r="S68">
            <v>761661778</v>
          </cell>
          <cell r="T68">
            <v>767264967</v>
          </cell>
          <cell r="U68">
            <v>772775173</v>
          </cell>
          <cell r="V68">
            <v>778073497</v>
          </cell>
          <cell r="W68">
            <v>783310523</v>
          </cell>
          <cell r="X68">
            <v>788572897</v>
          </cell>
          <cell r="Y68">
            <v>794002749</v>
          </cell>
          <cell r="Z68">
            <v>799296289</v>
          </cell>
          <cell r="AA68">
            <v>804063632</v>
          </cell>
          <cell r="AB68">
            <v>808620566</v>
          </cell>
          <cell r="AC68">
            <v>813373068</v>
          </cell>
          <cell r="AD68">
            <v>818222369</v>
          </cell>
          <cell r="AE68">
            <v>823200868</v>
          </cell>
          <cell r="AF68">
            <v>828219836</v>
          </cell>
          <cell r="AG68">
            <v>833273189</v>
          </cell>
          <cell r="AH68">
            <v>838162533</v>
          </cell>
          <cell r="AI68">
            <v>842570541</v>
          </cell>
          <cell r="AJ68">
            <v>846356322</v>
          </cell>
          <cell r="AK68">
            <v>849757442</v>
          </cell>
          <cell r="AL68">
            <v>852712876</v>
          </cell>
          <cell r="AM68">
            <v>854685450</v>
          </cell>
          <cell r="AN68">
            <v>856212881</v>
          </cell>
          <cell r="AO68">
            <v>857577538</v>
          </cell>
          <cell r="AP68">
            <v>858882872</v>
          </cell>
          <cell r="AQ68">
            <v>860015493</v>
          </cell>
          <cell r="AR68">
            <v>861035457</v>
          </cell>
          <cell r="AS68">
            <v>861993393</v>
          </cell>
          <cell r="AT68">
            <v>863083216</v>
          </cell>
          <cell r="AU68">
            <v>864648977</v>
          </cell>
          <cell r="AV68">
            <v>866925884</v>
          </cell>
          <cell r="AW68">
            <v>869516666</v>
          </cell>
          <cell r="AX68">
            <v>872163396</v>
          </cell>
          <cell r="AY68">
            <v>874862170</v>
          </cell>
          <cell r="AZ68">
            <v>878004122</v>
          </cell>
          <cell r="BA68">
            <v>881531261</v>
          </cell>
          <cell r="BB68">
            <v>885170595</v>
          </cell>
          <cell r="BC68">
            <v>888627318</v>
          </cell>
          <cell r="BD68">
            <v>890862941</v>
          </cell>
          <cell r="BE68">
            <v>894486795</v>
          </cell>
          <cell r="BF68">
            <v>898766094</v>
          </cell>
          <cell r="BG68">
            <v>903129978</v>
          </cell>
          <cell r="BH68">
            <v>907498192</v>
          </cell>
          <cell r="BI68">
            <v>911812364</v>
          </cell>
          <cell r="BJ68">
            <v>915420161</v>
          </cell>
          <cell r="BK68">
            <v>918793590</v>
          </cell>
        </row>
        <row r="69">
          <cell r="B69" t="str">
            <v>ECU</v>
          </cell>
          <cell r="C69" t="str">
            <v>Population, total</v>
          </cell>
          <cell r="D69" t="str">
            <v>SP.POP.TOTL</v>
          </cell>
          <cell r="E69">
            <v>4543666</v>
          </cell>
          <cell r="F69">
            <v>4674172</v>
          </cell>
          <cell r="G69">
            <v>4809201</v>
          </cell>
          <cell r="H69">
            <v>4948986</v>
          </cell>
          <cell r="I69">
            <v>5093854</v>
          </cell>
          <cell r="J69">
            <v>5243977</v>
          </cell>
          <cell r="K69">
            <v>5399422</v>
          </cell>
          <cell r="L69">
            <v>5560012</v>
          </cell>
          <cell r="M69">
            <v>5725459</v>
          </cell>
          <cell r="N69">
            <v>5895367</v>
          </cell>
          <cell r="O69">
            <v>6069376</v>
          </cell>
          <cell r="P69">
            <v>6247418</v>
          </cell>
          <cell r="Q69">
            <v>6429379</v>
          </cell>
          <cell r="R69">
            <v>6614843</v>
          </cell>
          <cell r="S69">
            <v>6803280</v>
          </cell>
          <cell r="T69">
            <v>6994334</v>
          </cell>
          <cell r="U69">
            <v>7187787</v>
          </cell>
          <cell r="V69">
            <v>7383724</v>
          </cell>
          <cell r="W69">
            <v>7582353</v>
          </cell>
          <cell r="X69">
            <v>7784072</v>
          </cell>
          <cell r="Y69">
            <v>7989186</v>
          </cell>
          <cell r="Z69">
            <v>8197652</v>
          </cell>
          <cell r="AA69">
            <v>8409397</v>
          </cell>
          <cell r="AB69">
            <v>8624594</v>
          </cell>
          <cell r="AC69">
            <v>8843462</v>
          </cell>
          <cell r="AD69">
            <v>9066109</v>
          </cell>
          <cell r="AE69">
            <v>9292474</v>
          </cell>
          <cell r="AF69">
            <v>9522360</v>
          </cell>
          <cell r="AG69">
            <v>9755579</v>
          </cell>
          <cell r="AH69">
            <v>9991870</v>
          </cell>
          <cell r="AI69">
            <v>10230934</v>
          </cell>
          <cell r="AJ69">
            <v>10472475</v>
          </cell>
          <cell r="AK69">
            <v>10716129</v>
          </cell>
          <cell r="AL69">
            <v>10961466</v>
          </cell>
          <cell r="AM69">
            <v>11208001</v>
          </cell>
          <cell r="AN69">
            <v>11455204</v>
          </cell>
          <cell r="AO69">
            <v>11703174</v>
          </cell>
          <cell r="AP69">
            <v>11951452</v>
          </cell>
          <cell r="AQ69">
            <v>12198449</v>
          </cell>
          <cell r="AR69">
            <v>12442115</v>
          </cell>
          <cell r="AS69">
            <v>12681123</v>
          </cell>
          <cell r="AT69">
            <v>12914667</v>
          </cell>
          <cell r="AU69">
            <v>13143465</v>
          </cell>
          <cell r="AV69">
            <v>13369678</v>
          </cell>
          <cell r="AW69">
            <v>13596388</v>
          </cell>
          <cell r="AX69">
            <v>13825847</v>
          </cell>
          <cell r="AY69">
            <v>14059384</v>
          </cell>
          <cell r="AZ69">
            <v>14296557</v>
          </cell>
          <cell r="BA69">
            <v>14535739</v>
          </cell>
          <cell r="BB69">
            <v>14774424</v>
          </cell>
          <cell r="BC69">
            <v>15011117</v>
          </cell>
          <cell r="BD69">
            <v>15243883</v>
          </cell>
          <cell r="BE69">
            <v>15474102</v>
          </cell>
          <cell r="BF69">
            <v>15707474</v>
          </cell>
          <cell r="BG69">
            <v>15951838</v>
          </cell>
          <cell r="BH69">
            <v>16212020</v>
          </cell>
          <cell r="BI69">
            <v>16491115</v>
          </cell>
          <cell r="BJ69">
            <v>16785361</v>
          </cell>
          <cell r="BK69">
            <v>17084357</v>
          </cell>
        </row>
        <row r="70">
          <cell r="B70" t="str">
            <v>EGY</v>
          </cell>
          <cell r="C70" t="str">
            <v>Population, total</v>
          </cell>
          <cell r="D70" t="str">
            <v>SP.POP.TOTL</v>
          </cell>
          <cell r="E70">
            <v>26632894</v>
          </cell>
          <cell r="F70">
            <v>27366237</v>
          </cell>
          <cell r="G70">
            <v>28112256</v>
          </cell>
          <cell r="H70">
            <v>28871383</v>
          </cell>
          <cell r="I70">
            <v>29644875</v>
          </cell>
          <cell r="J70">
            <v>30433022</v>
          </cell>
          <cell r="K70">
            <v>31237600</v>
          </cell>
          <cell r="L70">
            <v>32056510</v>
          </cell>
          <cell r="M70">
            <v>32881848</v>
          </cell>
          <cell r="N70">
            <v>33703139</v>
          </cell>
          <cell r="O70">
            <v>34513850</v>
          </cell>
          <cell r="P70">
            <v>35311910</v>
          </cell>
          <cell r="Q70">
            <v>36102659</v>
          </cell>
          <cell r="R70">
            <v>36896554</v>
          </cell>
          <cell r="S70">
            <v>37708146</v>
          </cell>
          <cell r="T70">
            <v>38549142</v>
          </cell>
          <cell r="U70">
            <v>39422730</v>
          </cell>
          <cell r="V70">
            <v>40329589</v>
          </cell>
          <cell r="W70">
            <v>41275736</v>
          </cell>
          <cell r="X70">
            <v>42267435</v>
          </cell>
          <cell r="Y70">
            <v>43309063</v>
          </cell>
          <cell r="Z70">
            <v>44400113</v>
          </cell>
          <cell r="AA70">
            <v>45539296</v>
          </cell>
          <cell r="AB70">
            <v>46728286</v>
          </cell>
          <cell r="AC70">
            <v>47968642</v>
          </cell>
          <cell r="AD70">
            <v>49258732</v>
          </cell>
          <cell r="AE70">
            <v>50602354</v>
          </cell>
          <cell r="AF70">
            <v>51991700</v>
          </cell>
          <cell r="AG70">
            <v>53399246</v>
          </cell>
          <cell r="AH70">
            <v>54788685</v>
          </cell>
          <cell r="AI70">
            <v>56134475</v>
          </cell>
          <cell r="AJ70">
            <v>57424549</v>
          </cell>
          <cell r="AK70">
            <v>58666814</v>
          </cell>
          <cell r="AL70">
            <v>59880658</v>
          </cell>
          <cell r="AM70">
            <v>61095804</v>
          </cell>
          <cell r="AN70">
            <v>62334034</v>
          </cell>
          <cell r="AO70">
            <v>63601629</v>
          </cell>
          <cell r="AP70">
            <v>64892270</v>
          </cell>
          <cell r="AQ70">
            <v>66200269</v>
          </cell>
          <cell r="AR70">
            <v>67515591</v>
          </cell>
          <cell r="AS70">
            <v>68831561</v>
          </cell>
          <cell r="AT70">
            <v>70152661</v>
          </cell>
          <cell r="AU70">
            <v>71485043</v>
          </cell>
          <cell r="AV70">
            <v>72826097</v>
          </cell>
          <cell r="AW70">
            <v>74172073</v>
          </cell>
          <cell r="AX70">
            <v>75523569</v>
          </cell>
          <cell r="AY70">
            <v>76873663</v>
          </cell>
          <cell r="AZ70">
            <v>78232126</v>
          </cell>
          <cell r="BA70">
            <v>79636079</v>
          </cell>
          <cell r="BB70">
            <v>81134798</v>
          </cell>
          <cell r="BC70">
            <v>82761235</v>
          </cell>
          <cell r="BD70">
            <v>84529250</v>
          </cell>
          <cell r="BE70">
            <v>86422240</v>
          </cell>
          <cell r="BF70">
            <v>88404640</v>
          </cell>
          <cell r="BG70">
            <v>90424654</v>
          </cell>
          <cell r="BH70">
            <v>92442547</v>
          </cell>
          <cell r="BI70">
            <v>94447072</v>
          </cell>
          <cell r="BJ70">
            <v>96442593</v>
          </cell>
          <cell r="BK70">
            <v>98423595</v>
          </cell>
        </row>
        <row r="71">
          <cell r="B71" t="str">
            <v>EMU</v>
          </cell>
          <cell r="C71" t="str">
            <v>Population, total</v>
          </cell>
          <cell r="D71" t="str">
            <v>SP.POP.TOTL</v>
          </cell>
          <cell r="E71">
            <v>265203934</v>
          </cell>
          <cell r="F71">
            <v>267621101</v>
          </cell>
          <cell r="G71">
            <v>270110056</v>
          </cell>
          <cell r="H71">
            <v>272655378</v>
          </cell>
          <cell r="I71">
            <v>275163387</v>
          </cell>
          <cell r="J71">
            <v>277650957</v>
          </cell>
          <cell r="K71">
            <v>279969040</v>
          </cell>
          <cell r="L71">
            <v>281974883</v>
          </cell>
          <cell r="M71">
            <v>283866409</v>
          </cell>
          <cell r="N71">
            <v>285778637</v>
          </cell>
          <cell r="O71">
            <v>287338845</v>
          </cell>
          <cell r="P71">
            <v>288923420</v>
          </cell>
          <cell r="Q71">
            <v>290874595</v>
          </cell>
          <cell r="R71">
            <v>292728234</v>
          </cell>
          <cell r="S71">
            <v>294399225</v>
          </cell>
          <cell r="T71">
            <v>295923527</v>
          </cell>
          <cell r="U71">
            <v>297251524</v>
          </cell>
          <cell r="V71">
            <v>298441845</v>
          </cell>
          <cell r="W71">
            <v>299652820</v>
          </cell>
          <cell r="X71">
            <v>300886490</v>
          </cell>
          <cell r="Y71">
            <v>302184230</v>
          </cell>
          <cell r="Z71">
            <v>303343135</v>
          </cell>
          <cell r="AA71">
            <v>304174240</v>
          </cell>
          <cell r="AB71">
            <v>304787493</v>
          </cell>
          <cell r="AC71">
            <v>305299134</v>
          </cell>
          <cell r="AD71">
            <v>305877727</v>
          </cell>
          <cell r="AE71">
            <v>306640638</v>
          </cell>
          <cell r="AF71">
            <v>307488390</v>
          </cell>
          <cell r="AG71">
            <v>308516473</v>
          </cell>
          <cell r="AH71">
            <v>309837592</v>
          </cell>
          <cell r="AI71">
            <v>311262588</v>
          </cell>
          <cell r="AJ71">
            <v>312708137</v>
          </cell>
          <cell r="AK71">
            <v>314162058</v>
          </cell>
          <cell r="AL71">
            <v>315449099</v>
          </cell>
          <cell r="AM71">
            <v>316366779</v>
          </cell>
          <cell r="AN71">
            <v>317181448</v>
          </cell>
          <cell r="AO71">
            <v>318003015</v>
          </cell>
          <cell r="AP71">
            <v>318761762</v>
          </cell>
          <cell r="AQ71">
            <v>319433981</v>
          </cell>
          <cell r="AR71">
            <v>320258898</v>
          </cell>
          <cell r="AS71">
            <v>321310791</v>
          </cell>
          <cell r="AT71">
            <v>322547874</v>
          </cell>
          <cell r="AU71">
            <v>324125336</v>
          </cell>
          <cell r="AV71">
            <v>325885964</v>
          </cell>
          <cell r="AW71">
            <v>327682505</v>
          </cell>
          <cell r="AX71">
            <v>329380417</v>
          </cell>
          <cell r="AY71">
            <v>330922789</v>
          </cell>
          <cell r="AZ71">
            <v>332645165</v>
          </cell>
          <cell r="BA71">
            <v>334274725</v>
          </cell>
          <cell r="BB71">
            <v>335360890</v>
          </cell>
          <cell r="BC71">
            <v>336151479</v>
          </cell>
          <cell r="BD71">
            <v>335419643</v>
          </cell>
          <cell r="BE71">
            <v>336159194</v>
          </cell>
          <cell r="BF71">
            <v>337302113</v>
          </cell>
          <cell r="BG71">
            <v>338466255</v>
          </cell>
          <cell r="BH71">
            <v>339533474</v>
          </cell>
          <cell r="BI71">
            <v>340616924</v>
          </cell>
          <cell r="BJ71">
            <v>341164362</v>
          </cell>
          <cell r="BK71">
            <v>341783171</v>
          </cell>
        </row>
        <row r="72">
          <cell r="B72" t="str">
            <v>ERI</v>
          </cell>
          <cell r="C72" t="str">
            <v>Population, total</v>
          </cell>
          <cell r="D72" t="str">
            <v>SP.POP.TOTL</v>
          </cell>
          <cell r="E72">
            <v>1007590</v>
          </cell>
          <cell r="F72">
            <v>1033328</v>
          </cell>
          <cell r="G72">
            <v>1060486</v>
          </cell>
          <cell r="H72">
            <v>1088854</v>
          </cell>
          <cell r="I72">
            <v>1118159</v>
          </cell>
          <cell r="J72">
            <v>1148189</v>
          </cell>
          <cell r="K72">
            <v>1178875</v>
          </cell>
          <cell r="L72">
            <v>1210302</v>
          </cell>
          <cell r="M72">
            <v>1242635</v>
          </cell>
          <cell r="N72">
            <v>1276123</v>
          </cell>
          <cell r="O72">
            <v>1310945</v>
          </cell>
          <cell r="P72">
            <v>1347176</v>
          </cell>
          <cell r="Q72">
            <v>1384797</v>
          </cell>
          <cell r="R72">
            <v>1423761</v>
          </cell>
          <cell r="S72">
            <v>1463983</v>
          </cell>
          <cell r="T72">
            <v>1505439</v>
          </cell>
          <cell r="U72">
            <v>1547975</v>
          </cell>
          <cell r="V72">
            <v>1591620</v>
          </cell>
          <cell r="W72">
            <v>1636769</v>
          </cell>
          <cell r="X72">
            <v>1683939</v>
          </cell>
          <cell r="Y72">
            <v>1733416</v>
          </cell>
          <cell r="Z72">
            <v>1784561</v>
          </cell>
          <cell r="AA72">
            <v>1836823</v>
          </cell>
          <cell r="AB72">
            <v>1890558</v>
          </cell>
          <cell r="AC72">
            <v>1946305</v>
          </cell>
          <cell r="AD72">
            <v>2003937</v>
          </cell>
          <cell r="AE72">
            <v>2064794</v>
          </cell>
          <cell r="AF72">
            <v>2127422</v>
          </cell>
          <cell r="AG72">
            <v>2185605</v>
          </cell>
          <cell r="AH72">
            <v>2231141</v>
          </cell>
          <cell r="AI72">
            <v>2258653</v>
          </cell>
          <cell r="AJ72">
            <v>2266358</v>
          </cell>
          <cell r="AK72">
            <v>2257596</v>
          </cell>
          <cell r="AL72">
            <v>2238626</v>
          </cell>
          <cell r="AM72">
            <v>2218430</v>
          </cell>
          <cell r="AN72">
            <v>2204222</v>
          </cell>
          <cell r="AO72">
            <v>2196464</v>
          </cell>
          <cell r="AP72">
            <v>2195179</v>
          </cell>
          <cell r="AQ72">
            <v>2206432</v>
          </cell>
          <cell r="AR72">
            <v>2237405</v>
          </cell>
          <cell r="AS72">
            <v>2292416</v>
          </cell>
          <cell r="AT72">
            <v>2374722</v>
          </cell>
          <cell r="AU72">
            <v>2481058</v>
          </cell>
          <cell r="AV72">
            <v>2600973</v>
          </cell>
          <cell r="AW72">
            <v>2719803</v>
          </cell>
          <cell r="AX72">
            <v>2826659</v>
          </cell>
          <cell r="AY72">
            <v>2918205</v>
          </cell>
          <cell r="AZ72">
            <v>2996536</v>
          </cell>
          <cell r="BA72">
            <v>3062779</v>
          </cell>
          <cell r="BB72">
            <v>3119920</v>
          </cell>
          <cell r="BC72">
            <v>3170435</v>
          </cell>
          <cell r="BD72">
            <v>3213972</v>
          </cell>
        </row>
        <row r="73">
          <cell r="B73" t="str">
            <v>ESP</v>
          </cell>
          <cell r="C73" t="str">
            <v>Population, total</v>
          </cell>
          <cell r="D73" t="str">
            <v>SP.POP.TOTL</v>
          </cell>
          <cell r="E73">
            <v>30455000</v>
          </cell>
          <cell r="F73">
            <v>30739250</v>
          </cell>
          <cell r="G73">
            <v>31023366</v>
          </cell>
          <cell r="H73">
            <v>31296651</v>
          </cell>
          <cell r="I73">
            <v>31609195</v>
          </cell>
          <cell r="J73">
            <v>31954292</v>
          </cell>
          <cell r="K73">
            <v>32283194</v>
          </cell>
          <cell r="L73">
            <v>32682947</v>
          </cell>
          <cell r="M73">
            <v>33113134</v>
          </cell>
          <cell r="N73">
            <v>33441054</v>
          </cell>
          <cell r="O73">
            <v>33814531</v>
          </cell>
          <cell r="P73">
            <v>34224490</v>
          </cell>
          <cell r="Q73">
            <v>34604469</v>
          </cell>
          <cell r="R73">
            <v>34988947</v>
          </cell>
          <cell r="S73">
            <v>35373335</v>
          </cell>
          <cell r="T73">
            <v>35757900</v>
          </cell>
          <cell r="U73">
            <v>36137812</v>
          </cell>
          <cell r="V73">
            <v>36511638</v>
          </cell>
          <cell r="W73">
            <v>36864898</v>
          </cell>
          <cell r="X73">
            <v>37191330</v>
          </cell>
          <cell r="Y73">
            <v>37491165</v>
          </cell>
          <cell r="Z73">
            <v>37758631</v>
          </cell>
          <cell r="AA73">
            <v>37986012</v>
          </cell>
          <cell r="AB73">
            <v>38171525</v>
          </cell>
          <cell r="AC73">
            <v>38330364</v>
          </cell>
          <cell r="AD73">
            <v>38469512</v>
          </cell>
          <cell r="AE73">
            <v>38584624</v>
          </cell>
          <cell r="AF73">
            <v>38684815</v>
          </cell>
          <cell r="AG73">
            <v>38766939</v>
          </cell>
          <cell r="AH73">
            <v>38827764</v>
          </cell>
          <cell r="AI73">
            <v>38867322</v>
          </cell>
          <cell r="AJ73">
            <v>38966376</v>
          </cell>
          <cell r="AK73">
            <v>39157685</v>
          </cell>
          <cell r="AL73">
            <v>39361262</v>
          </cell>
          <cell r="AM73">
            <v>39549108</v>
          </cell>
          <cell r="AN73">
            <v>39724050</v>
          </cell>
          <cell r="AO73">
            <v>39889852</v>
          </cell>
          <cell r="AP73">
            <v>40057389</v>
          </cell>
          <cell r="AQ73">
            <v>40223509</v>
          </cell>
          <cell r="AR73">
            <v>40386875</v>
          </cell>
          <cell r="AS73">
            <v>40567864</v>
          </cell>
          <cell r="AT73">
            <v>40850412</v>
          </cell>
          <cell r="AU73">
            <v>41431558</v>
          </cell>
          <cell r="AV73">
            <v>42187645</v>
          </cell>
          <cell r="AW73">
            <v>42921895</v>
          </cell>
          <cell r="AX73">
            <v>43653155</v>
          </cell>
          <cell r="AY73">
            <v>44397319</v>
          </cell>
          <cell r="AZ73">
            <v>45226803</v>
          </cell>
          <cell r="BA73">
            <v>45954106</v>
          </cell>
          <cell r="BB73">
            <v>46362946</v>
          </cell>
          <cell r="BC73">
            <v>46576897</v>
          </cell>
          <cell r="BD73">
            <v>46742697</v>
          </cell>
          <cell r="BE73">
            <v>46773055</v>
          </cell>
          <cell r="BF73">
            <v>46620045</v>
          </cell>
          <cell r="BG73">
            <v>46480882</v>
          </cell>
          <cell r="BH73">
            <v>46444832</v>
          </cell>
          <cell r="BI73">
            <v>46484062</v>
          </cell>
          <cell r="BJ73">
            <v>46593236</v>
          </cell>
          <cell r="BK73">
            <v>46796540</v>
          </cell>
        </row>
        <row r="74">
          <cell r="B74" t="str">
            <v>EST</v>
          </cell>
          <cell r="C74" t="str">
            <v>Population, total</v>
          </cell>
          <cell r="D74" t="str">
            <v>SP.POP.TOTL</v>
          </cell>
          <cell r="E74">
            <v>1211537</v>
          </cell>
          <cell r="F74">
            <v>1225077</v>
          </cell>
          <cell r="G74">
            <v>1241623</v>
          </cell>
          <cell r="H74">
            <v>1258857</v>
          </cell>
          <cell r="I74">
            <v>1277086</v>
          </cell>
          <cell r="J74">
            <v>1294566</v>
          </cell>
          <cell r="K74">
            <v>1308597</v>
          </cell>
          <cell r="L74">
            <v>1318946</v>
          </cell>
          <cell r="M74">
            <v>1331214</v>
          </cell>
          <cell r="N74">
            <v>1345249</v>
          </cell>
          <cell r="O74">
            <v>1360076</v>
          </cell>
          <cell r="P74">
            <v>1376955</v>
          </cell>
          <cell r="Q74">
            <v>1392518</v>
          </cell>
          <cell r="R74">
            <v>1405951</v>
          </cell>
          <cell r="S74">
            <v>1418169</v>
          </cell>
          <cell r="T74">
            <v>1429352</v>
          </cell>
          <cell r="U74">
            <v>1439576</v>
          </cell>
          <cell r="V74">
            <v>1450211</v>
          </cell>
          <cell r="W74">
            <v>1460188</v>
          </cell>
          <cell r="X74">
            <v>1468333</v>
          </cell>
          <cell r="Y74">
            <v>1477219</v>
          </cell>
          <cell r="Z74">
            <v>1487666</v>
          </cell>
          <cell r="AA74">
            <v>1498414</v>
          </cell>
          <cell r="AB74">
            <v>1508745</v>
          </cell>
          <cell r="AC74">
            <v>1518617</v>
          </cell>
          <cell r="AD74">
            <v>1528781</v>
          </cell>
          <cell r="AE74">
            <v>1540190</v>
          </cell>
          <cell r="AF74">
            <v>1552221</v>
          </cell>
          <cell r="AG74">
            <v>1561900</v>
          </cell>
          <cell r="AH74">
            <v>1568131</v>
          </cell>
          <cell r="AI74">
            <v>1569174</v>
          </cell>
          <cell r="AJ74">
            <v>1561314</v>
          </cell>
          <cell r="AK74">
            <v>1533091</v>
          </cell>
          <cell r="AL74">
            <v>1494128</v>
          </cell>
          <cell r="AM74">
            <v>1462514</v>
          </cell>
          <cell r="AN74">
            <v>1436634</v>
          </cell>
          <cell r="AO74">
            <v>1415594</v>
          </cell>
          <cell r="AP74">
            <v>1399535</v>
          </cell>
          <cell r="AQ74">
            <v>1386156</v>
          </cell>
          <cell r="AR74">
            <v>1390244</v>
          </cell>
          <cell r="AS74">
            <v>1396985</v>
          </cell>
          <cell r="AT74">
            <v>1388115</v>
          </cell>
          <cell r="AU74">
            <v>1379350</v>
          </cell>
          <cell r="AV74">
            <v>1370720</v>
          </cell>
          <cell r="AW74">
            <v>1362550</v>
          </cell>
          <cell r="AX74">
            <v>1354775</v>
          </cell>
          <cell r="AY74">
            <v>1346810</v>
          </cell>
          <cell r="AZ74">
            <v>1340680</v>
          </cell>
          <cell r="BA74">
            <v>1337090</v>
          </cell>
          <cell r="BB74">
            <v>1334515</v>
          </cell>
          <cell r="BC74">
            <v>1331475</v>
          </cell>
          <cell r="BD74">
            <v>1327439</v>
          </cell>
          <cell r="BE74">
            <v>1322696</v>
          </cell>
          <cell r="BF74">
            <v>1317997</v>
          </cell>
          <cell r="BG74">
            <v>1314545</v>
          </cell>
          <cell r="BH74">
            <v>1315407</v>
          </cell>
          <cell r="BI74">
            <v>1315790</v>
          </cell>
          <cell r="BJ74">
            <v>1317384</v>
          </cell>
          <cell r="BK74">
            <v>1321977</v>
          </cell>
        </row>
        <row r="75">
          <cell r="B75" t="str">
            <v>ETH</v>
          </cell>
          <cell r="C75" t="str">
            <v>Population, total</v>
          </cell>
          <cell r="D75" t="str">
            <v>SP.POP.TOTL</v>
          </cell>
          <cell r="E75">
            <v>22151278</v>
          </cell>
          <cell r="F75">
            <v>22671191</v>
          </cell>
          <cell r="G75">
            <v>23221389</v>
          </cell>
          <cell r="H75">
            <v>23798430</v>
          </cell>
          <cell r="I75">
            <v>24397022</v>
          </cell>
          <cell r="J75">
            <v>25013626</v>
          </cell>
          <cell r="K75">
            <v>25641044</v>
          </cell>
          <cell r="L75">
            <v>26280132</v>
          </cell>
          <cell r="M75">
            <v>26944390</v>
          </cell>
          <cell r="N75">
            <v>27652709</v>
          </cell>
          <cell r="O75">
            <v>28415077</v>
          </cell>
          <cell r="P75">
            <v>29248643</v>
          </cell>
          <cell r="Q75">
            <v>30140804</v>
          </cell>
          <cell r="R75">
            <v>31036662</v>
          </cell>
          <cell r="S75">
            <v>31861352</v>
          </cell>
          <cell r="T75">
            <v>32566854</v>
          </cell>
          <cell r="U75">
            <v>33128149</v>
          </cell>
          <cell r="V75">
            <v>33577242</v>
          </cell>
          <cell r="W75">
            <v>33993301</v>
          </cell>
          <cell r="X75">
            <v>34487799</v>
          </cell>
          <cell r="Y75">
            <v>35141712</v>
          </cell>
          <cell r="Z75">
            <v>35984528</v>
          </cell>
          <cell r="AA75">
            <v>36995248</v>
          </cell>
          <cell r="AB75">
            <v>38142674</v>
          </cell>
          <cell r="AC75">
            <v>39374348</v>
          </cell>
          <cell r="AD75">
            <v>40652141</v>
          </cell>
          <cell r="AE75">
            <v>41965693</v>
          </cell>
          <cell r="AF75">
            <v>43329231</v>
          </cell>
          <cell r="AG75">
            <v>44757203</v>
          </cell>
          <cell r="AH75">
            <v>46272299</v>
          </cell>
          <cell r="AI75">
            <v>47887865</v>
          </cell>
          <cell r="AJ75">
            <v>49609969</v>
          </cell>
          <cell r="AK75">
            <v>51423585</v>
          </cell>
          <cell r="AL75">
            <v>53295566</v>
          </cell>
          <cell r="AM75">
            <v>55180998</v>
          </cell>
          <cell r="AN75">
            <v>57047908</v>
          </cell>
          <cell r="AO75">
            <v>58883530</v>
          </cell>
          <cell r="AP75">
            <v>60697443</v>
          </cell>
          <cell r="AQ75">
            <v>62507724</v>
          </cell>
          <cell r="AR75">
            <v>64343013</v>
          </cell>
          <cell r="AS75">
            <v>66224804</v>
          </cell>
          <cell r="AT75">
            <v>68159423</v>
          </cell>
          <cell r="AU75">
            <v>70142091</v>
          </cell>
          <cell r="AV75">
            <v>72170584</v>
          </cell>
          <cell r="AW75">
            <v>74239505</v>
          </cell>
          <cell r="AX75">
            <v>76346311</v>
          </cell>
          <cell r="AY75">
            <v>78489206</v>
          </cell>
          <cell r="AZ75">
            <v>80674348</v>
          </cell>
          <cell r="BA75">
            <v>82916235</v>
          </cell>
          <cell r="BB75">
            <v>85233913</v>
          </cell>
          <cell r="BC75">
            <v>87639964</v>
          </cell>
          <cell r="BD75">
            <v>90139927</v>
          </cell>
          <cell r="BE75">
            <v>92726971</v>
          </cell>
          <cell r="BF75">
            <v>95385785</v>
          </cell>
          <cell r="BG75">
            <v>98094253</v>
          </cell>
          <cell r="BH75">
            <v>100835458</v>
          </cell>
          <cell r="BI75">
            <v>103603501</v>
          </cell>
          <cell r="BJ75">
            <v>106400024</v>
          </cell>
          <cell r="BK75">
            <v>109224559</v>
          </cell>
        </row>
        <row r="76">
          <cell r="B76" t="str">
            <v>EUU</v>
          </cell>
          <cell r="C76" t="str">
            <v>Population, total</v>
          </cell>
          <cell r="D76" t="str">
            <v>SP.POP.TOTL</v>
          </cell>
          <cell r="E76">
            <v>356906076</v>
          </cell>
          <cell r="F76">
            <v>359998418</v>
          </cell>
          <cell r="G76">
            <v>363200473</v>
          </cell>
          <cell r="H76">
            <v>366516491</v>
          </cell>
          <cell r="I76">
            <v>369850244</v>
          </cell>
          <cell r="J76">
            <v>373032732</v>
          </cell>
          <cell r="K76">
            <v>376039119</v>
          </cell>
          <cell r="L76">
            <v>378917977</v>
          </cell>
          <cell r="M76">
            <v>381605443</v>
          </cell>
          <cell r="N76">
            <v>384216975</v>
          </cell>
          <cell r="O76">
            <v>386322908</v>
          </cell>
          <cell r="P76">
            <v>388391969</v>
          </cell>
          <cell r="Q76">
            <v>390994983</v>
          </cell>
          <cell r="R76">
            <v>393524737</v>
          </cell>
          <cell r="S76">
            <v>395949389</v>
          </cell>
          <cell r="T76">
            <v>398316577</v>
          </cell>
          <cell r="U76">
            <v>400473489</v>
          </cell>
          <cell r="V76">
            <v>402425490</v>
          </cell>
          <cell r="W76">
            <v>404271768</v>
          </cell>
          <cell r="X76">
            <v>406051885</v>
          </cell>
          <cell r="Y76">
            <v>407875852</v>
          </cell>
          <cell r="Z76">
            <v>409551932</v>
          </cell>
          <cell r="AA76">
            <v>410895587</v>
          </cell>
          <cell r="AB76">
            <v>411974420</v>
          </cell>
          <cell r="AC76">
            <v>412931311</v>
          </cell>
          <cell r="AD76">
            <v>413924483</v>
          </cell>
          <cell r="AE76">
            <v>415076369</v>
          </cell>
          <cell r="AF76">
            <v>416301856</v>
          </cell>
          <cell r="AG76">
            <v>417653043</v>
          </cell>
          <cell r="AH76">
            <v>419073156</v>
          </cell>
          <cell r="AI76">
            <v>420477979</v>
          </cell>
          <cell r="AJ76">
            <v>421730525</v>
          </cell>
          <cell r="AK76">
            <v>422963892</v>
          </cell>
          <cell r="AL76">
            <v>424341130</v>
          </cell>
          <cell r="AM76">
            <v>425399124</v>
          </cell>
          <cell r="AN76">
            <v>426203343</v>
          </cell>
          <cell r="AO76">
            <v>426896863</v>
          </cell>
          <cell r="AP76">
            <v>427538058</v>
          </cell>
          <cell r="AQ76">
            <v>428109863</v>
          </cell>
          <cell r="AR76">
            <v>428815493</v>
          </cell>
          <cell r="AS76">
            <v>429328624</v>
          </cell>
          <cell r="AT76">
            <v>429895628</v>
          </cell>
          <cell r="AU76">
            <v>430881944</v>
          </cell>
          <cell r="AV76">
            <v>432415939</v>
          </cell>
          <cell r="AW76">
            <v>434040236</v>
          </cell>
          <cell r="AX76">
            <v>435581949</v>
          </cell>
          <cell r="AY76">
            <v>436998049</v>
          </cell>
          <cell r="AZ76">
            <v>438468400</v>
          </cell>
          <cell r="BA76">
            <v>439876674</v>
          </cell>
          <cell r="BB76">
            <v>440917800</v>
          </cell>
          <cell r="BC76">
            <v>441532412</v>
          </cell>
          <cell r="BD76">
            <v>440746976</v>
          </cell>
          <cell r="BE76">
            <v>441395932</v>
          </cell>
          <cell r="BF76">
            <v>442469471</v>
          </cell>
          <cell r="BG76">
            <v>443576663</v>
          </cell>
          <cell r="BH76">
            <v>444543759</v>
          </cell>
          <cell r="BI76">
            <v>445485081</v>
          </cell>
          <cell r="BJ76">
            <v>446132239</v>
          </cell>
          <cell r="BK76">
            <v>446786293</v>
          </cell>
        </row>
        <row r="77">
          <cell r="B77" t="str">
            <v>FCS</v>
          </cell>
          <cell r="C77" t="str">
            <v>Population, total</v>
          </cell>
          <cell r="D77" t="str">
            <v>SP.POP.TOTL</v>
          </cell>
          <cell r="E77">
            <v>174658134</v>
          </cell>
          <cell r="F77">
            <v>178611702</v>
          </cell>
          <cell r="G77">
            <v>182724039</v>
          </cell>
          <cell r="H77">
            <v>186993460</v>
          </cell>
          <cell r="I77">
            <v>191428676</v>
          </cell>
          <cell r="J77">
            <v>196036841</v>
          </cell>
          <cell r="K77">
            <v>200829540</v>
          </cell>
          <cell r="L77">
            <v>205811110</v>
          </cell>
          <cell r="M77">
            <v>210968809</v>
          </cell>
          <cell r="N77">
            <v>216287242</v>
          </cell>
          <cell r="O77">
            <v>221759427</v>
          </cell>
          <cell r="P77">
            <v>227361646</v>
          </cell>
          <cell r="Q77">
            <v>233111868</v>
          </cell>
          <cell r="R77">
            <v>239081811</v>
          </cell>
          <cell r="S77">
            <v>245376113</v>
          </cell>
          <cell r="T77">
            <v>252055911</v>
          </cell>
          <cell r="U77">
            <v>259169700</v>
          </cell>
          <cell r="V77">
            <v>266666417</v>
          </cell>
          <cell r="W77">
            <v>274398155</v>
          </cell>
          <cell r="X77">
            <v>282158744</v>
          </cell>
          <cell r="Y77">
            <v>289802066</v>
          </cell>
          <cell r="Z77">
            <v>297288184</v>
          </cell>
          <cell r="AA77">
            <v>304675651</v>
          </cell>
          <cell r="AB77">
            <v>312053842</v>
          </cell>
          <cell r="AC77">
            <v>319554132</v>
          </cell>
          <cell r="AD77">
            <v>327284879</v>
          </cell>
          <cell r="AE77">
            <v>335239402</v>
          </cell>
          <cell r="AF77">
            <v>343415856</v>
          </cell>
          <cell r="AG77">
            <v>351924856</v>
          </cell>
          <cell r="AH77">
            <v>360897419</v>
          </cell>
          <cell r="AI77">
            <v>372396241</v>
          </cell>
          <cell r="AJ77">
            <v>382637815</v>
          </cell>
          <cell r="AK77">
            <v>393457409</v>
          </cell>
          <cell r="AL77">
            <v>404641095</v>
          </cell>
          <cell r="AM77">
            <v>415886665</v>
          </cell>
          <cell r="AN77">
            <v>426987157</v>
          </cell>
          <cell r="AO77">
            <v>437852730</v>
          </cell>
          <cell r="AP77">
            <v>448573338</v>
          </cell>
          <cell r="AQ77">
            <v>459140396</v>
          </cell>
          <cell r="AR77">
            <v>469945426</v>
          </cell>
          <cell r="AS77">
            <v>481415091</v>
          </cell>
          <cell r="AT77">
            <v>493531246</v>
          </cell>
          <cell r="AU77">
            <v>506165557</v>
          </cell>
          <cell r="AV77">
            <v>519241843</v>
          </cell>
          <cell r="AW77">
            <v>532634908</v>
          </cell>
          <cell r="AX77">
            <v>546253003</v>
          </cell>
          <cell r="AY77">
            <v>560082826</v>
          </cell>
          <cell r="AZ77">
            <v>574141732</v>
          </cell>
          <cell r="BA77">
            <v>588463731</v>
          </cell>
          <cell r="BB77">
            <v>603084255</v>
          </cell>
          <cell r="BC77">
            <v>618029522</v>
          </cell>
          <cell r="BD77">
            <v>633349420</v>
          </cell>
          <cell r="BE77">
            <v>649017914</v>
          </cell>
          <cell r="BF77">
            <v>664910214</v>
          </cell>
          <cell r="BG77">
            <v>680822851</v>
          </cell>
          <cell r="BH77">
            <v>696655368</v>
          </cell>
          <cell r="BI77">
            <v>712367454</v>
          </cell>
          <cell r="BJ77">
            <v>728015702</v>
          </cell>
          <cell r="BK77">
            <v>743958386</v>
          </cell>
        </row>
        <row r="78">
          <cell r="B78" t="str">
            <v>FIN</v>
          </cell>
          <cell r="C78" t="str">
            <v>Population, total</v>
          </cell>
          <cell r="D78" t="str">
            <v>SP.POP.TOTL</v>
          </cell>
          <cell r="E78">
            <v>4429634</v>
          </cell>
          <cell r="F78">
            <v>4461005</v>
          </cell>
          <cell r="G78">
            <v>4491443</v>
          </cell>
          <cell r="H78">
            <v>4523309</v>
          </cell>
          <cell r="I78">
            <v>4548543</v>
          </cell>
          <cell r="J78">
            <v>4563732</v>
          </cell>
          <cell r="K78">
            <v>4580869</v>
          </cell>
          <cell r="L78">
            <v>4605744</v>
          </cell>
          <cell r="M78">
            <v>4626469</v>
          </cell>
          <cell r="N78">
            <v>4623785</v>
          </cell>
          <cell r="O78">
            <v>4606307</v>
          </cell>
          <cell r="P78">
            <v>4612124</v>
          </cell>
          <cell r="Q78">
            <v>4639657</v>
          </cell>
          <cell r="R78">
            <v>4666081</v>
          </cell>
          <cell r="S78">
            <v>4690574</v>
          </cell>
          <cell r="T78">
            <v>4711440</v>
          </cell>
          <cell r="U78">
            <v>4725664</v>
          </cell>
          <cell r="V78">
            <v>4738902</v>
          </cell>
          <cell r="W78">
            <v>4752528</v>
          </cell>
          <cell r="X78">
            <v>4764690</v>
          </cell>
          <cell r="Y78">
            <v>4779535</v>
          </cell>
          <cell r="Z78">
            <v>4799964</v>
          </cell>
          <cell r="AA78">
            <v>4826933</v>
          </cell>
          <cell r="AB78">
            <v>4855787</v>
          </cell>
          <cell r="AC78">
            <v>4881803</v>
          </cell>
          <cell r="AD78">
            <v>4902206</v>
          </cell>
          <cell r="AE78">
            <v>4918154</v>
          </cell>
          <cell r="AF78">
            <v>4932123</v>
          </cell>
          <cell r="AG78">
            <v>4946481</v>
          </cell>
          <cell r="AH78">
            <v>4964371</v>
          </cell>
          <cell r="AI78">
            <v>4986431</v>
          </cell>
          <cell r="AJ78">
            <v>5013740</v>
          </cell>
          <cell r="AK78">
            <v>5041992</v>
          </cell>
          <cell r="AL78">
            <v>5066447</v>
          </cell>
          <cell r="AM78">
            <v>5088333</v>
          </cell>
          <cell r="AN78">
            <v>5107790</v>
          </cell>
          <cell r="AO78">
            <v>5124573</v>
          </cell>
          <cell r="AP78">
            <v>5139835</v>
          </cell>
          <cell r="AQ78">
            <v>5153498</v>
          </cell>
          <cell r="AR78">
            <v>5165474</v>
          </cell>
          <cell r="AS78">
            <v>5176209</v>
          </cell>
          <cell r="AT78">
            <v>5188008</v>
          </cell>
          <cell r="AU78">
            <v>5200598</v>
          </cell>
          <cell r="AV78">
            <v>5213014</v>
          </cell>
          <cell r="AW78">
            <v>5228172</v>
          </cell>
          <cell r="AX78">
            <v>5246096</v>
          </cell>
          <cell r="AY78">
            <v>5266268</v>
          </cell>
          <cell r="AZ78">
            <v>5288720</v>
          </cell>
          <cell r="BA78">
            <v>5313399</v>
          </cell>
          <cell r="BB78">
            <v>5338871</v>
          </cell>
          <cell r="BC78">
            <v>5363352</v>
          </cell>
          <cell r="BD78">
            <v>5388272</v>
          </cell>
          <cell r="BE78">
            <v>5413971</v>
          </cell>
          <cell r="BF78">
            <v>5438972</v>
          </cell>
          <cell r="BG78">
            <v>5461512</v>
          </cell>
          <cell r="BH78">
            <v>5479531</v>
          </cell>
          <cell r="BI78">
            <v>5495303</v>
          </cell>
          <cell r="BJ78">
            <v>5508214</v>
          </cell>
          <cell r="BK78">
            <v>5515525</v>
          </cell>
        </row>
        <row r="79">
          <cell r="B79" t="str">
            <v>FJI</v>
          </cell>
          <cell r="C79" t="str">
            <v>Population, total</v>
          </cell>
          <cell r="D79" t="str">
            <v>SP.POP.TOTL</v>
          </cell>
          <cell r="E79">
            <v>393481</v>
          </cell>
          <cell r="F79">
            <v>407249</v>
          </cell>
          <cell r="G79">
            <v>421665</v>
          </cell>
          <cell r="H79">
            <v>436293</v>
          </cell>
          <cell r="I79">
            <v>450542</v>
          </cell>
          <cell r="J79">
            <v>463968</v>
          </cell>
          <cell r="K79">
            <v>476404</v>
          </cell>
          <cell r="L79">
            <v>487981</v>
          </cell>
          <cell r="M79">
            <v>498940</v>
          </cell>
          <cell r="N79">
            <v>509704</v>
          </cell>
          <cell r="O79">
            <v>520562</v>
          </cell>
          <cell r="P79">
            <v>531635</v>
          </cell>
          <cell r="Q79">
            <v>542844</v>
          </cell>
          <cell r="R79">
            <v>554138</v>
          </cell>
          <cell r="S79">
            <v>565415</v>
          </cell>
          <cell r="T79">
            <v>576626</v>
          </cell>
          <cell r="U79">
            <v>587557</v>
          </cell>
          <cell r="V79">
            <v>598296</v>
          </cell>
          <cell r="W79">
            <v>609383</v>
          </cell>
          <cell r="X79">
            <v>621585</v>
          </cell>
          <cell r="Y79">
            <v>635307</v>
          </cell>
          <cell r="Z79">
            <v>651021</v>
          </cell>
          <cell r="AA79">
            <v>668280</v>
          </cell>
          <cell r="AB79">
            <v>685497</v>
          </cell>
          <cell r="AC79">
            <v>700483</v>
          </cell>
          <cell r="AD79">
            <v>711775</v>
          </cell>
          <cell r="AE79">
            <v>718639</v>
          </cell>
          <cell r="AF79">
            <v>721783</v>
          </cell>
          <cell r="AG79">
            <v>722930</v>
          </cell>
          <cell r="AH79">
            <v>724594</v>
          </cell>
          <cell r="AI79">
            <v>728573</v>
          </cell>
          <cell r="AJ79">
            <v>735401</v>
          </cell>
          <cell r="AK79">
            <v>744469</v>
          </cell>
          <cell r="AL79">
            <v>754963</v>
          </cell>
          <cell r="AM79">
            <v>765609</v>
          </cell>
          <cell r="AN79">
            <v>775425</v>
          </cell>
          <cell r="AO79">
            <v>784386</v>
          </cell>
          <cell r="AP79">
            <v>792736</v>
          </cell>
          <cell r="AQ79">
            <v>800157</v>
          </cell>
          <cell r="AR79">
            <v>806303</v>
          </cell>
          <cell r="AS79">
            <v>811006</v>
          </cell>
          <cell r="AT79">
            <v>813925</v>
          </cell>
          <cell r="AU79">
            <v>815257</v>
          </cell>
          <cell r="AV79">
            <v>816076</v>
          </cell>
          <cell r="AW79">
            <v>817860</v>
          </cell>
          <cell r="AX79">
            <v>821604</v>
          </cell>
          <cell r="AY79">
            <v>827870</v>
          </cell>
          <cell r="AZ79">
            <v>836190</v>
          </cell>
          <cell r="BA79">
            <v>845361</v>
          </cell>
          <cell r="BB79">
            <v>853637</v>
          </cell>
          <cell r="BC79">
            <v>859818</v>
          </cell>
          <cell r="BD79">
            <v>863449</v>
          </cell>
          <cell r="BE79">
            <v>865069</v>
          </cell>
          <cell r="BF79">
            <v>865608</v>
          </cell>
          <cell r="BG79">
            <v>866453</v>
          </cell>
          <cell r="BH79">
            <v>868627</v>
          </cell>
          <cell r="BI79">
            <v>872399</v>
          </cell>
          <cell r="BJ79">
            <v>877459</v>
          </cell>
          <cell r="BK79">
            <v>883483</v>
          </cell>
        </row>
        <row r="80">
          <cell r="B80" t="str">
            <v>FRA</v>
          </cell>
          <cell r="C80" t="str">
            <v>Population, total</v>
          </cell>
          <cell r="D80" t="str">
            <v>SP.POP.TOTL</v>
          </cell>
          <cell r="E80">
            <v>46621669</v>
          </cell>
          <cell r="F80">
            <v>47240543</v>
          </cell>
          <cell r="G80">
            <v>47904877</v>
          </cell>
          <cell r="H80">
            <v>48582611</v>
          </cell>
          <cell r="I80">
            <v>49230595</v>
          </cell>
          <cell r="J80">
            <v>49818028</v>
          </cell>
          <cell r="K80">
            <v>50330262</v>
          </cell>
          <cell r="L80">
            <v>50775794</v>
          </cell>
          <cell r="M80">
            <v>51175508</v>
          </cell>
          <cell r="N80">
            <v>51561836</v>
          </cell>
          <cell r="O80">
            <v>51957738</v>
          </cell>
          <cell r="P80">
            <v>52371342</v>
          </cell>
          <cell r="Q80">
            <v>52793138</v>
          </cell>
          <cell r="R80">
            <v>53207734</v>
          </cell>
          <cell r="S80">
            <v>53592233</v>
          </cell>
          <cell r="T80">
            <v>53931390</v>
          </cell>
          <cell r="U80">
            <v>54220022</v>
          </cell>
          <cell r="V80">
            <v>54467702</v>
          </cell>
          <cell r="W80">
            <v>54691851</v>
          </cell>
          <cell r="X80">
            <v>54917118</v>
          </cell>
          <cell r="Y80">
            <v>55161527</v>
          </cell>
          <cell r="Z80">
            <v>55430296</v>
          </cell>
          <cell r="AA80">
            <v>55718933</v>
          </cell>
          <cell r="AB80">
            <v>56023770</v>
          </cell>
          <cell r="AC80">
            <v>56337666</v>
          </cell>
          <cell r="AD80">
            <v>56654696</v>
          </cell>
          <cell r="AE80">
            <v>56976123</v>
          </cell>
          <cell r="AF80">
            <v>57302663</v>
          </cell>
          <cell r="AG80">
            <v>57627105</v>
          </cell>
          <cell r="AH80">
            <v>57940212</v>
          </cell>
          <cell r="AI80">
            <v>58235697</v>
          </cell>
          <cell r="AJ80">
            <v>58559311</v>
          </cell>
          <cell r="AK80">
            <v>58851217</v>
          </cell>
          <cell r="AL80">
            <v>59106768</v>
          </cell>
          <cell r="AM80">
            <v>59327192</v>
          </cell>
          <cell r="AN80">
            <v>59541899</v>
          </cell>
          <cell r="AO80">
            <v>59753100</v>
          </cell>
          <cell r="AP80">
            <v>59964851</v>
          </cell>
          <cell r="AQ80">
            <v>60186288</v>
          </cell>
          <cell r="AR80">
            <v>60496718</v>
          </cell>
          <cell r="AS80">
            <v>60912500</v>
          </cell>
          <cell r="AT80">
            <v>61357430</v>
          </cell>
          <cell r="AU80">
            <v>61805267</v>
          </cell>
          <cell r="AV80">
            <v>62244886</v>
          </cell>
          <cell r="AW80">
            <v>62704895</v>
          </cell>
          <cell r="AX80">
            <v>63179351</v>
          </cell>
          <cell r="AY80">
            <v>63621381</v>
          </cell>
          <cell r="AZ80">
            <v>64016225</v>
          </cell>
          <cell r="BA80">
            <v>64374984</v>
          </cell>
          <cell r="BB80">
            <v>64707040</v>
          </cell>
          <cell r="BC80">
            <v>65027507</v>
          </cell>
          <cell r="BD80">
            <v>65342780</v>
          </cell>
          <cell r="BE80">
            <v>65659809</v>
          </cell>
          <cell r="BF80">
            <v>65998687</v>
          </cell>
          <cell r="BG80">
            <v>66312067</v>
          </cell>
          <cell r="BH80">
            <v>66548272</v>
          </cell>
          <cell r="BI80">
            <v>66721256</v>
          </cell>
          <cell r="BJ80">
            <v>66865144</v>
          </cell>
          <cell r="BK80">
            <v>66977107</v>
          </cell>
        </row>
        <row r="81">
          <cell r="B81" t="str">
            <v>FRO</v>
          </cell>
          <cell r="C81" t="str">
            <v>Population, total</v>
          </cell>
          <cell r="D81" t="str">
            <v>SP.POP.TOTL</v>
          </cell>
          <cell r="E81">
            <v>34615</v>
          </cell>
          <cell r="F81">
            <v>35076</v>
          </cell>
          <cell r="G81">
            <v>35524</v>
          </cell>
          <cell r="H81">
            <v>35969</v>
          </cell>
          <cell r="I81">
            <v>36406</v>
          </cell>
          <cell r="J81">
            <v>36847</v>
          </cell>
          <cell r="K81">
            <v>37278</v>
          </cell>
          <cell r="L81">
            <v>37705</v>
          </cell>
          <cell r="M81">
            <v>38124</v>
          </cell>
          <cell r="N81">
            <v>38570</v>
          </cell>
          <cell r="O81">
            <v>39009</v>
          </cell>
          <cell r="P81">
            <v>39458</v>
          </cell>
          <cell r="Q81">
            <v>39925</v>
          </cell>
          <cell r="R81">
            <v>40387</v>
          </cell>
          <cell r="S81">
            <v>40850</v>
          </cell>
          <cell r="T81">
            <v>41299</v>
          </cell>
          <cell r="U81">
            <v>41722</v>
          </cell>
          <cell r="V81">
            <v>42134</v>
          </cell>
          <cell r="W81">
            <v>42538</v>
          </cell>
          <cell r="X81">
            <v>42936</v>
          </cell>
          <cell r="Y81">
            <v>43337</v>
          </cell>
          <cell r="Z81">
            <v>43725</v>
          </cell>
          <cell r="AA81">
            <v>44108</v>
          </cell>
          <cell r="AB81">
            <v>44488</v>
          </cell>
          <cell r="AC81">
            <v>44891</v>
          </cell>
          <cell r="AD81">
            <v>45330</v>
          </cell>
          <cell r="AE81">
            <v>45818</v>
          </cell>
          <cell r="AF81">
            <v>46349</v>
          </cell>
          <cell r="AG81">
            <v>46830</v>
          </cell>
          <cell r="AH81">
            <v>47166</v>
          </cell>
          <cell r="AI81">
            <v>47274</v>
          </cell>
          <cell r="AJ81">
            <v>47120</v>
          </cell>
          <cell r="AK81">
            <v>46739</v>
          </cell>
          <cell r="AL81">
            <v>46266</v>
          </cell>
          <cell r="AM81">
            <v>45856</v>
          </cell>
          <cell r="AN81">
            <v>45625</v>
          </cell>
          <cell r="AO81">
            <v>45615</v>
          </cell>
          <cell r="AP81">
            <v>45796</v>
          </cell>
          <cell r="AQ81">
            <v>46096</v>
          </cell>
          <cell r="AR81">
            <v>46436</v>
          </cell>
          <cell r="AS81">
            <v>46735</v>
          </cell>
          <cell r="AT81">
            <v>46997</v>
          </cell>
          <cell r="AU81">
            <v>47233</v>
          </cell>
          <cell r="AV81">
            <v>47432</v>
          </cell>
          <cell r="AW81">
            <v>47600</v>
          </cell>
          <cell r="AX81">
            <v>47722</v>
          </cell>
          <cell r="AY81">
            <v>47792</v>
          </cell>
          <cell r="AZ81">
            <v>47825</v>
          </cell>
          <cell r="BA81">
            <v>47820</v>
          </cell>
          <cell r="BB81">
            <v>47808</v>
          </cell>
          <cell r="BC81">
            <v>47814</v>
          </cell>
          <cell r="BD81">
            <v>47823</v>
          </cell>
          <cell r="BE81">
            <v>47843</v>
          </cell>
          <cell r="BF81">
            <v>47892</v>
          </cell>
          <cell r="BG81">
            <v>47960</v>
          </cell>
          <cell r="BH81">
            <v>48051</v>
          </cell>
          <cell r="BI81">
            <v>48173</v>
          </cell>
          <cell r="BJ81">
            <v>48331</v>
          </cell>
          <cell r="BK81">
            <v>48497</v>
          </cell>
        </row>
        <row r="82">
          <cell r="B82" t="str">
            <v>FSM</v>
          </cell>
          <cell r="C82" t="str">
            <v>Population, total</v>
          </cell>
          <cell r="D82" t="str">
            <v>SP.POP.TOTL</v>
          </cell>
          <cell r="E82">
            <v>44514</v>
          </cell>
          <cell r="F82">
            <v>45932</v>
          </cell>
          <cell r="G82">
            <v>47367</v>
          </cell>
          <cell r="H82">
            <v>48855</v>
          </cell>
          <cell r="I82">
            <v>50468</v>
          </cell>
          <cell r="J82">
            <v>52227</v>
          </cell>
          <cell r="K82">
            <v>54192</v>
          </cell>
          <cell r="L82">
            <v>56307</v>
          </cell>
          <cell r="M82">
            <v>58388</v>
          </cell>
          <cell r="N82">
            <v>60145</v>
          </cell>
          <cell r="O82">
            <v>61417</v>
          </cell>
          <cell r="P82">
            <v>62082</v>
          </cell>
          <cell r="Q82">
            <v>62279</v>
          </cell>
          <cell r="R82">
            <v>62270</v>
          </cell>
          <cell r="S82">
            <v>62455</v>
          </cell>
          <cell r="T82">
            <v>63128</v>
          </cell>
          <cell r="U82">
            <v>64361</v>
          </cell>
          <cell r="V82">
            <v>66082</v>
          </cell>
          <cell r="W82">
            <v>68194</v>
          </cell>
          <cell r="X82">
            <v>70517</v>
          </cell>
          <cell r="Y82">
            <v>72930</v>
          </cell>
          <cell r="Z82">
            <v>75423</v>
          </cell>
          <cell r="AA82">
            <v>78012</v>
          </cell>
          <cell r="AB82">
            <v>80629</v>
          </cell>
          <cell r="AC82">
            <v>83195</v>
          </cell>
          <cell r="AD82">
            <v>85640</v>
          </cell>
          <cell r="AE82">
            <v>87905</v>
          </cell>
          <cell r="AF82">
            <v>89979</v>
          </cell>
          <cell r="AG82">
            <v>91985</v>
          </cell>
          <cell r="AH82">
            <v>94057</v>
          </cell>
          <cell r="AI82">
            <v>96301</v>
          </cell>
          <cell r="AJ82">
            <v>98770</v>
          </cell>
          <cell r="AK82">
            <v>101389</v>
          </cell>
          <cell r="AL82">
            <v>103915</v>
          </cell>
          <cell r="AM82">
            <v>106030</v>
          </cell>
          <cell r="AN82">
            <v>107529</v>
          </cell>
          <cell r="AO82">
            <v>108321</v>
          </cell>
          <cell r="AP82">
            <v>108480</v>
          </cell>
          <cell r="AQ82">
            <v>108208</v>
          </cell>
          <cell r="AR82">
            <v>107781</v>
          </cell>
          <cell r="AS82">
            <v>107402</v>
          </cell>
          <cell r="AT82">
            <v>107173</v>
          </cell>
          <cell r="AU82">
            <v>107030</v>
          </cell>
          <cell r="AV82">
            <v>106901</v>
          </cell>
          <cell r="AW82">
            <v>106625</v>
          </cell>
          <cell r="AX82">
            <v>106129</v>
          </cell>
          <cell r="AY82">
            <v>105371</v>
          </cell>
          <cell r="AZ82">
            <v>104444</v>
          </cell>
          <cell r="BA82">
            <v>103543</v>
          </cell>
          <cell r="BB82">
            <v>102975</v>
          </cell>
          <cell r="BC82">
            <v>102911</v>
          </cell>
          <cell r="BD82">
            <v>103450</v>
          </cell>
          <cell r="BE82">
            <v>104506</v>
          </cell>
          <cell r="BF82">
            <v>105926</v>
          </cell>
          <cell r="BG82">
            <v>107446</v>
          </cell>
          <cell r="BH82">
            <v>108895</v>
          </cell>
          <cell r="BI82">
            <v>110215</v>
          </cell>
          <cell r="BJ82">
            <v>111459</v>
          </cell>
          <cell r="BK82">
            <v>112640</v>
          </cell>
        </row>
        <row r="83">
          <cell r="B83" t="str">
            <v>GAB</v>
          </cell>
          <cell r="C83" t="str">
            <v>Population, total</v>
          </cell>
          <cell r="D83" t="str">
            <v>SP.POP.TOTL</v>
          </cell>
          <cell r="E83">
            <v>500928</v>
          </cell>
          <cell r="F83">
            <v>505799</v>
          </cell>
          <cell r="G83">
            <v>511287</v>
          </cell>
          <cell r="H83">
            <v>517580</v>
          </cell>
          <cell r="I83">
            <v>524895</v>
          </cell>
          <cell r="J83">
            <v>533361</v>
          </cell>
          <cell r="K83">
            <v>543112</v>
          </cell>
          <cell r="L83">
            <v>554059</v>
          </cell>
          <cell r="M83">
            <v>565766</v>
          </cell>
          <cell r="N83">
            <v>577646</v>
          </cell>
          <cell r="O83">
            <v>589314</v>
          </cell>
          <cell r="P83">
            <v>600613</v>
          </cell>
          <cell r="Q83">
            <v>611704</v>
          </cell>
          <cell r="R83">
            <v>622920</v>
          </cell>
          <cell r="S83">
            <v>634742</v>
          </cell>
          <cell r="T83">
            <v>647536</v>
          </cell>
          <cell r="U83">
            <v>661402</v>
          </cell>
          <cell r="V83">
            <v>676255</v>
          </cell>
          <cell r="W83">
            <v>692077</v>
          </cell>
          <cell r="X83">
            <v>708788</v>
          </cell>
          <cell r="Y83">
            <v>726328</v>
          </cell>
          <cell r="Z83">
            <v>744696</v>
          </cell>
          <cell r="AA83">
            <v>763930</v>
          </cell>
          <cell r="AB83">
            <v>784061</v>
          </cell>
          <cell r="AC83">
            <v>805115</v>
          </cell>
          <cell r="AD83">
            <v>827108</v>
          </cell>
          <cell r="AE83">
            <v>850048</v>
          </cell>
          <cell r="AF83">
            <v>873867</v>
          </cell>
          <cell r="AG83">
            <v>898469</v>
          </cell>
          <cell r="AH83">
            <v>923711</v>
          </cell>
          <cell r="AI83">
            <v>949488</v>
          </cell>
          <cell r="AJ83">
            <v>975783</v>
          </cell>
          <cell r="AK83">
            <v>1002579</v>
          </cell>
          <cell r="AL83">
            <v>1029778</v>
          </cell>
          <cell r="AM83">
            <v>1057255</v>
          </cell>
          <cell r="AN83">
            <v>1084946</v>
          </cell>
          <cell r="AO83">
            <v>1112955</v>
          </cell>
          <cell r="AP83">
            <v>1141338</v>
          </cell>
          <cell r="AQ83">
            <v>1170061</v>
          </cell>
          <cell r="AR83">
            <v>1199052</v>
          </cell>
          <cell r="AS83">
            <v>1228360</v>
          </cell>
          <cell r="AT83">
            <v>1258003</v>
          </cell>
          <cell r="AU83">
            <v>1288315</v>
          </cell>
          <cell r="AV83">
            <v>1319953</v>
          </cell>
          <cell r="AW83">
            <v>1353795</v>
          </cell>
          <cell r="AX83">
            <v>1390549</v>
          </cell>
          <cell r="AY83">
            <v>1430152</v>
          </cell>
          <cell r="AZ83">
            <v>1472575</v>
          </cell>
          <cell r="BA83">
            <v>1518540</v>
          </cell>
          <cell r="BB83">
            <v>1568928</v>
          </cell>
          <cell r="BC83">
            <v>1624140</v>
          </cell>
          <cell r="BD83">
            <v>1684635</v>
          </cell>
          <cell r="BE83">
            <v>1749682</v>
          </cell>
          <cell r="BF83">
            <v>1817071</v>
          </cell>
          <cell r="BG83">
            <v>1883800</v>
          </cell>
          <cell r="BH83">
            <v>1947686</v>
          </cell>
          <cell r="BI83">
            <v>2007873</v>
          </cell>
          <cell r="BJ83">
            <v>2064823</v>
          </cell>
          <cell r="BK83">
            <v>2119275</v>
          </cell>
        </row>
        <row r="84">
          <cell r="B84" t="str">
            <v>GBR</v>
          </cell>
          <cell r="C84" t="str">
            <v>Population, total</v>
          </cell>
          <cell r="D84" t="str">
            <v>SP.POP.TOTL</v>
          </cell>
          <cell r="E84">
            <v>52400000</v>
          </cell>
          <cell r="F84">
            <v>52800000</v>
          </cell>
          <cell r="G84">
            <v>53250000</v>
          </cell>
          <cell r="H84">
            <v>53650000</v>
          </cell>
          <cell r="I84">
            <v>54000000</v>
          </cell>
          <cell r="J84">
            <v>54348050</v>
          </cell>
          <cell r="K84">
            <v>54648500</v>
          </cell>
          <cell r="L84">
            <v>54943600</v>
          </cell>
          <cell r="M84">
            <v>55211700</v>
          </cell>
          <cell r="N84">
            <v>55441750</v>
          </cell>
          <cell r="O84">
            <v>55663250</v>
          </cell>
          <cell r="P84">
            <v>55896223</v>
          </cell>
          <cell r="Q84">
            <v>56086065</v>
          </cell>
          <cell r="R84">
            <v>56194527</v>
          </cell>
          <cell r="S84">
            <v>56229974</v>
          </cell>
          <cell r="T84">
            <v>56225800</v>
          </cell>
          <cell r="U84">
            <v>56211968</v>
          </cell>
          <cell r="V84">
            <v>56193492</v>
          </cell>
          <cell r="W84">
            <v>56196504</v>
          </cell>
          <cell r="X84">
            <v>56246951</v>
          </cell>
          <cell r="Y84">
            <v>56314216</v>
          </cell>
          <cell r="Z84">
            <v>56333829</v>
          </cell>
          <cell r="AA84">
            <v>56313641</v>
          </cell>
          <cell r="AB84">
            <v>56332848</v>
          </cell>
          <cell r="AC84">
            <v>56422072</v>
          </cell>
          <cell r="AD84">
            <v>56550268</v>
          </cell>
          <cell r="AE84">
            <v>56681396</v>
          </cell>
          <cell r="AF84">
            <v>56802050</v>
          </cell>
          <cell r="AG84">
            <v>56928327</v>
          </cell>
          <cell r="AH84">
            <v>57076711</v>
          </cell>
          <cell r="AI84">
            <v>57247586</v>
          </cell>
          <cell r="AJ84">
            <v>57424897</v>
          </cell>
          <cell r="AK84">
            <v>57580402</v>
          </cell>
          <cell r="AL84">
            <v>57718614</v>
          </cell>
          <cell r="AM84">
            <v>57865745</v>
          </cell>
          <cell r="AN84">
            <v>58019030</v>
          </cell>
          <cell r="AO84">
            <v>58166950</v>
          </cell>
          <cell r="AP84">
            <v>58316954</v>
          </cell>
          <cell r="AQ84">
            <v>58487141</v>
          </cell>
          <cell r="AR84">
            <v>58682466</v>
          </cell>
          <cell r="AS84">
            <v>58892514</v>
          </cell>
          <cell r="AT84">
            <v>59119673</v>
          </cell>
          <cell r="AU84">
            <v>59370479</v>
          </cell>
          <cell r="AV84">
            <v>59647577</v>
          </cell>
          <cell r="AW84">
            <v>59987905</v>
          </cell>
          <cell r="AX84">
            <v>60401206</v>
          </cell>
          <cell r="AY84">
            <v>60846820</v>
          </cell>
          <cell r="AZ84">
            <v>61322463</v>
          </cell>
          <cell r="BA84">
            <v>61806995</v>
          </cell>
          <cell r="BB84">
            <v>62276270</v>
          </cell>
          <cell r="BC84">
            <v>62766365</v>
          </cell>
          <cell r="BD84">
            <v>63258810</v>
          </cell>
          <cell r="BE84">
            <v>63700215</v>
          </cell>
          <cell r="BF84">
            <v>64128273</v>
          </cell>
          <cell r="BG84">
            <v>64602298</v>
          </cell>
          <cell r="BH84">
            <v>65116219</v>
          </cell>
          <cell r="BI84">
            <v>65611593</v>
          </cell>
          <cell r="BJ84">
            <v>66058859</v>
          </cell>
          <cell r="BK84">
            <v>66460344</v>
          </cell>
        </row>
        <row r="85">
          <cell r="B85" t="str">
            <v>GEO</v>
          </cell>
          <cell r="C85" t="str">
            <v>Population, total</v>
          </cell>
          <cell r="D85" t="str">
            <v>SP.POP.TOTL</v>
          </cell>
          <cell r="E85">
            <v>3645600</v>
          </cell>
          <cell r="F85">
            <v>3703600</v>
          </cell>
          <cell r="G85">
            <v>3760300</v>
          </cell>
          <cell r="H85">
            <v>3816100</v>
          </cell>
          <cell r="I85">
            <v>3870300</v>
          </cell>
          <cell r="J85">
            <v>3921600</v>
          </cell>
          <cell r="K85">
            <v>3966700</v>
          </cell>
          <cell r="L85">
            <v>4005800</v>
          </cell>
          <cell r="M85">
            <v>4042300</v>
          </cell>
          <cell r="N85">
            <v>4080300</v>
          </cell>
          <cell r="O85">
            <v>4119900</v>
          </cell>
          <cell r="P85">
            <v>4163000</v>
          </cell>
          <cell r="Q85">
            <v>4205300</v>
          </cell>
          <cell r="R85">
            <v>4242500</v>
          </cell>
          <cell r="S85">
            <v>4279500</v>
          </cell>
          <cell r="T85">
            <v>4311200</v>
          </cell>
          <cell r="U85">
            <v>4342400</v>
          </cell>
          <cell r="V85">
            <v>4372100</v>
          </cell>
          <cell r="W85">
            <v>4397700</v>
          </cell>
          <cell r="X85">
            <v>4430200</v>
          </cell>
          <cell r="Y85">
            <v>4467700</v>
          </cell>
          <cell r="Z85">
            <v>4504500</v>
          </cell>
          <cell r="AA85">
            <v>4542800</v>
          </cell>
          <cell r="AB85">
            <v>4582900</v>
          </cell>
          <cell r="AC85">
            <v>4622200</v>
          </cell>
          <cell r="AD85">
            <v>4662900</v>
          </cell>
          <cell r="AE85">
            <v>4704500</v>
          </cell>
          <cell r="AF85">
            <v>4743500</v>
          </cell>
          <cell r="AG85">
            <v>4790700</v>
          </cell>
          <cell r="AH85">
            <v>4803300</v>
          </cell>
          <cell r="AI85">
            <v>4802000</v>
          </cell>
          <cell r="AJ85">
            <v>4835900</v>
          </cell>
          <cell r="AK85">
            <v>4873500</v>
          </cell>
          <cell r="AL85">
            <v>4911100</v>
          </cell>
          <cell r="AM85">
            <v>4836076</v>
          </cell>
          <cell r="AN85">
            <v>4657722</v>
          </cell>
          <cell r="AO85">
            <v>4491699</v>
          </cell>
          <cell r="AP85">
            <v>4349913</v>
          </cell>
          <cell r="AQ85">
            <v>4243607</v>
          </cell>
          <cell r="AR85">
            <v>4157192</v>
          </cell>
          <cell r="AS85">
            <v>4077131</v>
          </cell>
          <cell r="AT85">
            <v>4014373</v>
          </cell>
          <cell r="AU85">
            <v>3978515</v>
          </cell>
          <cell r="AV85">
            <v>3951736</v>
          </cell>
          <cell r="AW85">
            <v>3927340</v>
          </cell>
          <cell r="AX85">
            <v>3902469</v>
          </cell>
          <cell r="AY85">
            <v>3880347</v>
          </cell>
          <cell r="AZ85">
            <v>3860158</v>
          </cell>
          <cell r="BA85">
            <v>3848449</v>
          </cell>
          <cell r="BB85">
            <v>3814419</v>
          </cell>
          <cell r="BC85">
            <v>3786695</v>
          </cell>
          <cell r="BD85">
            <v>3756441</v>
          </cell>
          <cell r="BE85">
            <v>3728874</v>
          </cell>
          <cell r="BF85">
            <v>3717668</v>
          </cell>
          <cell r="BG85">
            <v>3719414</v>
          </cell>
          <cell r="BH85">
            <v>3725276</v>
          </cell>
          <cell r="BI85">
            <v>3727505</v>
          </cell>
          <cell r="BJ85">
            <v>3728004</v>
          </cell>
          <cell r="BK85">
            <v>3726549</v>
          </cell>
        </row>
        <row r="86">
          <cell r="B86" t="str">
            <v>GHA</v>
          </cell>
          <cell r="C86" t="str">
            <v>Population, total</v>
          </cell>
          <cell r="D86" t="str">
            <v>SP.POP.TOTL</v>
          </cell>
          <cell r="E86">
            <v>6635230</v>
          </cell>
          <cell r="F86">
            <v>6848295</v>
          </cell>
          <cell r="G86">
            <v>7071971</v>
          </cell>
          <cell r="H86">
            <v>7300116</v>
          </cell>
          <cell r="I86">
            <v>7524472</v>
          </cell>
          <cell r="J86">
            <v>7739473</v>
          </cell>
          <cell r="K86">
            <v>7941412</v>
          </cell>
          <cell r="L86">
            <v>8132803</v>
          </cell>
          <cell r="M86">
            <v>8321770</v>
          </cell>
          <cell r="N86">
            <v>8520015</v>
          </cell>
          <cell r="O86">
            <v>8735495</v>
          </cell>
          <cell r="P86">
            <v>8973244</v>
          </cell>
          <cell r="Q86">
            <v>9229631</v>
          </cell>
          <cell r="R86">
            <v>9493556</v>
          </cell>
          <cell r="S86">
            <v>9749104</v>
          </cell>
          <cell r="T86">
            <v>9985946</v>
          </cell>
          <cell r="U86">
            <v>10199165</v>
          </cell>
          <cell r="V86">
            <v>10395452</v>
          </cell>
          <cell r="W86">
            <v>10590261</v>
          </cell>
          <cell r="X86">
            <v>10805314</v>
          </cell>
          <cell r="Y86">
            <v>11056116</v>
          </cell>
          <cell r="Z86">
            <v>11348289</v>
          </cell>
          <cell r="AA86">
            <v>11676823</v>
          </cell>
          <cell r="AB86">
            <v>12033575</v>
          </cell>
          <cell r="AC86">
            <v>12405660</v>
          </cell>
          <cell r="AD86">
            <v>12783613</v>
          </cell>
          <cell r="AE86">
            <v>13164837</v>
          </cell>
          <cell r="AF86">
            <v>13552021</v>
          </cell>
          <cell r="AG86">
            <v>13947042</v>
          </cell>
          <cell r="AH86">
            <v>14353410</v>
          </cell>
          <cell r="AI86">
            <v>14773277</v>
          </cell>
          <cell r="AJ86">
            <v>15207367</v>
          </cell>
          <cell r="AK86">
            <v>15653336</v>
          </cell>
          <cell r="AL86">
            <v>16106765</v>
          </cell>
          <cell r="AM86">
            <v>16561674</v>
          </cell>
          <cell r="AN86">
            <v>17014057</v>
          </cell>
          <cell r="AO86">
            <v>17462496</v>
          </cell>
          <cell r="AP86">
            <v>17908985</v>
          </cell>
          <cell r="AQ86">
            <v>18357156</v>
          </cell>
          <cell r="AR86">
            <v>18812359</v>
          </cell>
          <cell r="AS86">
            <v>19278856</v>
          </cell>
          <cell r="AT86">
            <v>19756928</v>
          </cell>
          <cell r="AU86">
            <v>20246381</v>
          </cell>
          <cell r="AV86">
            <v>20750299</v>
          </cell>
          <cell r="AW86">
            <v>21272323</v>
          </cell>
          <cell r="AX86">
            <v>21814642</v>
          </cell>
          <cell r="AY86">
            <v>22379055</v>
          </cell>
          <cell r="AZ86">
            <v>22963946</v>
          </cell>
          <cell r="BA86">
            <v>23563825</v>
          </cell>
          <cell r="BB86">
            <v>24170940</v>
          </cell>
          <cell r="BC86">
            <v>24779619</v>
          </cell>
          <cell r="BD86">
            <v>25387710</v>
          </cell>
          <cell r="BE86">
            <v>25996449</v>
          </cell>
          <cell r="BF86">
            <v>26607642</v>
          </cell>
          <cell r="BG86">
            <v>27224472</v>
          </cell>
          <cell r="BH86">
            <v>27849205</v>
          </cell>
          <cell r="BI86">
            <v>28481946</v>
          </cell>
          <cell r="BJ86">
            <v>29121471</v>
          </cell>
          <cell r="BK86">
            <v>29767108</v>
          </cell>
        </row>
        <row r="87">
          <cell r="B87" t="str">
            <v>GIB</v>
          </cell>
          <cell r="C87" t="str">
            <v>Population, total</v>
          </cell>
          <cell r="D87" t="str">
            <v>SP.POP.TOTL</v>
          </cell>
          <cell r="E87">
            <v>23420</v>
          </cell>
          <cell r="F87">
            <v>23813</v>
          </cell>
          <cell r="G87">
            <v>24313</v>
          </cell>
          <cell r="H87">
            <v>24889</v>
          </cell>
          <cell r="I87">
            <v>25479</v>
          </cell>
          <cell r="J87">
            <v>26073</v>
          </cell>
          <cell r="K87">
            <v>26633</v>
          </cell>
          <cell r="L87">
            <v>27173</v>
          </cell>
          <cell r="M87">
            <v>27685</v>
          </cell>
          <cell r="N87">
            <v>28166</v>
          </cell>
          <cell r="O87">
            <v>28606</v>
          </cell>
          <cell r="P87">
            <v>29006</v>
          </cell>
          <cell r="Q87">
            <v>29358</v>
          </cell>
          <cell r="R87">
            <v>29650</v>
          </cell>
          <cell r="S87">
            <v>29886</v>
          </cell>
          <cell r="T87">
            <v>30067</v>
          </cell>
          <cell r="U87">
            <v>30180</v>
          </cell>
          <cell r="V87">
            <v>30234</v>
          </cell>
          <cell r="W87">
            <v>30232</v>
          </cell>
          <cell r="X87">
            <v>30169</v>
          </cell>
          <cell r="Y87">
            <v>30065</v>
          </cell>
          <cell r="Z87">
            <v>29902</v>
          </cell>
          <cell r="AA87">
            <v>29691</v>
          </cell>
          <cell r="AB87">
            <v>29482</v>
          </cell>
          <cell r="AC87">
            <v>29283</v>
          </cell>
          <cell r="AD87">
            <v>29154</v>
          </cell>
          <cell r="AE87">
            <v>29094</v>
          </cell>
          <cell r="AF87">
            <v>29115</v>
          </cell>
          <cell r="AG87">
            <v>29159</v>
          </cell>
          <cell r="AH87">
            <v>29187</v>
          </cell>
          <cell r="AI87">
            <v>29147</v>
          </cell>
          <cell r="AJ87">
            <v>29022</v>
          </cell>
          <cell r="AK87">
            <v>28840</v>
          </cell>
          <cell r="AL87">
            <v>28675</v>
          </cell>
          <cell r="AM87">
            <v>28602</v>
          </cell>
          <cell r="AN87">
            <v>28692</v>
          </cell>
          <cell r="AO87">
            <v>28971</v>
          </cell>
          <cell r="AP87">
            <v>29408</v>
          </cell>
          <cell r="AQ87">
            <v>29947</v>
          </cell>
          <cell r="AR87">
            <v>30529</v>
          </cell>
          <cell r="AS87">
            <v>31077</v>
          </cell>
          <cell r="AT87">
            <v>31602</v>
          </cell>
          <cell r="AU87">
            <v>32102</v>
          </cell>
          <cell r="AV87">
            <v>32555</v>
          </cell>
          <cell r="AW87">
            <v>32928</v>
          </cell>
          <cell r="AX87">
            <v>33219</v>
          </cell>
          <cell r="AY87">
            <v>33417</v>
          </cell>
          <cell r="AZ87">
            <v>33517</v>
          </cell>
          <cell r="BA87">
            <v>33559</v>
          </cell>
          <cell r="BB87">
            <v>33565</v>
          </cell>
          <cell r="BC87">
            <v>33585</v>
          </cell>
          <cell r="BD87">
            <v>33612</v>
          </cell>
          <cell r="BE87">
            <v>33646</v>
          </cell>
          <cell r="BF87">
            <v>33692</v>
          </cell>
          <cell r="BG87">
            <v>33725</v>
          </cell>
          <cell r="BH87">
            <v>33736</v>
          </cell>
          <cell r="BI87">
            <v>33737</v>
          </cell>
          <cell r="BJ87">
            <v>33728</v>
          </cell>
          <cell r="BK87">
            <v>33718</v>
          </cell>
        </row>
        <row r="88">
          <cell r="B88" t="str">
            <v>GIN</v>
          </cell>
          <cell r="C88" t="str">
            <v>Population, total</v>
          </cell>
          <cell r="D88" t="str">
            <v>SP.POP.TOTL</v>
          </cell>
          <cell r="E88">
            <v>3494162</v>
          </cell>
          <cell r="F88">
            <v>3552065</v>
          </cell>
          <cell r="G88">
            <v>3611429</v>
          </cell>
          <cell r="H88">
            <v>3672556</v>
          </cell>
          <cell r="I88">
            <v>3735916</v>
          </cell>
          <cell r="J88">
            <v>3801705</v>
          </cell>
          <cell r="K88">
            <v>3870203</v>
          </cell>
          <cell r="L88">
            <v>3941053</v>
          </cell>
          <cell r="M88">
            <v>4013055</v>
          </cell>
          <cell r="N88">
            <v>4084600</v>
          </cell>
          <cell r="O88">
            <v>4154605</v>
          </cell>
          <cell r="P88">
            <v>4223051</v>
          </cell>
          <cell r="Q88">
            <v>4290534</v>
          </cell>
          <cell r="R88">
            <v>4357357</v>
          </cell>
          <cell r="S88">
            <v>4424030</v>
          </cell>
          <cell r="T88">
            <v>4491248</v>
          </cell>
          <cell r="U88">
            <v>4559242</v>
          </cell>
          <cell r="V88">
            <v>4628877</v>
          </cell>
          <cell r="W88">
            <v>4702376</v>
          </cell>
          <cell r="X88">
            <v>4782495</v>
          </cell>
          <cell r="Y88">
            <v>4871435</v>
          </cell>
          <cell r="Z88">
            <v>4969592</v>
          </cell>
          <cell r="AA88">
            <v>5077082</v>
          </cell>
          <cell r="AB88">
            <v>5195445</v>
          </cell>
          <cell r="AC88">
            <v>5326362</v>
          </cell>
          <cell r="AD88">
            <v>5470702</v>
          </cell>
          <cell r="AE88">
            <v>5629418</v>
          </cell>
          <cell r="AF88">
            <v>5801326</v>
          </cell>
          <cell r="AG88">
            <v>5982486</v>
          </cell>
          <cell r="AH88">
            <v>6167475</v>
          </cell>
          <cell r="AI88">
            <v>6352283</v>
          </cell>
          <cell r="AJ88">
            <v>6534939</v>
          </cell>
          <cell r="AK88">
            <v>6716038</v>
          </cell>
          <cell r="AL88">
            <v>6897166</v>
          </cell>
          <cell r="AM88">
            <v>7081116</v>
          </cell>
          <cell r="AN88">
            <v>7269625</v>
          </cell>
          <cell r="AO88">
            <v>7463782</v>
          </cell>
          <cell r="AP88">
            <v>7662075</v>
          </cell>
          <cell r="AQ88">
            <v>7860781</v>
          </cell>
          <cell r="AR88">
            <v>8054743</v>
          </cell>
          <cell r="AS88">
            <v>8240730</v>
          </cell>
          <cell r="AT88">
            <v>8417081</v>
          </cell>
          <cell r="AU88">
            <v>8586074</v>
          </cell>
          <cell r="AV88">
            <v>8753093</v>
          </cell>
          <cell r="AW88">
            <v>8925743</v>
          </cell>
          <cell r="AX88">
            <v>9109581</v>
          </cell>
          <cell r="AY88">
            <v>9307425</v>
          </cell>
          <cell r="AZ88">
            <v>9518162</v>
          </cell>
          <cell r="BA88">
            <v>9738792</v>
          </cell>
          <cell r="BB88">
            <v>9964469</v>
          </cell>
          <cell r="BC88">
            <v>10192176</v>
          </cell>
          <cell r="BD88">
            <v>10420471</v>
          </cell>
          <cell r="BE88">
            <v>10652029</v>
          </cell>
          <cell r="BF88">
            <v>10892810</v>
          </cell>
          <cell r="BG88">
            <v>11150977</v>
          </cell>
          <cell r="BH88">
            <v>11432088</v>
          </cell>
          <cell r="BI88">
            <v>11738441</v>
          </cell>
          <cell r="BJ88">
            <v>12067539</v>
          </cell>
          <cell r="BK88">
            <v>12414318</v>
          </cell>
        </row>
        <row r="89">
          <cell r="B89" t="str">
            <v>GMB</v>
          </cell>
          <cell r="C89" t="str">
            <v>Population, total</v>
          </cell>
          <cell r="D89" t="str">
            <v>SP.POP.TOTL</v>
          </cell>
          <cell r="E89">
            <v>365047</v>
          </cell>
          <cell r="F89">
            <v>372445</v>
          </cell>
          <cell r="G89">
            <v>379894</v>
          </cell>
          <cell r="H89">
            <v>387641</v>
          </cell>
          <cell r="I89">
            <v>396011</v>
          </cell>
          <cell r="J89">
            <v>405259</v>
          </cell>
          <cell r="K89">
            <v>415478</v>
          </cell>
          <cell r="L89">
            <v>426629</v>
          </cell>
          <cell r="M89">
            <v>438603</v>
          </cell>
          <cell r="N89">
            <v>451228</v>
          </cell>
          <cell r="O89">
            <v>464410</v>
          </cell>
          <cell r="P89">
            <v>478116</v>
          </cell>
          <cell r="Q89">
            <v>492426</v>
          </cell>
          <cell r="R89">
            <v>507432</v>
          </cell>
          <cell r="S89">
            <v>523251</v>
          </cell>
          <cell r="T89">
            <v>539979</v>
          </cell>
          <cell r="U89">
            <v>557805</v>
          </cell>
          <cell r="V89">
            <v>576757</v>
          </cell>
          <cell r="W89">
            <v>596536</v>
          </cell>
          <cell r="X89">
            <v>616768</v>
          </cell>
          <cell r="Y89">
            <v>637246</v>
          </cell>
          <cell r="Z89">
            <v>657579</v>
          </cell>
          <cell r="AA89">
            <v>678113</v>
          </cell>
          <cell r="AB89">
            <v>700199</v>
          </cell>
          <cell r="AC89">
            <v>725694</v>
          </cell>
          <cell r="AD89">
            <v>755787</v>
          </cell>
          <cell r="AE89">
            <v>791147</v>
          </cell>
          <cell r="AF89">
            <v>831023</v>
          </cell>
          <cell r="AG89">
            <v>873444</v>
          </cell>
          <cell r="AH89">
            <v>915635</v>
          </cell>
          <cell r="AI89">
            <v>955593</v>
          </cell>
          <cell r="AJ89">
            <v>992673</v>
          </cell>
          <cell r="AK89">
            <v>1027475</v>
          </cell>
          <cell r="AL89">
            <v>1060862</v>
          </cell>
          <cell r="AM89">
            <v>1094212</v>
          </cell>
          <cell r="AN89">
            <v>1128575</v>
          </cell>
          <cell r="AO89">
            <v>1164091</v>
          </cell>
          <cell r="AP89">
            <v>1200526</v>
          </cell>
          <cell r="AQ89">
            <v>1238125</v>
          </cell>
          <cell r="AR89">
            <v>1277133</v>
          </cell>
          <cell r="AS89">
            <v>1317703</v>
          </cell>
          <cell r="AT89">
            <v>1360074</v>
          </cell>
          <cell r="AU89">
            <v>1404261</v>
          </cell>
          <cell r="AV89">
            <v>1449925</v>
          </cell>
          <cell r="AW89">
            <v>1496527</v>
          </cell>
          <cell r="AX89">
            <v>1543741</v>
          </cell>
          <cell r="AY89">
            <v>1591445</v>
          </cell>
          <cell r="AZ89">
            <v>1639848</v>
          </cell>
          <cell r="BA89">
            <v>1689285</v>
          </cell>
          <cell r="BB89">
            <v>1740279</v>
          </cell>
          <cell r="BC89">
            <v>1793196</v>
          </cell>
          <cell r="BD89">
            <v>1848147</v>
          </cell>
          <cell r="BE89">
            <v>1905011</v>
          </cell>
          <cell r="BF89">
            <v>1963711</v>
          </cell>
          <cell r="BG89">
            <v>2024042</v>
          </cell>
          <cell r="BH89">
            <v>2085860</v>
          </cell>
          <cell r="BI89">
            <v>2149139</v>
          </cell>
          <cell r="BJ89">
            <v>2213894</v>
          </cell>
          <cell r="BK89">
            <v>2280102</v>
          </cell>
        </row>
        <row r="90">
          <cell r="B90" t="str">
            <v>GNB</v>
          </cell>
          <cell r="C90" t="str">
            <v>Population, total</v>
          </cell>
          <cell r="D90" t="str">
            <v>SP.POP.TOTL</v>
          </cell>
          <cell r="E90">
            <v>616136</v>
          </cell>
          <cell r="F90">
            <v>622761</v>
          </cell>
          <cell r="G90">
            <v>628883</v>
          </cell>
          <cell r="H90">
            <v>635011</v>
          </cell>
          <cell r="I90">
            <v>641812</v>
          </cell>
          <cell r="J90">
            <v>649790</v>
          </cell>
          <cell r="K90">
            <v>658994</v>
          </cell>
          <cell r="L90">
            <v>669237</v>
          </cell>
          <cell r="M90">
            <v>680432</v>
          </cell>
          <cell r="N90">
            <v>692407</v>
          </cell>
          <cell r="O90">
            <v>704939</v>
          </cell>
          <cell r="P90">
            <v>718364</v>
          </cell>
          <cell r="Q90">
            <v>732523</v>
          </cell>
          <cell r="R90">
            <v>746173</v>
          </cell>
          <cell r="S90">
            <v>757674</v>
          </cell>
          <cell r="T90">
            <v>765989</v>
          </cell>
          <cell r="U90">
            <v>770421</v>
          </cell>
          <cell r="V90">
            <v>771737</v>
          </cell>
          <cell r="W90">
            <v>772142</v>
          </cell>
          <cell r="X90">
            <v>774726</v>
          </cell>
          <cell r="Y90">
            <v>781677</v>
          </cell>
          <cell r="Z90">
            <v>793806</v>
          </cell>
          <cell r="AA90">
            <v>810405</v>
          </cell>
          <cell r="AB90">
            <v>830207</v>
          </cell>
          <cell r="AC90">
            <v>851276</v>
          </cell>
          <cell r="AD90">
            <v>872163</v>
          </cell>
          <cell r="AE90">
            <v>892522</v>
          </cell>
          <cell r="AF90">
            <v>912754</v>
          </cell>
          <cell r="AG90">
            <v>933045</v>
          </cell>
          <cell r="AH90">
            <v>953790</v>
          </cell>
          <cell r="AI90">
            <v>975261</v>
          </cell>
          <cell r="AJ90">
            <v>997522</v>
          </cell>
          <cell r="AK90">
            <v>1020350</v>
          </cell>
          <cell r="AL90">
            <v>1043423</v>
          </cell>
          <cell r="AM90">
            <v>1066346</v>
          </cell>
          <cell r="AN90">
            <v>1088854</v>
          </cell>
          <cell r="AO90">
            <v>1110833</v>
          </cell>
          <cell r="AP90">
            <v>1132510</v>
          </cell>
          <cell r="AQ90">
            <v>1154371</v>
          </cell>
          <cell r="AR90">
            <v>1177131</v>
          </cell>
          <cell r="AS90">
            <v>1201301</v>
          </cell>
          <cell r="AT90">
            <v>1227106</v>
          </cell>
          <cell r="AU90">
            <v>1254453</v>
          </cell>
          <cell r="AV90">
            <v>1283305</v>
          </cell>
          <cell r="AW90">
            <v>1313492</v>
          </cell>
          <cell r="AX90">
            <v>1344930</v>
          </cell>
          <cell r="AY90">
            <v>1377581</v>
          </cell>
          <cell r="AZ90">
            <v>1411543</v>
          </cell>
          <cell r="BA90">
            <v>1446936</v>
          </cell>
          <cell r="BB90">
            <v>1483921</v>
          </cell>
          <cell r="BC90">
            <v>1522599</v>
          </cell>
          <cell r="BD90">
            <v>1562989</v>
          </cell>
          <cell r="BE90">
            <v>1604979</v>
          </cell>
          <cell r="BF90">
            <v>1648257</v>
          </cell>
          <cell r="BG90">
            <v>1692439</v>
          </cell>
          <cell r="BH90">
            <v>1737202</v>
          </cell>
          <cell r="BI90">
            <v>1782437</v>
          </cell>
          <cell r="BJ90">
            <v>1828146</v>
          </cell>
          <cell r="BK90">
            <v>1874309</v>
          </cell>
        </row>
        <row r="91">
          <cell r="B91" t="str">
            <v>GNQ</v>
          </cell>
          <cell r="C91" t="str">
            <v>Population, total</v>
          </cell>
          <cell r="D91" t="str">
            <v>SP.POP.TOTL</v>
          </cell>
          <cell r="E91">
            <v>255333</v>
          </cell>
          <cell r="F91">
            <v>258791</v>
          </cell>
          <cell r="G91">
            <v>262219</v>
          </cell>
          <cell r="H91">
            <v>266000</v>
          </cell>
          <cell r="I91">
            <v>270618</v>
          </cell>
          <cell r="J91">
            <v>276300</v>
          </cell>
          <cell r="K91">
            <v>283506</v>
          </cell>
          <cell r="L91">
            <v>291790</v>
          </cell>
          <cell r="M91">
            <v>299413</v>
          </cell>
          <cell r="N91">
            <v>304000</v>
          </cell>
          <cell r="O91">
            <v>303982</v>
          </cell>
          <cell r="P91">
            <v>298846</v>
          </cell>
          <cell r="Q91">
            <v>289501</v>
          </cell>
          <cell r="R91">
            <v>277646</v>
          </cell>
          <cell r="S91">
            <v>265771</v>
          </cell>
          <cell r="T91">
            <v>255800</v>
          </cell>
          <cell r="U91">
            <v>247962</v>
          </cell>
          <cell r="V91">
            <v>242156</v>
          </cell>
          <cell r="W91">
            <v>239678</v>
          </cell>
          <cell r="X91">
            <v>241980</v>
          </cell>
          <cell r="Y91">
            <v>249929</v>
          </cell>
          <cell r="Z91">
            <v>264374</v>
          </cell>
          <cell r="AA91">
            <v>284630</v>
          </cell>
          <cell r="AB91">
            <v>308206</v>
          </cell>
          <cell r="AC91">
            <v>331552</v>
          </cell>
          <cell r="AD91">
            <v>352118</v>
          </cell>
          <cell r="AE91">
            <v>369023</v>
          </cell>
          <cell r="AF91">
            <v>382981</v>
          </cell>
          <cell r="AG91">
            <v>394961</v>
          </cell>
          <cell r="AH91">
            <v>406620</v>
          </cell>
          <cell r="AI91">
            <v>419188</v>
          </cell>
          <cell r="AJ91">
            <v>432853</v>
          </cell>
          <cell r="AK91">
            <v>447266</v>
          </cell>
          <cell r="AL91">
            <v>462637</v>
          </cell>
          <cell r="AM91">
            <v>479098</v>
          </cell>
          <cell r="AN91">
            <v>496768</v>
          </cell>
          <cell r="AO91">
            <v>515853</v>
          </cell>
          <cell r="AP91">
            <v>536460</v>
          </cell>
          <cell r="AQ91">
            <v>558492</v>
          </cell>
          <cell r="AR91">
            <v>581770</v>
          </cell>
          <cell r="AS91">
            <v>606181</v>
          </cell>
          <cell r="AT91">
            <v>631666</v>
          </cell>
          <cell r="AU91">
            <v>658384</v>
          </cell>
          <cell r="AV91">
            <v>686664</v>
          </cell>
          <cell r="AW91">
            <v>716949</v>
          </cell>
          <cell r="AX91">
            <v>749535</v>
          </cell>
          <cell r="AY91">
            <v>784496</v>
          </cell>
          <cell r="AZ91">
            <v>821687</v>
          </cell>
          <cell r="BA91">
            <v>860840</v>
          </cell>
          <cell r="BB91">
            <v>901599</v>
          </cell>
          <cell r="BC91">
            <v>943639</v>
          </cell>
          <cell r="BD91">
            <v>986853</v>
          </cell>
          <cell r="BE91">
            <v>1031191</v>
          </cell>
          <cell r="BF91">
            <v>1076413</v>
          </cell>
          <cell r="BG91">
            <v>1122276</v>
          </cell>
          <cell r="BH91">
            <v>1168568</v>
          </cell>
          <cell r="BI91">
            <v>1215179</v>
          </cell>
          <cell r="BJ91">
            <v>1262001</v>
          </cell>
          <cell r="BK91">
            <v>1308974</v>
          </cell>
        </row>
        <row r="92">
          <cell r="B92" t="str">
            <v>GRC</v>
          </cell>
          <cell r="C92" t="str">
            <v>Population, total</v>
          </cell>
          <cell r="D92" t="str">
            <v>SP.POP.TOTL</v>
          </cell>
          <cell r="E92">
            <v>8331725</v>
          </cell>
          <cell r="F92">
            <v>8398050</v>
          </cell>
          <cell r="G92">
            <v>8448233</v>
          </cell>
          <cell r="H92">
            <v>8479625</v>
          </cell>
          <cell r="I92">
            <v>8510429</v>
          </cell>
          <cell r="J92">
            <v>8550333</v>
          </cell>
          <cell r="K92">
            <v>8613651</v>
          </cell>
          <cell r="L92">
            <v>8684088</v>
          </cell>
          <cell r="M92">
            <v>8740765</v>
          </cell>
          <cell r="N92">
            <v>8772764</v>
          </cell>
          <cell r="O92">
            <v>8792806</v>
          </cell>
          <cell r="P92">
            <v>8831036</v>
          </cell>
          <cell r="Q92">
            <v>8888628</v>
          </cell>
          <cell r="R92">
            <v>8929086</v>
          </cell>
          <cell r="S92">
            <v>8962022</v>
          </cell>
          <cell r="T92">
            <v>9046541</v>
          </cell>
          <cell r="U92">
            <v>9188150</v>
          </cell>
          <cell r="V92">
            <v>9308479</v>
          </cell>
          <cell r="W92">
            <v>9429959</v>
          </cell>
          <cell r="X92">
            <v>9548258</v>
          </cell>
          <cell r="Y92">
            <v>9642505</v>
          </cell>
          <cell r="Z92">
            <v>9729350</v>
          </cell>
          <cell r="AA92">
            <v>9789513</v>
          </cell>
          <cell r="AB92">
            <v>9846627</v>
          </cell>
          <cell r="AC92">
            <v>9895801</v>
          </cell>
          <cell r="AD92">
            <v>9934300</v>
          </cell>
          <cell r="AE92">
            <v>9967213</v>
          </cell>
          <cell r="AF92">
            <v>10000595</v>
          </cell>
          <cell r="AG92">
            <v>10036983</v>
          </cell>
          <cell r="AH92">
            <v>10089498</v>
          </cell>
          <cell r="AI92">
            <v>10196792</v>
          </cell>
          <cell r="AJ92">
            <v>10319927</v>
          </cell>
          <cell r="AK92">
            <v>10399061</v>
          </cell>
          <cell r="AL92">
            <v>10460415</v>
          </cell>
          <cell r="AM92">
            <v>10512922</v>
          </cell>
          <cell r="AN92">
            <v>10562153</v>
          </cell>
          <cell r="AO92">
            <v>10608800</v>
          </cell>
          <cell r="AP92">
            <v>10661259</v>
          </cell>
          <cell r="AQ92">
            <v>10720509</v>
          </cell>
          <cell r="AR92">
            <v>10761698</v>
          </cell>
          <cell r="AS92">
            <v>10805808</v>
          </cell>
          <cell r="AT92">
            <v>10862132</v>
          </cell>
          <cell r="AU92">
            <v>10902022</v>
          </cell>
          <cell r="AV92">
            <v>10928070</v>
          </cell>
          <cell r="AW92">
            <v>10955141</v>
          </cell>
          <cell r="AX92">
            <v>10987314</v>
          </cell>
          <cell r="AY92">
            <v>11020362</v>
          </cell>
          <cell r="AZ92">
            <v>11048473</v>
          </cell>
          <cell r="BA92">
            <v>11077841</v>
          </cell>
          <cell r="BB92">
            <v>11107017</v>
          </cell>
          <cell r="BC92">
            <v>11121341</v>
          </cell>
          <cell r="BD92">
            <v>11104899</v>
          </cell>
          <cell r="BE92">
            <v>11045011</v>
          </cell>
          <cell r="BF92">
            <v>10965211</v>
          </cell>
          <cell r="BG92">
            <v>10892413</v>
          </cell>
          <cell r="BH92">
            <v>10820883</v>
          </cell>
          <cell r="BI92">
            <v>10775971</v>
          </cell>
          <cell r="BJ92">
            <v>10754679</v>
          </cell>
          <cell r="BK92">
            <v>10731726</v>
          </cell>
        </row>
        <row r="93">
          <cell r="B93" t="str">
            <v>GRD</v>
          </cell>
          <cell r="C93" t="str">
            <v>Population, total</v>
          </cell>
          <cell r="D93" t="str">
            <v>SP.POP.TOTL</v>
          </cell>
          <cell r="E93">
            <v>89932</v>
          </cell>
          <cell r="F93">
            <v>91327</v>
          </cell>
          <cell r="G93">
            <v>92484</v>
          </cell>
          <cell r="H93">
            <v>93413</v>
          </cell>
          <cell r="I93">
            <v>94123</v>
          </cell>
          <cell r="J93">
            <v>94636</v>
          </cell>
          <cell r="K93">
            <v>94934</v>
          </cell>
          <cell r="L93">
            <v>95020</v>
          </cell>
          <cell r="M93">
            <v>94927</v>
          </cell>
          <cell r="N93">
            <v>94728</v>
          </cell>
          <cell r="O93">
            <v>94475</v>
          </cell>
          <cell r="P93">
            <v>94221</v>
          </cell>
          <cell r="Q93">
            <v>93983</v>
          </cell>
          <cell r="R93">
            <v>93669</v>
          </cell>
          <cell r="S93">
            <v>93191</v>
          </cell>
          <cell r="T93">
            <v>92494</v>
          </cell>
          <cell r="U93">
            <v>91475</v>
          </cell>
          <cell r="V93">
            <v>90227</v>
          </cell>
          <cell r="W93">
            <v>89101</v>
          </cell>
          <cell r="X93">
            <v>88600</v>
          </cell>
          <cell r="Y93">
            <v>89032</v>
          </cell>
          <cell r="Z93">
            <v>90607</v>
          </cell>
          <cell r="AA93">
            <v>93122</v>
          </cell>
          <cell r="AB93">
            <v>96019</v>
          </cell>
          <cell r="AC93">
            <v>98477</v>
          </cell>
          <cell r="AD93">
            <v>99946</v>
          </cell>
          <cell r="AE93">
            <v>100191</v>
          </cell>
          <cell r="AF93">
            <v>99436</v>
          </cell>
          <cell r="AG93">
            <v>98120</v>
          </cell>
          <cell r="AH93">
            <v>96924</v>
          </cell>
          <cell r="AI93">
            <v>96331</v>
          </cell>
          <cell r="AJ93">
            <v>96460</v>
          </cell>
          <cell r="AK93">
            <v>97165</v>
          </cell>
          <cell r="AL93">
            <v>98230</v>
          </cell>
          <cell r="AM93">
            <v>99352</v>
          </cell>
          <cell r="AN93">
            <v>100288</v>
          </cell>
          <cell r="AO93">
            <v>101001</v>
          </cell>
          <cell r="AP93">
            <v>101567</v>
          </cell>
          <cell r="AQ93">
            <v>102021</v>
          </cell>
          <cell r="AR93">
            <v>102432</v>
          </cell>
          <cell r="AS93">
            <v>102833</v>
          </cell>
          <cell r="AT93">
            <v>103249</v>
          </cell>
          <cell r="AU93">
            <v>103634</v>
          </cell>
          <cell r="AV93">
            <v>104005</v>
          </cell>
          <cell r="AW93">
            <v>104347</v>
          </cell>
          <cell r="AX93">
            <v>104661</v>
          </cell>
          <cell r="AY93">
            <v>104933</v>
          </cell>
          <cell r="AZ93">
            <v>105190</v>
          </cell>
          <cell r="BA93">
            <v>105456</v>
          </cell>
          <cell r="BB93">
            <v>105789</v>
          </cell>
          <cell r="BC93">
            <v>106233</v>
          </cell>
          <cell r="BD93">
            <v>106796</v>
          </cell>
          <cell r="BE93">
            <v>107446</v>
          </cell>
          <cell r="BF93">
            <v>108170</v>
          </cell>
          <cell r="BG93">
            <v>108902</v>
          </cell>
          <cell r="BH93">
            <v>109599</v>
          </cell>
          <cell r="BI93">
            <v>110261</v>
          </cell>
          <cell r="BJ93">
            <v>110874</v>
          </cell>
          <cell r="BK93">
            <v>111454</v>
          </cell>
        </row>
        <row r="94">
          <cell r="B94" t="str">
            <v>GRL</v>
          </cell>
          <cell r="C94" t="str">
            <v>Population, total</v>
          </cell>
          <cell r="D94" t="str">
            <v>SP.POP.TOTL</v>
          </cell>
          <cell r="E94">
            <v>32500</v>
          </cell>
          <cell r="F94">
            <v>33700</v>
          </cell>
          <cell r="G94">
            <v>35000</v>
          </cell>
          <cell r="H94">
            <v>36400</v>
          </cell>
          <cell r="I94">
            <v>37600</v>
          </cell>
          <cell r="J94">
            <v>39200</v>
          </cell>
          <cell r="K94">
            <v>40500</v>
          </cell>
          <cell r="L94">
            <v>41900</v>
          </cell>
          <cell r="M94">
            <v>43400</v>
          </cell>
          <cell r="N94">
            <v>44900</v>
          </cell>
          <cell r="O94">
            <v>46400</v>
          </cell>
          <cell r="P94">
            <v>47200</v>
          </cell>
          <cell r="Q94">
            <v>48300</v>
          </cell>
          <cell r="R94">
            <v>49000</v>
          </cell>
          <cell r="S94">
            <v>49500</v>
          </cell>
          <cell r="T94">
            <v>49600</v>
          </cell>
          <cell r="U94">
            <v>49700</v>
          </cell>
          <cell r="V94">
            <v>49400</v>
          </cell>
          <cell r="W94">
            <v>49200</v>
          </cell>
          <cell r="X94">
            <v>49600</v>
          </cell>
          <cell r="Y94">
            <v>50200</v>
          </cell>
          <cell r="Z94">
            <v>51000</v>
          </cell>
          <cell r="AA94">
            <v>51500</v>
          </cell>
          <cell r="AB94">
            <v>52100</v>
          </cell>
          <cell r="AC94">
            <v>52700</v>
          </cell>
          <cell r="AD94">
            <v>53200</v>
          </cell>
          <cell r="AE94">
            <v>53500</v>
          </cell>
          <cell r="AF94">
            <v>54100</v>
          </cell>
          <cell r="AG94">
            <v>54800</v>
          </cell>
          <cell r="AH94">
            <v>55300</v>
          </cell>
          <cell r="AI94">
            <v>55600</v>
          </cell>
          <cell r="AJ94">
            <v>55500</v>
          </cell>
          <cell r="AK94">
            <v>55300</v>
          </cell>
          <cell r="AL94">
            <v>55200</v>
          </cell>
          <cell r="AM94">
            <v>55500</v>
          </cell>
          <cell r="AN94">
            <v>55800</v>
          </cell>
          <cell r="AO94">
            <v>55900</v>
          </cell>
          <cell r="AP94">
            <v>56000</v>
          </cell>
          <cell r="AQ94">
            <v>56100</v>
          </cell>
          <cell r="AR94">
            <v>56100</v>
          </cell>
          <cell r="AS94">
            <v>56200</v>
          </cell>
          <cell r="AT94">
            <v>56350</v>
          </cell>
          <cell r="AU94">
            <v>56609</v>
          </cell>
          <cell r="AV94">
            <v>56765</v>
          </cell>
          <cell r="AW94">
            <v>56911</v>
          </cell>
          <cell r="AX94">
            <v>56935</v>
          </cell>
          <cell r="AY94">
            <v>56774</v>
          </cell>
          <cell r="AZ94">
            <v>56555</v>
          </cell>
          <cell r="BA94">
            <v>56328</v>
          </cell>
          <cell r="BB94">
            <v>56323</v>
          </cell>
          <cell r="BC94">
            <v>56905</v>
          </cell>
          <cell r="BD94">
            <v>56890</v>
          </cell>
          <cell r="BE94">
            <v>56810</v>
          </cell>
          <cell r="BF94">
            <v>56483</v>
          </cell>
          <cell r="BG94">
            <v>56295</v>
          </cell>
          <cell r="BH94">
            <v>56114</v>
          </cell>
          <cell r="BI94">
            <v>56186</v>
          </cell>
          <cell r="BJ94">
            <v>56171</v>
          </cell>
          <cell r="BK94">
            <v>56025</v>
          </cell>
        </row>
        <row r="95">
          <cell r="B95" t="str">
            <v>GTM</v>
          </cell>
          <cell r="C95" t="str">
            <v>Population, total</v>
          </cell>
          <cell r="D95" t="str">
            <v>SP.POP.TOTL</v>
          </cell>
          <cell r="E95">
            <v>4210747</v>
          </cell>
          <cell r="F95">
            <v>4336143</v>
          </cell>
          <cell r="G95">
            <v>4464249</v>
          </cell>
          <cell r="H95">
            <v>4595510</v>
          </cell>
          <cell r="I95">
            <v>4730540</v>
          </cell>
          <cell r="J95">
            <v>4869716</v>
          </cell>
          <cell r="K95">
            <v>5013153</v>
          </cell>
          <cell r="L95">
            <v>5160609</v>
          </cell>
          <cell r="M95">
            <v>5311615</v>
          </cell>
          <cell r="N95">
            <v>5465512</v>
          </cell>
          <cell r="O95">
            <v>5621792</v>
          </cell>
          <cell r="P95">
            <v>5780480</v>
          </cell>
          <cell r="Q95">
            <v>5941567</v>
          </cell>
          <cell r="R95">
            <v>6104530</v>
          </cell>
          <cell r="S95">
            <v>6268707</v>
          </cell>
          <cell r="T95">
            <v>6433728</v>
          </cell>
          <cell r="U95">
            <v>6599214</v>
          </cell>
          <cell r="V95">
            <v>6765516</v>
          </cell>
          <cell r="W95">
            <v>6933906</v>
          </cell>
          <cell r="X95">
            <v>7106145</v>
          </cell>
          <cell r="Y95">
            <v>7283459</v>
          </cell>
          <cell r="Z95">
            <v>7466488</v>
          </cell>
          <cell r="AA95">
            <v>7654819</v>
          </cell>
          <cell r="AB95">
            <v>7847472</v>
          </cell>
          <cell r="AC95">
            <v>8042897</v>
          </cell>
          <cell r="AD95">
            <v>8240060</v>
          </cell>
          <cell r="AE95">
            <v>8438604</v>
          </cell>
          <cell r="AF95">
            <v>8639108</v>
          </cell>
          <cell r="AG95">
            <v>8842575</v>
          </cell>
          <cell r="AH95">
            <v>9050465</v>
          </cell>
          <cell r="AI95">
            <v>9263813</v>
          </cell>
          <cell r="AJ95">
            <v>9483270</v>
          </cell>
          <cell r="AK95">
            <v>9708544</v>
          </cell>
          <cell r="AL95">
            <v>9938692</v>
          </cell>
          <cell r="AM95">
            <v>10172297</v>
          </cell>
          <cell r="AN95">
            <v>10408489</v>
          </cell>
          <cell r="AO95">
            <v>10646674</v>
          </cell>
          <cell r="AP95">
            <v>10887634</v>
          </cell>
          <cell r="AQ95">
            <v>11133501</v>
          </cell>
          <cell r="AR95">
            <v>11387203</v>
          </cell>
          <cell r="AS95">
            <v>11650743</v>
          </cell>
          <cell r="AT95">
            <v>11924946</v>
          </cell>
          <cell r="AU95">
            <v>12208848</v>
          </cell>
          <cell r="AV95">
            <v>12500478</v>
          </cell>
          <cell r="AW95">
            <v>12796925</v>
          </cell>
          <cell r="AX95">
            <v>13096028</v>
          </cell>
          <cell r="AY95">
            <v>13397021</v>
          </cell>
          <cell r="AZ95">
            <v>13700327</v>
          </cell>
          <cell r="BA95">
            <v>14006428</v>
          </cell>
          <cell r="BB95">
            <v>14316263</v>
          </cell>
          <cell r="BC95">
            <v>14630417</v>
          </cell>
          <cell r="BD95">
            <v>14948803</v>
          </cell>
          <cell r="BE95">
            <v>15270778</v>
          </cell>
          <cell r="BF95">
            <v>15595821</v>
          </cell>
          <cell r="BG95">
            <v>15923243</v>
          </cell>
          <cell r="BH95">
            <v>16252429</v>
          </cell>
          <cell r="BI95">
            <v>16583060</v>
          </cell>
          <cell r="BJ95">
            <v>16914936</v>
          </cell>
          <cell r="BK95">
            <v>17247807</v>
          </cell>
        </row>
        <row r="96">
          <cell r="B96" t="str">
            <v>GUM</v>
          </cell>
          <cell r="C96" t="str">
            <v>Population, total</v>
          </cell>
          <cell r="D96" t="str">
            <v>SP.POP.TOTL</v>
          </cell>
          <cell r="E96">
            <v>66742</v>
          </cell>
          <cell r="F96">
            <v>68072</v>
          </cell>
          <cell r="G96">
            <v>69604</v>
          </cell>
          <cell r="H96">
            <v>71286</v>
          </cell>
          <cell r="I96">
            <v>73051</v>
          </cell>
          <cell r="J96">
            <v>74830</v>
          </cell>
          <cell r="K96">
            <v>76607</v>
          </cell>
          <cell r="L96">
            <v>78404</v>
          </cell>
          <cell r="M96">
            <v>80217</v>
          </cell>
          <cell r="N96">
            <v>82040</v>
          </cell>
          <cell r="O96">
            <v>83877</v>
          </cell>
          <cell r="P96">
            <v>85726</v>
          </cell>
          <cell r="Q96">
            <v>87587</v>
          </cell>
          <cell r="R96">
            <v>89464</v>
          </cell>
          <cell r="S96">
            <v>91377</v>
          </cell>
          <cell r="T96">
            <v>93352</v>
          </cell>
          <cell r="U96">
            <v>95385</v>
          </cell>
          <cell r="V96">
            <v>97477</v>
          </cell>
          <cell r="W96">
            <v>99630</v>
          </cell>
          <cell r="X96">
            <v>101844</v>
          </cell>
          <cell r="Y96">
            <v>104133</v>
          </cell>
          <cell r="Z96">
            <v>106485</v>
          </cell>
          <cell r="AA96">
            <v>108906</v>
          </cell>
          <cell r="AB96">
            <v>111402</v>
          </cell>
          <cell r="AC96">
            <v>113961</v>
          </cell>
          <cell r="AD96">
            <v>116572</v>
          </cell>
          <cell r="AE96">
            <v>119232</v>
          </cell>
          <cell r="AF96">
            <v>121919</v>
          </cell>
          <cell r="AG96">
            <v>124673</v>
          </cell>
          <cell r="AH96">
            <v>127522</v>
          </cell>
          <cell r="AI96">
            <v>130482</v>
          </cell>
          <cell r="AJ96">
            <v>133558</v>
          </cell>
          <cell r="AK96">
            <v>136692</v>
          </cell>
          <cell r="AL96">
            <v>139818</v>
          </cell>
          <cell r="AM96">
            <v>142802</v>
          </cell>
          <cell r="AN96">
            <v>145561</v>
          </cell>
          <cell r="AO96">
            <v>148060</v>
          </cell>
          <cell r="AP96">
            <v>150303</v>
          </cell>
          <cell r="AQ96">
            <v>152277</v>
          </cell>
          <cell r="AR96">
            <v>153953</v>
          </cell>
          <cell r="AS96">
            <v>155329</v>
          </cell>
          <cell r="AT96">
            <v>156401</v>
          </cell>
          <cell r="AU96">
            <v>157176</v>
          </cell>
          <cell r="AV96">
            <v>157717</v>
          </cell>
          <cell r="AW96">
            <v>158101</v>
          </cell>
          <cell r="AX96">
            <v>158402</v>
          </cell>
          <cell r="AY96">
            <v>158648</v>
          </cell>
          <cell r="AZ96">
            <v>158847</v>
          </cell>
          <cell r="BA96">
            <v>159036</v>
          </cell>
          <cell r="BB96">
            <v>159226</v>
          </cell>
          <cell r="BC96">
            <v>159444</v>
          </cell>
          <cell r="BD96">
            <v>159692</v>
          </cell>
          <cell r="BE96">
            <v>159996</v>
          </cell>
          <cell r="BF96">
            <v>160407</v>
          </cell>
          <cell r="BG96">
            <v>161016</v>
          </cell>
          <cell r="BH96">
            <v>161853</v>
          </cell>
          <cell r="BI96">
            <v>162951</v>
          </cell>
          <cell r="BJ96">
            <v>164281</v>
          </cell>
          <cell r="BK96">
            <v>165768</v>
          </cell>
        </row>
        <row r="97">
          <cell r="B97" t="str">
            <v>GUY</v>
          </cell>
          <cell r="C97" t="str">
            <v>Population, total</v>
          </cell>
          <cell r="D97" t="str">
            <v>SP.POP.TOTL</v>
          </cell>
          <cell r="E97">
            <v>571819</v>
          </cell>
          <cell r="F97">
            <v>589274</v>
          </cell>
          <cell r="G97">
            <v>606285</v>
          </cell>
          <cell r="H97">
            <v>622575</v>
          </cell>
          <cell r="I97">
            <v>637845</v>
          </cell>
          <cell r="J97">
            <v>651868</v>
          </cell>
          <cell r="K97">
            <v>664521</v>
          </cell>
          <cell r="L97">
            <v>675871</v>
          </cell>
          <cell r="M97">
            <v>686146</v>
          </cell>
          <cell r="N97">
            <v>695745</v>
          </cell>
          <cell r="O97">
            <v>704934</v>
          </cell>
          <cell r="P97">
            <v>713684</v>
          </cell>
          <cell r="Q97">
            <v>721948</v>
          </cell>
          <cell r="R97">
            <v>729916</v>
          </cell>
          <cell r="S97">
            <v>737847</v>
          </cell>
          <cell r="T97">
            <v>745841</v>
          </cell>
          <cell r="U97">
            <v>754101</v>
          </cell>
          <cell r="V97">
            <v>762424</v>
          </cell>
          <cell r="W97">
            <v>770125</v>
          </cell>
          <cell r="X97">
            <v>776254</v>
          </cell>
          <cell r="Y97">
            <v>780153</v>
          </cell>
          <cell r="Z97">
            <v>781732</v>
          </cell>
          <cell r="AA97">
            <v>781246</v>
          </cell>
          <cell r="AB97">
            <v>778948</v>
          </cell>
          <cell r="AC97">
            <v>775219</v>
          </cell>
          <cell r="AD97">
            <v>770435</v>
          </cell>
          <cell r="AE97">
            <v>764446</v>
          </cell>
          <cell r="AF97">
            <v>757448</v>
          </cell>
          <cell r="AG97">
            <v>750639</v>
          </cell>
          <cell r="AH97">
            <v>745585</v>
          </cell>
          <cell r="AI97">
            <v>743309</v>
          </cell>
          <cell r="AJ97">
            <v>744474</v>
          </cell>
          <cell r="AK97">
            <v>748602</v>
          </cell>
          <cell r="AL97">
            <v>754144</v>
          </cell>
          <cell r="AM97">
            <v>758896</v>
          </cell>
          <cell r="AN97">
            <v>761291</v>
          </cell>
          <cell r="AO97">
            <v>760795</v>
          </cell>
          <cell r="AP97">
            <v>757970</v>
          </cell>
          <cell r="AQ97">
            <v>753778</v>
          </cell>
          <cell r="AR97">
            <v>749674</v>
          </cell>
          <cell r="AS97">
            <v>746715</v>
          </cell>
          <cell r="AT97">
            <v>745206</v>
          </cell>
          <cell r="AU97">
            <v>744789</v>
          </cell>
          <cell r="AV97">
            <v>745143</v>
          </cell>
          <cell r="AW97">
            <v>745737</v>
          </cell>
          <cell r="AX97">
            <v>746163</v>
          </cell>
          <cell r="AY97">
            <v>746343</v>
          </cell>
          <cell r="AZ97">
            <v>746474</v>
          </cell>
          <cell r="BA97">
            <v>746817</v>
          </cell>
          <cell r="BB97">
            <v>747718</v>
          </cell>
          <cell r="BC97">
            <v>749436</v>
          </cell>
          <cell r="BD97">
            <v>752028</v>
          </cell>
          <cell r="BE97">
            <v>755399</v>
          </cell>
          <cell r="BF97">
            <v>759285</v>
          </cell>
          <cell r="BG97">
            <v>763380</v>
          </cell>
          <cell r="BH97">
            <v>767432</v>
          </cell>
          <cell r="BI97">
            <v>771366</v>
          </cell>
          <cell r="BJ97">
            <v>775221</v>
          </cell>
          <cell r="BK97">
            <v>779004</v>
          </cell>
        </row>
        <row r="98">
          <cell r="B98" t="str">
            <v>HIC</v>
          </cell>
          <cell r="C98" t="str">
            <v>Population, total</v>
          </cell>
          <cell r="D98" t="str">
            <v>SP.POP.TOTL</v>
          </cell>
          <cell r="E98">
            <v>760193906</v>
          </cell>
          <cell r="F98">
            <v>771546780</v>
          </cell>
          <cell r="G98">
            <v>781558432</v>
          </cell>
          <cell r="H98">
            <v>791500756</v>
          </cell>
          <cell r="I98">
            <v>801349486</v>
          </cell>
          <cell r="J98">
            <v>810831993</v>
          </cell>
          <cell r="K98">
            <v>819708674</v>
          </cell>
          <cell r="L98">
            <v>827927262</v>
          </cell>
          <cell r="M98">
            <v>835367980</v>
          </cell>
          <cell r="N98">
            <v>844677617</v>
          </cell>
          <cell r="O98">
            <v>853011324</v>
          </cell>
          <cell r="P98">
            <v>862109111</v>
          </cell>
          <cell r="Q98">
            <v>870906832</v>
          </cell>
          <cell r="R98">
            <v>878815003</v>
          </cell>
          <cell r="S98">
            <v>887824144</v>
          </cell>
          <cell r="T98">
            <v>896323112</v>
          </cell>
          <cell r="U98">
            <v>903502034</v>
          </cell>
          <cell r="V98">
            <v>910950507</v>
          </cell>
          <cell r="W98">
            <v>918462256</v>
          </cell>
          <cell r="X98">
            <v>926341455</v>
          </cell>
          <cell r="Y98">
            <v>934008001</v>
          </cell>
          <cell r="Z98">
            <v>941672267</v>
          </cell>
          <cell r="AA98">
            <v>948924500</v>
          </cell>
          <cell r="AB98">
            <v>955737922</v>
          </cell>
          <cell r="AC98">
            <v>962190813</v>
          </cell>
          <cell r="AD98">
            <v>968672259</v>
          </cell>
          <cell r="AE98">
            <v>975437073</v>
          </cell>
          <cell r="AF98">
            <v>982183208</v>
          </cell>
          <cell r="AG98">
            <v>989071855</v>
          </cell>
          <cell r="AH98">
            <v>996396222</v>
          </cell>
          <cell r="AI98">
            <v>1004169206</v>
          </cell>
          <cell r="AJ98">
            <v>1012606603</v>
          </cell>
          <cell r="AK98">
            <v>1018853066</v>
          </cell>
          <cell r="AL98">
            <v>1026846769</v>
          </cell>
          <cell r="AM98">
            <v>1034461319</v>
          </cell>
          <cell r="AN98">
            <v>1043384479</v>
          </cell>
          <cell r="AO98">
            <v>1050573065</v>
          </cell>
          <cell r="AP98">
            <v>1057559196</v>
          </cell>
          <cell r="AQ98">
            <v>1064403601</v>
          </cell>
          <cell r="AR98">
            <v>1071158291</v>
          </cell>
          <cell r="AS98">
            <v>1077839576</v>
          </cell>
          <cell r="AT98">
            <v>1084888957</v>
          </cell>
          <cell r="AU98">
            <v>1092175508</v>
          </cell>
          <cell r="AV98">
            <v>1099365177</v>
          </cell>
          <cell r="AW98">
            <v>1106953027</v>
          </cell>
          <cell r="AX98">
            <v>1114743713</v>
          </cell>
          <cell r="AY98">
            <v>1123222521</v>
          </cell>
          <cell r="AZ98">
            <v>1132154767</v>
          </cell>
          <cell r="BA98">
            <v>1141674064</v>
          </cell>
          <cell r="BB98">
            <v>1150180708</v>
          </cell>
          <cell r="BC98">
            <v>1157826206</v>
          </cell>
          <cell r="BD98">
            <v>1163335501</v>
          </cell>
          <cell r="BE98">
            <v>1170223344</v>
          </cell>
          <cell r="BF98">
            <v>1177175241</v>
          </cell>
          <cell r="BG98">
            <v>1184323353</v>
          </cell>
          <cell r="BH98">
            <v>1191326855</v>
          </cell>
          <cell r="BI98">
            <v>1198350350</v>
          </cell>
          <cell r="BJ98">
            <v>1204429565</v>
          </cell>
          <cell r="BK98">
            <v>1210312147</v>
          </cell>
        </row>
        <row r="99">
          <cell r="B99" t="str">
            <v>HKG</v>
          </cell>
          <cell r="C99" t="str">
            <v>Population, total</v>
          </cell>
          <cell r="D99" t="str">
            <v>SP.POP.TOTL</v>
          </cell>
          <cell r="E99">
            <v>3075605</v>
          </cell>
          <cell r="F99">
            <v>3168100</v>
          </cell>
          <cell r="G99">
            <v>3305200</v>
          </cell>
          <cell r="H99">
            <v>3420900</v>
          </cell>
          <cell r="I99">
            <v>3504600</v>
          </cell>
          <cell r="J99">
            <v>3597900</v>
          </cell>
          <cell r="K99">
            <v>3629900</v>
          </cell>
          <cell r="L99">
            <v>3722800</v>
          </cell>
          <cell r="M99">
            <v>3802700</v>
          </cell>
          <cell r="N99">
            <v>3863900</v>
          </cell>
          <cell r="O99">
            <v>3959000</v>
          </cell>
          <cell r="P99">
            <v>4045300</v>
          </cell>
          <cell r="Q99">
            <v>4123600</v>
          </cell>
          <cell r="R99">
            <v>4241600</v>
          </cell>
          <cell r="S99">
            <v>4377800</v>
          </cell>
          <cell r="T99">
            <v>4461600</v>
          </cell>
          <cell r="U99">
            <v>4518000</v>
          </cell>
          <cell r="V99">
            <v>4583700</v>
          </cell>
          <cell r="W99">
            <v>4667500</v>
          </cell>
          <cell r="X99">
            <v>4929700</v>
          </cell>
          <cell r="Y99">
            <v>5063100</v>
          </cell>
          <cell r="Z99">
            <v>5183400</v>
          </cell>
          <cell r="AA99">
            <v>5264500</v>
          </cell>
          <cell r="AB99">
            <v>5345100</v>
          </cell>
          <cell r="AC99">
            <v>5397900</v>
          </cell>
          <cell r="AD99">
            <v>5456200</v>
          </cell>
          <cell r="AE99">
            <v>5524600</v>
          </cell>
          <cell r="AF99">
            <v>5580500</v>
          </cell>
          <cell r="AG99">
            <v>5627600</v>
          </cell>
          <cell r="AH99">
            <v>5686200</v>
          </cell>
          <cell r="AI99">
            <v>5704500</v>
          </cell>
          <cell r="AJ99">
            <v>5752000</v>
          </cell>
          <cell r="AK99">
            <v>5800500</v>
          </cell>
          <cell r="AL99">
            <v>5901000</v>
          </cell>
          <cell r="AM99">
            <v>6035400</v>
          </cell>
          <cell r="AN99">
            <v>6156100</v>
          </cell>
          <cell r="AO99">
            <v>6435500</v>
          </cell>
          <cell r="AP99">
            <v>6489300</v>
          </cell>
          <cell r="AQ99">
            <v>6543700</v>
          </cell>
          <cell r="AR99">
            <v>6606500</v>
          </cell>
          <cell r="AS99">
            <v>6665000</v>
          </cell>
          <cell r="AT99">
            <v>6714300</v>
          </cell>
          <cell r="AU99">
            <v>6744100</v>
          </cell>
          <cell r="AV99">
            <v>6730800</v>
          </cell>
          <cell r="AW99">
            <v>6783500</v>
          </cell>
          <cell r="AX99">
            <v>6813200</v>
          </cell>
          <cell r="AY99">
            <v>6857100</v>
          </cell>
          <cell r="AZ99">
            <v>6916300</v>
          </cell>
          <cell r="BA99">
            <v>6957800</v>
          </cell>
          <cell r="BB99">
            <v>6972800</v>
          </cell>
          <cell r="BC99">
            <v>7024200</v>
          </cell>
          <cell r="BD99">
            <v>7071600</v>
          </cell>
          <cell r="BE99">
            <v>7150100</v>
          </cell>
          <cell r="BF99">
            <v>7178900</v>
          </cell>
          <cell r="BG99">
            <v>7229500</v>
          </cell>
          <cell r="BH99">
            <v>7291300</v>
          </cell>
          <cell r="BI99">
            <v>7336600</v>
          </cell>
          <cell r="BJ99">
            <v>7391700</v>
          </cell>
          <cell r="BK99">
            <v>7451000</v>
          </cell>
        </row>
        <row r="100">
          <cell r="B100" t="str">
            <v>HND</v>
          </cell>
          <cell r="C100" t="str">
            <v>Population, total</v>
          </cell>
          <cell r="D100" t="str">
            <v>SP.POP.TOTL</v>
          </cell>
          <cell r="E100">
            <v>2038632</v>
          </cell>
          <cell r="F100">
            <v>2096409</v>
          </cell>
          <cell r="G100">
            <v>2155647</v>
          </cell>
          <cell r="H100">
            <v>2216704</v>
          </cell>
          <cell r="I100">
            <v>2280048</v>
          </cell>
          <cell r="J100">
            <v>2346015</v>
          </cell>
          <cell r="K100">
            <v>2414803</v>
          </cell>
          <cell r="L100">
            <v>2486415</v>
          </cell>
          <cell r="M100">
            <v>2560727</v>
          </cell>
          <cell r="N100">
            <v>2637513</v>
          </cell>
          <cell r="O100">
            <v>2716654</v>
          </cell>
          <cell r="P100">
            <v>2798123</v>
          </cell>
          <cell r="Q100">
            <v>2882113</v>
          </cell>
          <cell r="R100">
            <v>2968989</v>
          </cell>
          <cell r="S100">
            <v>3059239</v>
          </cell>
          <cell r="T100">
            <v>3153253</v>
          </cell>
          <cell r="U100">
            <v>3251145</v>
          </cell>
          <cell r="V100">
            <v>3352825</v>
          </cell>
          <cell r="W100">
            <v>3458095</v>
          </cell>
          <cell r="X100">
            <v>3566654</v>
          </cell>
          <cell r="Y100">
            <v>3678279</v>
          </cell>
          <cell r="Z100">
            <v>3792919</v>
          </cell>
          <cell r="AA100">
            <v>3910640</v>
          </cell>
          <cell r="AB100">
            <v>4031325</v>
          </cell>
          <cell r="AC100">
            <v>4154860</v>
          </cell>
          <cell r="AD100">
            <v>4281161</v>
          </cell>
          <cell r="AE100">
            <v>4410269</v>
          </cell>
          <cell r="AF100">
            <v>4542214</v>
          </cell>
          <cell r="AG100">
            <v>4677024</v>
          </cell>
          <cell r="AH100">
            <v>4814702</v>
          </cell>
          <cell r="AI100">
            <v>4955303</v>
          </cell>
          <cell r="AJ100">
            <v>5098591</v>
          </cell>
          <cell r="AK100">
            <v>5244678</v>
          </cell>
          <cell r="AL100">
            <v>5394412</v>
          </cell>
          <cell r="AM100">
            <v>5548960</v>
          </cell>
          <cell r="AN100">
            <v>5709014</v>
          </cell>
          <cell r="AO100">
            <v>5874809</v>
          </cell>
          <cell r="AP100">
            <v>6045699</v>
          </cell>
          <cell r="AQ100">
            <v>6220406</v>
          </cell>
          <cell r="AR100">
            <v>6397151</v>
          </cell>
          <cell r="AS100">
            <v>6574509</v>
          </cell>
          <cell r="AT100">
            <v>6751912</v>
          </cell>
          <cell r="AU100">
            <v>6929265</v>
          </cell>
          <cell r="AV100">
            <v>7106319</v>
          </cell>
          <cell r="AW100">
            <v>7282953</v>
          </cell>
          <cell r="AX100">
            <v>7458985</v>
          </cell>
          <cell r="AY100">
            <v>7634298</v>
          </cell>
          <cell r="AZ100">
            <v>7808518</v>
          </cell>
          <cell r="BA100">
            <v>7980955</v>
          </cell>
          <cell r="BB100">
            <v>8150775</v>
          </cell>
          <cell r="BC100">
            <v>8317470</v>
          </cell>
          <cell r="BD100">
            <v>8480671</v>
          </cell>
          <cell r="BE100">
            <v>8640691</v>
          </cell>
          <cell r="BF100">
            <v>8798521</v>
          </cell>
          <cell r="BG100">
            <v>8955589</v>
          </cell>
          <cell r="BH100">
            <v>9112916</v>
          </cell>
          <cell r="BI100">
            <v>9270795</v>
          </cell>
          <cell r="BJ100">
            <v>9429013</v>
          </cell>
          <cell r="BK100">
            <v>9587522</v>
          </cell>
        </row>
        <row r="101">
          <cell r="B101" t="str">
            <v>HPC</v>
          </cell>
          <cell r="C101" t="str">
            <v>Population, total</v>
          </cell>
          <cell r="D101" t="str">
            <v>SP.POP.TOTL</v>
          </cell>
          <cell r="E101">
            <v>161734357</v>
          </cell>
          <cell r="F101">
            <v>165573152</v>
          </cell>
          <cell r="G101">
            <v>169567094</v>
          </cell>
          <cell r="H101">
            <v>173722855</v>
          </cell>
          <cell r="I101">
            <v>178048171</v>
          </cell>
          <cell r="J101">
            <v>182548785</v>
          </cell>
          <cell r="K101">
            <v>187227582</v>
          </cell>
          <cell r="L101">
            <v>192084649</v>
          </cell>
          <cell r="M101">
            <v>197119436</v>
          </cell>
          <cell r="N101">
            <v>202329943</v>
          </cell>
          <cell r="O101">
            <v>207714294</v>
          </cell>
          <cell r="P101">
            <v>213272637</v>
          </cell>
          <cell r="Q101">
            <v>219004370</v>
          </cell>
          <cell r="R101">
            <v>224905331</v>
          </cell>
          <cell r="S101">
            <v>230970305</v>
          </cell>
          <cell r="T101">
            <v>237195002</v>
          </cell>
          <cell r="U101">
            <v>243590895</v>
          </cell>
          <cell r="V101">
            <v>250160346</v>
          </cell>
          <cell r="W101">
            <v>256880793</v>
          </cell>
          <cell r="X101">
            <v>263721622</v>
          </cell>
          <cell r="Y101">
            <v>270668574</v>
          </cell>
          <cell r="Z101">
            <v>277719103</v>
          </cell>
          <cell r="AA101">
            <v>284905162</v>
          </cell>
          <cell r="AB101">
            <v>292290346</v>
          </cell>
          <cell r="AC101">
            <v>299959473</v>
          </cell>
          <cell r="AD101">
            <v>307980296</v>
          </cell>
          <cell r="AE101">
            <v>316358131</v>
          </cell>
          <cell r="AF101">
            <v>325095184</v>
          </cell>
          <cell r="AG101">
            <v>334249178</v>
          </cell>
          <cell r="AH101">
            <v>343887505</v>
          </cell>
          <cell r="AI101">
            <v>354047260</v>
          </cell>
          <cell r="AJ101">
            <v>364782185</v>
          </cell>
          <cell r="AK101">
            <v>376055904</v>
          </cell>
          <cell r="AL101">
            <v>387705076</v>
          </cell>
          <cell r="AM101">
            <v>399503946</v>
          </cell>
          <cell r="AN101">
            <v>411298620</v>
          </cell>
          <cell r="AO101">
            <v>423019190</v>
          </cell>
          <cell r="AP101">
            <v>434736174</v>
          </cell>
          <cell r="AQ101">
            <v>446608340</v>
          </cell>
          <cell r="AR101">
            <v>458867402</v>
          </cell>
          <cell r="AS101">
            <v>471680794</v>
          </cell>
          <cell r="AT101">
            <v>485112686</v>
          </cell>
          <cell r="AU101">
            <v>499113575</v>
          </cell>
          <cell r="AV101">
            <v>513601239</v>
          </cell>
          <cell r="AW101">
            <v>528444632</v>
          </cell>
          <cell r="AX101">
            <v>543555326</v>
          </cell>
          <cell r="AY101">
            <v>558909236</v>
          </cell>
          <cell r="AZ101">
            <v>574560260</v>
          </cell>
          <cell r="BA101">
            <v>590590368</v>
          </cell>
          <cell r="BB101">
            <v>607115564</v>
          </cell>
          <cell r="BC101">
            <v>624219326</v>
          </cell>
          <cell r="BD101">
            <v>641921311</v>
          </cell>
          <cell r="BE101">
            <v>660193774</v>
          </cell>
          <cell r="BF101">
            <v>679012664</v>
          </cell>
          <cell r="BG101">
            <v>698336451</v>
          </cell>
          <cell r="BH101">
            <v>718128416</v>
          </cell>
          <cell r="BI101">
            <v>738387254</v>
          </cell>
          <cell r="BJ101">
            <v>759106221</v>
          </cell>
          <cell r="BK101">
            <v>780234406</v>
          </cell>
        </row>
        <row r="102">
          <cell r="B102" t="str">
            <v>HRV</v>
          </cell>
          <cell r="C102" t="str">
            <v>Population, total</v>
          </cell>
          <cell r="D102" t="str">
            <v>SP.POP.TOTL</v>
          </cell>
          <cell r="E102">
            <v>4140181</v>
          </cell>
          <cell r="F102">
            <v>4167292</v>
          </cell>
          <cell r="G102">
            <v>4196712</v>
          </cell>
          <cell r="H102">
            <v>4225675</v>
          </cell>
          <cell r="I102">
            <v>4252876</v>
          </cell>
          <cell r="J102">
            <v>4280923</v>
          </cell>
          <cell r="K102">
            <v>4310701</v>
          </cell>
          <cell r="L102">
            <v>4338683</v>
          </cell>
          <cell r="M102">
            <v>4365628</v>
          </cell>
          <cell r="N102">
            <v>4391490</v>
          </cell>
          <cell r="O102">
            <v>4412252</v>
          </cell>
          <cell r="P102">
            <v>4431275</v>
          </cell>
          <cell r="Q102">
            <v>4450564</v>
          </cell>
          <cell r="R102">
            <v>4470161</v>
          </cell>
          <cell r="S102">
            <v>4490660</v>
          </cell>
          <cell r="T102">
            <v>4512082</v>
          </cell>
          <cell r="U102">
            <v>4535934</v>
          </cell>
          <cell r="V102">
            <v>4559571</v>
          </cell>
          <cell r="W102">
            <v>4581085</v>
          </cell>
          <cell r="X102">
            <v>4594778</v>
          </cell>
          <cell r="Y102">
            <v>4599782</v>
          </cell>
          <cell r="Z102">
            <v>4611509</v>
          </cell>
          <cell r="AA102">
            <v>4634234</v>
          </cell>
          <cell r="AB102">
            <v>4658254</v>
          </cell>
          <cell r="AC102">
            <v>4680285</v>
          </cell>
          <cell r="AD102">
            <v>4701417</v>
          </cell>
          <cell r="AE102">
            <v>4721446</v>
          </cell>
          <cell r="AF102">
            <v>4739745</v>
          </cell>
          <cell r="AG102">
            <v>4755207</v>
          </cell>
          <cell r="AH102">
            <v>4767260</v>
          </cell>
          <cell r="AI102">
            <v>4777368</v>
          </cell>
          <cell r="AJ102">
            <v>4689022</v>
          </cell>
          <cell r="AK102">
            <v>4575818</v>
          </cell>
          <cell r="AL102">
            <v>4600463</v>
          </cell>
          <cell r="AM102">
            <v>4652024</v>
          </cell>
          <cell r="AN102">
            <v>4620030</v>
          </cell>
          <cell r="AO102">
            <v>4557097</v>
          </cell>
          <cell r="AP102">
            <v>4534920</v>
          </cell>
          <cell r="AQ102">
            <v>4532135</v>
          </cell>
          <cell r="AR102">
            <v>4512597</v>
          </cell>
          <cell r="AS102">
            <v>4468302</v>
          </cell>
          <cell r="AT102">
            <v>4299642</v>
          </cell>
          <cell r="AU102">
            <v>4302174</v>
          </cell>
          <cell r="AV102">
            <v>4303399</v>
          </cell>
          <cell r="AW102">
            <v>4304600</v>
          </cell>
          <cell r="AX102">
            <v>4310145</v>
          </cell>
          <cell r="AY102">
            <v>4311159</v>
          </cell>
          <cell r="AZ102">
            <v>4310217</v>
          </cell>
          <cell r="BA102">
            <v>4309705</v>
          </cell>
          <cell r="BB102">
            <v>4305181</v>
          </cell>
          <cell r="BC102">
            <v>4295427</v>
          </cell>
          <cell r="BD102">
            <v>4280622</v>
          </cell>
          <cell r="BE102">
            <v>4267558</v>
          </cell>
          <cell r="BF102">
            <v>4255689</v>
          </cell>
          <cell r="BG102">
            <v>4238389</v>
          </cell>
          <cell r="BH102">
            <v>4203604</v>
          </cell>
          <cell r="BI102">
            <v>4174349</v>
          </cell>
          <cell r="BJ102">
            <v>4124531</v>
          </cell>
          <cell r="BK102">
            <v>4087843</v>
          </cell>
        </row>
        <row r="103">
          <cell r="B103" t="str">
            <v>HTI</v>
          </cell>
          <cell r="C103" t="str">
            <v>Population, total</v>
          </cell>
          <cell r="D103" t="str">
            <v>SP.POP.TOTL</v>
          </cell>
          <cell r="E103">
            <v>3866159</v>
          </cell>
          <cell r="F103">
            <v>3941944</v>
          </cell>
          <cell r="G103">
            <v>4019173</v>
          </cell>
          <cell r="H103">
            <v>4097755</v>
          </cell>
          <cell r="I103">
            <v>4177637</v>
          </cell>
          <cell r="J103">
            <v>4258732</v>
          </cell>
          <cell r="K103">
            <v>4341318</v>
          </cell>
          <cell r="L103">
            <v>4425303</v>
          </cell>
          <cell r="M103">
            <v>4509813</v>
          </cell>
          <cell r="N103">
            <v>4593669</v>
          </cell>
          <cell r="O103">
            <v>4676230</v>
          </cell>
          <cell r="P103">
            <v>4757182</v>
          </cell>
          <cell r="Q103">
            <v>4837332</v>
          </cell>
          <cell r="R103">
            <v>4918625</v>
          </cell>
          <cell r="S103">
            <v>5003710</v>
          </cell>
          <cell r="T103">
            <v>5094577</v>
          </cell>
          <cell r="U103">
            <v>5191632</v>
          </cell>
          <cell r="V103">
            <v>5294619</v>
          </cell>
          <cell r="W103">
            <v>5404019</v>
          </cell>
          <cell r="X103">
            <v>5520187</v>
          </cell>
          <cell r="Y103">
            <v>5643173</v>
          </cell>
          <cell r="Z103">
            <v>5773366</v>
          </cell>
          <cell r="AA103">
            <v>5910227</v>
          </cell>
          <cell r="AB103">
            <v>6051622</v>
          </cell>
          <cell r="AC103">
            <v>6194687</v>
          </cell>
          <cell r="AD103">
            <v>6337273</v>
          </cell>
          <cell r="AE103">
            <v>6478541</v>
          </cell>
          <cell r="AF103">
            <v>6618744</v>
          </cell>
          <cell r="AG103">
            <v>6758223</v>
          </cell>
          <cell r="AH103">
            <v>6897755</v>
          </cell>
          <cell r="AI103">
            <v>7037917</v>
          </cell>
          <cell r="AJ103">
            <v>7178607</v>
          </cell>
          <cell r="AK103">
            <v>7319493</v>
          </cell>
          <cell r="AL103">
            <v>7460689</v>
          </cell>
          <cell r="AM103">
            <v>7602320</v>
          </cell>
          <cell r="AN103">
            <v>7744503</v>
          </cell>
          <cell r="AO103">
            <v>7887304</v>
          </cell>
          <cell r="AP103">
            <v>8030726</v>
          </cell>
          <cell r="AQ103">
            <v>8174680</v>
          </cell>
          <cell r="AR103">
            <v>8319057</v>
          </cell>
          <cell r="AS103">
            <v>8463806</v>
          </cell>
          <cell r="AT103">
            <v>8608819</v>
          </cell>
          <cell r="AU103">
            <v>8754150</v>
          </cell>
          <cell r="AV103">
            <v>8900104</v>
          </cell>
          <cell r="AW103">
            <v>9047077</v>
          </cell>
          <cell r="AX103">
            <v>9195288</v>
          </cell>
          <cell r="AY103">
            <v>9344785</v>
          </cell>
          <cell r="AZ103">
            <v>9495328</v>
          </cell>
          <cell r="BA103">
            <v>9646580</v>
          </cell>
          <cell r="BB103">
            <v>9798046</v>
          </cell>
          <cell r="BC103">
            <v>9949322</v>
          </cell>
          <cell r="BD103">
            <v>10100320</v>
          </cell>
          <cell r="BE103">
            <v>10250930</v>
          </cell>
          <cell r="BF103">
            <v>10400673</v>
          </cell>
          <cell r="BG103">
            <v>10549008</v>
          </cell>
          <cell r="BH103">
            <v>10695542</v>
          </cell>
          <cell r="BI103">
            <v>10839970</v>
          </cell>
          <cell r="BJ103">
            <v>10982366</v>
          </cell>
          <cell r="BK103">
            <v>11123176</v>
          </cell>
        </row>
        <row r="104">
          <cell r="B104" t="str">
            <v>HUN</v>
          </cell>
          <cell r="C104" t="str">
            <v>Population, total</v>
          </cell>
          <cell r="D104" t="str">
            <v>SP.POP.TOTL</v>
          </cell>
          <cell r="E104">
            <v>9983967</v>
          </cell>
          <cell r="F104">
            <v>10029321</v>
          </cell>
          <cell r="G104">
            <v>10061734</v>
          </cell>
          <cell r="H104">
            <v>10087947</v>
          </cell>
          <cell r="I104">
            <v>10119835</v>
          </cell>
          <cell r="J104">
            <v>10147935</v>
          </cell>
          <cell r="K104">
            <v>10178653</v>
          </cell>
          <cell r="L104">
            <v>10216604</v>
          </cell>
          <cell r="M104">
            <v>10255815</v>
          </cell>
          <cell r="N104">
            <v>10298723</v>
          </cell>
          <cell r="O104">
            <v>10337910</v>
          </cell>
          <cell r="P104">
            <v>10367537</v>
          </cell>
          <cell r="Q104">
            <v>10398489</v>
          </cell>
          <cell r="R104">
            <v>10432055</v>
          </cell>
          <cell r="S104">
            <v>10478720</v>
          </cell>
          <cell r="T104">
            <v>10540525</v>
          </cell>
          <cell r="U104">
            <v>10598677</v>
          </cell>
          <cell r="V104">
            <v>10648031</v>
          </cell>
          <cell r="W104">
            <v>10684822</v>
          </cell>
          <cell r="X104">
            <v>10704152</v>
          </cell>
          <cell r="Y104">
            <v>10711122</v>
          </cell>
          <cell r="Z104">
            <v>10711848</v>
          </cell>
          <cell r="AA104">
            <v>10705535</v>
          </cell>
          <cell r="AB104">
            <v>10689463</v>
          </cell>
          <cell r="AC104">
            <v>10668095</v>
          </cell>
          <cell r="AD104">
            <v>10648713</v>
          </cell>
          <cell r="AE104">
            <v>10630564</v>
          </cell>
          <cell r="AF104">
            <v>10612741</v>
          </cell>
          <cell r="AG104">
            <v>10596487</v>
          </cell>
          <cell r="AH104">
            <v>10481719</v>
          </cell>
          <cell r="AI104">
            <v>10373988</v>
          </cell>
          <cell r="AJ104">
            <v>10373400</v>
          </cell>
          <cell r="AK104">
            <v>10369341</v>
          </cell>
          <cell r="AL104">
            <v>10357523</v>
          </cell>
          <cell r="AM104">
            <v>10343355</v>
          </cell>
          <cell r="AN104">
            <v>10328965</v>
          </cell>
          <cell r="AO104">
            <v>10311238</v>
          </cell>
          <cell r="AP104">
            <v>10290486</v>
          </cell>
          <cell r="AQ104">
            <v>10266570</v>
          </cell>
          <cell r="AR104">
            <v>10237530</v>
          </cell>
          <cell r="AS104">
            <v>10210971</v>
          </cell>
          <cell r="AT104">
            <v>10187576</v>
          </cell>
          <cell r="AU104">
            <v>10158608</v>
          </cell>
          <cell r="AV104">
            <v>10129552</v>
          </cell>
          <cell r="AW104">
            <v>10107146</v>
          </cell>
          <cell r="AX104">
            <v>10087065</v>
          </cell>
          <cell r="AY104">
            <v>10071370</v>
          </cell>
          <cell r="AZ104">
            <v>10055780</v>
          </cell>
          <cell r="BA104">
            <v>10038188</v>
          </cell>
          <cell r="BB104">
            <v>10022650</v>
          </cell>
          <cell r="BC104">
            <v>10000023</v>
          </cell>
          <cell r="BD104">
            <v>9971727</v>
          </cell>
          <cell r="BE104">
            <v>9920362</v>
          </cell>
          <cell r="BF104">
            <v>9893082</v>
          </cell>
          <cell r="BG104">
            <v>9866468</v>
          </cell>
          <cell r="BH104">
            <v>9843028</v>
          </cell>
          <cell r="BI104">
            <v>9814023</v>
          </cell>
          <cell r="BJ104">
            <v>9787966</v>
          </cell>
          <cell r="BK104">
            <v>9775564</v>
          </cell>
        </row>
        <row r="105">
          <cell r="B105" t="str">
            <v>IBD</v>
          </cell>
          <cell r="C105" t="str">
            <v>Population, total</v>
          </cell>
          <cell r="D105" t="str">
            <v>SP.POP.TOTL</v>
          </cell>
          <cell r="E105">
            <v>1916725984</v>
          </cell>
          <cell r="F105">
            <v>1937366367</v>
          </cell>
          <cell r="G105">
            <v>1970953262</v>
          </cell>
          <cell r="H105">
            <v>2016413384</v>
          </cell>
          <cell r="I105">
            <v>2061940171</v>
          </cell>
          <cell r="J105">
            <v>2108649439</v>
          </cell>
          <cell r="K105">
            <v>2158535715</v>
          </cell>
          <cell r="L105">
            <v>2208041898</v>
          </cell>
          <cell r="M105">
            <v>2258892461</v>
          </cell>
          <cell r="N105">
            <v>2311898866</v>
          </cell>
          <cell r="O105">
            <v>2366349459</v>
          </cell>
          <cell r="P105">
            <v>2422126843</v>
          </cell>
          <cell r="Q105">
            <v>2476981598</v>
          </cell>
          <cell r="R105">
            <v>2531557876</v>
          </cell>
          <cell r="S105">
            <v>2585289079</v>
          </cell>
          <cell r="T105">
            <v>2637247806</v>
          </cell>
          <cell r="U105">
            <v>2688099702</v>
          </cell>
          <cell r="V105">
            <v>2737889788</v>
          </cell>
          <cell r="W105">
            <v>2788188544</v>
          </cell>
          <cell r="X105">
            <v>2839472004</v>
          </cell>
          <cell r="Y105">
            <v>2891281645</v>
          </cell>
          <cell r="Z105">
            <v>2944612598</v>
          </cell>
          <cell r="AA105">
            <v>3000786139</v>
          </cell>
          <cell r="AB105">
            <v>3057588035</v>
          </cell>
          <cell r="AC105">
            <v>3113889531</v>
          </cell>
          <cell r="AD105">
            <v>3171073491</v>
          </cell>
          <cell r="AE105">
            <v>3229839106</v>
          </cell>
          <cell r="AF105">
            <v>3290144789</v>
          </cell>
          <cell r="AG105">
            <v>3350637888</v>
          </cell>
          <cell r="AH105">
            <v>3410072473</v>
          </cell>
          <cell r="AI105">
            <v>3468162855</v>
          </cell>
          <cell r="AJ105">
            <v>3524494627</v>
          </cell>
          <cell r="AK105">
            <v>3578748050</v>
          </cell>
          <cell r="AL105">
            <v>3631876396</v>
          </cell>
          <cell r="AM105">
            <v>3684211762</v>
          </cell>
          <cell r="AN105">
            <v>3735691901</v>
          </cell>
          <cell r="AO105">
            <v>3786541610</v>
          </cell>
          <cell r="AP105">
            <v>3837092885</v>
          </cell>
          <cell r="AQ105">
            <v>3886855288</v>
          </cell>
          <cell r="AR105">
            <v>3935228896</v>
          </cell>
          <cell r="AS105">
            <v>3981934121</v>
          </cell>
          <cell r="AT105">
            <v>4027560123</v>
          </cell>
          <cell r="AU105">
            <v>4072371012</v>
          </cell>
          <cell r="AV105">
            <v>4116879950</v>
          </cell>
          <cell r="AW105">
            <v>4161045550</v>
          </cell>
          <cell r="AX105">
            <v>4205058601</v>
          </cell>
          <cell r="AY105">
            <v>4248617747</v>
          </cell>
          <cell r="AZ105">
            <v>4291629776</v>
          </cell>
          <cell r="BA105">
            <v>4334791952</v>
          </cell>
          <cell r="BB105">
            <v>4378481189</v>
          </cell>
          <cell r="BC105">
            <v>4421851199</v>
          </cell>
          <cell r="BD105">
            <v>4465853343</v>
          </cell>
          <cell r="BE105">
            <v>4510296617</v>
          </cell>
          <cell r="BF105">
            <v>4555067814</v>
          </cell>
          <cell r="BG105">
            <v>4599654984</v>
          </cell>
          <cell r="BH105">
            <v>4643767826</v>
          </cell>
          <cell r="BI105">
            <v>4687686335</v>
          </cell>
          <cell r="BJ105">
            <v>4731120193</v>
          </cell>
          <cell r="BK105">
            <v>4772284113</v>
          </cell>
        </row>
        <row r="106">
          <cell r="B106" t="str">
            <v>IBT</v>
          </cell>
          <cell r="C106" t="str">
            <v>Population, total</v>
          </cell>
          <cell r="D106" t="str">
            <v>SP.POP.TOTL</v>
          </cell>
          <cell r="E106">
            <v>2299827560</v>
          </cell>
          <cell r="F106">
            <v>2329751232</v>
          </cell>
          <cell r="G106">
            <v>2372990360</v>
          </cell>
          <cell r="H106">
            <v>2428491489</v>
          </cell>
          <cell r="I106">
            <v>2484475271</v>
          </cell>
          <cell r="J106">
            <v>2542065200</v>
          </cell>
          <cell r="K106">
            <v>2603294258</v>
          </cell>
          <cell r="L106">
            <v>2664582621</v>
          </cell>
          <cell r="M106">
            <v>2727559890</v>
          </cell>
          <cell r="N106">
            <v>2792906650</v>
          </cell>
          <cell r="O106">
            <v>2859823273</v>
          </cell>
          <cell r="P106">
            <v>2928162561</v>
          </cell>
          <cell r="Q106">
            <v>2995741759</v>
          </cell>
          <cell r="R106">
            <v>3063329696</v>
          </cell>
          <cell r="S106">
            <v>3130554486</v>
          </cell>
          <cell r="T106">
            <v>3196617158</v>
          </cell>
          <cell r="U106">
            <v>3262238505</v>
          </cell>
          <cell r="V106">
            <v>3327432779</v>
          </cell>
          <cell r="W106">
            <v>3393737765</v>
          </cell>
          <cell r="X106">
            <v>3461566608</v>
          </cell>
          <cell r="Y106">
            <v>3530412139</v>
          </cell>
          <cell r="Z106">
            <v>3601268626</v>
          </cell>
          <cell r="AA106">
            <v>3675483595</v>
          </cell>
          <cell r="AB106">
            <v>3750866217</v>
          </cell>
          <cell r="AC106">
            <v>3826309623</v>
          </cell>
          <cell r="AD106">
            <v>3903212208</v>
          </cell>
          <cell r="AE106">
            <v>3982271082</v>
          </cell>
          <cell r="AF106">
            <v>4063430290</v>
          </cell>
          <cell r="AG106">
            <v>4145325696</v>
          </cell>
          <cell r="AH106">
            <v>4226720042</v>
          </cell>
          <cell r="AI106">
            <v>4307407025</v>
          </cell>
          <cell r="AJ106">
            <v>4386707250</v>
          </cell>
          <cell r="AK106">
            <v>4464471808</v>
          </cell>
          <cell r="AL106">
            <v>4541486325</v>
          </cell>
          <cell r="AM106">
            <v>4617974811</v>
          </cell>
          <cell r="AN106">
            <v>4693887421</v>
          </cell>
          <cell r="AO106">
            <v>4769462932</v>
          </cell>
          <cell r="AP106">
            <v>4844990450</v>
          </cell>
          <cell r="AQ106">
            <v>4919850879</v>
          </cell>
          <cell r="AR106">
            <v>4993500491</v>
          </cell>
          <cell r="AS106">
            <v>5066140135</v>
          </cell>
          <cell r="AT106">
            <v>5138190545</v>
          </cell>
          <cell r="AU106">
            <v>5209873584</v>
          </cell>
          <cell r="AV106">
            <v>5281727972</v>
          </cell>
          <cell r="AW106">
            <v>5353754291</v>
          </cell>
          <cell r="AX106">
            <v>5426151241</v>
          </cell>
          <cell r="AY106">
            <v>5498679869</v>
          </cell>
          <cell r="AZ106">
            <v>5571274179</v>
          </cell>
          <cell r="BA106">
            <v>5644570358</v>
          </cell>
          <cell r="BB106">
            <v>5718843756</v>
          </cell>
          <cell r="BC106">
            <v>5793479782</v>
          </cell>
          <cell r="BD106">
            <v>5869059895</v>
          </cell>
          <cell r="BE106">
            <v>5945148626</v>
          </cell>
          <cell r="BF106">
            <v>6022137210</v>
          </cell>
          <cell r="BG106">
            <v>6099662180</v>
          </cell>
          <cell r="BH106">
            <v>6177552865</v>
          </cell>
          <cell r="BI106">
            <v>6256138021</v>
          </cell>
          <cell r="BJ106">
            <v>6335039629</v>
          </cell>
          <cell r="BK106">
            <v>6412522234</v>
          </cell>
        </row>
        <row r="107">
          <cell r="B107" t="str">
            <v>IDA</v>
          </cell>
          <cell r="C107" t="str">
            <v>Population, total</v>
          </cell>
          <cell r="D107" t="str">
            <v>SP.POP.TOTL</v>
          </cell>
          <cell r="E107">
            <v>383101576</v>
          </cell>
          <cell r="F107">
            <v>392384865</v>
          </cell>
          <cell r="G107">
            <v>402037098</v>
          </cell>
          <cell r="H107">
            <v>412078105</v>
          </cell>
          <cell r="I107">
            <v>422535100</v>
          </cell>
          <cell r="J107">
            <v>433415761</v>
          </cell>
          <cell r="K107">
            <v>444758543</v>
          </cell>
          <cell r="L107">
            <v>456540723</v>
          </cell>
          <cell r="M107">
            <v>468667429</v>
          </cell>
          <cell r="N107">
            <v>481007784</v>
          </cell>
          <cell r="O107">
            <v>493473814</v>
          </cell>
          <cell r="P107">
            <v>506035718</v>
          </cell>
          <cell r="Q107">
            <v>518760161</v>
          </cell>
          <cell r="R107">
            <v>531771820</v>
          </cell>
          <cell r="S107">
            <v>545265407</v>
          </cell>
          <cell r="T107">
            <v>559369352</v>
          </cell>
          <cell r="U107">
            <v>574138803</v>
          </cell>
          <cell r="V107">
            <v>589542991</v>
          </cell>
          <cell r="W107">
            <v>605549221</v>
          </cell>
          <cell r="X107">
            <v>622094604</v>
          </cell>
          <cell r="Y107">
            <v>639130494</v>
          </cell>
          <cell r="Z107">
            <v>656656028</v>
          </cell>
          <cell r="AA107">
            <v>674697456</v>
          </cell>
          <cell r="AB107">
            <v>693278182</v>
          </cell>
          <cell r="AC107">
            <v>712420092</v>
          </cell>
          <cell r="AD107">
            <v>732138717</v>
          </cell>
          <cell r="AE107">
            <v>752431976</v>
          </cell>
          <cell r="AF107">
            <v>773285501</v>
          </cell>
          <cell r="AG107">
            <v>794687808</v>
          </cell>
          <cell r="AH107">
            <v>816647569</v>
          </cell>
          <cell r="AI107">
            <v>839244170</v>
          </cell>
          <cell r="AJ107">
            <v>862212623</v>
          </cell>
          <cell r="AK107">
            <v>885723758</v>
          </cell>
          <cell r="AL107">
            <v>909609929</v>
          </cell>
          <cell r="AM107">
            <v>933763049</v>
          </cell>
          <cell r="AN107">
            <v>958195520</v>
          </cell>
          <cell r="AO107">
            <v>982921322</v>
          </cell>
          <cell r="AP107">
            <v>1007897565</v>
          </cell>
          <cell r="AQ107">
            <v>1032995591</v>
          </cell>
          <cell r="AR107">
            <v>1058271595</v>
          </cell>
          <cell r="AS107">
            <v>1084206014</v>
          </cell>
          <cell r="AT107">
            <v>1110630422</v>
          </cell>
          <cell r="AU107">
            <v>1137502572</v>
          </cell>
          <cell r="AV107">
            <v>1164848022</v>
          </cell>
          <cell r="AW107">
            <v>1192708741</v>
          </cell>
          <cell r="AX107">
            <v>1221092640</v>
          </cell>
          <cell r="AY107">
            <v>1250062122</v>
          </cell>
          <cell r="AZ107">
            <v>1279644403</v>
          </cell>
          <cell r="BA107">
            <v>1309778406</v>
          </cell>
          <cell r="BB107">
            <v>1340362567</v>
          </cell>
          <cell r="BC107">
            <v>1371628583</v>
          </cell>
          <cell r="BD107">
            <v>1403206552</v>
          </cell>
          <cell r="BE107">
            <v>1434852009</v>
          </cell>
          <cell r="BF107">
            <v>1467069396</v>
          </cell>
          <cell r="BG107">
            <v>1500007196</v>
          </cell>
          <cell r="BH107">
            <v>1533785039</v>
          </cell>
          <cell r="BI107">
            <v>1568451686</v>
          </cell>
          <cell r="BJ107">
            <v>1603919436</v>
          </cell>
          <cell r="BK107">
            <v>1640238121</v>
          </cell>
        </row>
        <row r="108">
          <cell r="B108" t="str">
            <v>IDB</v>
          </cell>
          <cell r="C108" t="str">
            <v>Population, total</v>
          </cell>
          <cell r="D108" t="str">
            <v>SP.POP.TOTL</v>
          </cell>
          <cell r="E108">
            <v>123891139</v>
          </cell>
          <cell r="F108">
            <v>126858184</v>
          </cell>
          <cell r="G108">
            <v>129965147</v>
          </cell>
          <cell r="H108">
            <v>133206225</v>
          </cell>
          <cell r="I108">
            <v>136575197</v>
          </cell>
          <cell r="J108">
            <v>140066503</v>
          </cell>
          <cell r="K108">
            <v>143685944</v>
          </cell>
          <cell r="L108">
            <v>147439073</v>
          </cell>
          <cell r="M108">
            <v>151321867</v>
          </cell>
          <cell r="N108">
            <v>155331570</v>
          </cell>
          <cell r="O108">
            <v>159468637</v>
          </cell>
          <cell r="P108">
            <v>163727802</v>
          </cell>
          <cell r="Q108">
            <v>168123679</v>
          </cell>
          <cell r="R108">
            <v>172701100</v>
          </cell>
          <cell r="S108">
            <v>177520721</v>
          </cell>
          <cell r="T108">
            <v>182622716</v>
          </cell>
          <cell r="U108">
            <v>188026801</v>
          </cell>
          <cell r="V108">
            <v>193716000</v>
          </cell>
          <cell r="W108">
            <v>199663470</v>
          </cell>
          <cell r="X108">
            <v>205822820</v>
          </cell>
          <cell r="Y108">
            <v>212160514</v>
          </cell>
          <cell r="Z108">
            <v>218662193</v>
          </cell>
          <cell r="AA108">
            <v>225330186</v>
          </cell>
          <cell r="AB108">
            <v>232165092</v>
          </cell>
          <cell r="AC108">
            <v>239172894</v>
          </cell>
          <cell r="AD108">
            <v>246352583</v>
          </cell>
          <cell r="AE108">
            <v>253706111</v>
          </cell>
          <cell r="AF108">
            <v>261218240</v>
          </cell>
          <cell r="AG108">
            <v>268847200</v>
          </cell>
          <cell r="AH108">
            <v>276540959</v>
          </cell>
          <cell r="AI108">
            <v>284376771</v>
          </cell>
          <cell r="AJ108">
            <v>292064422</v>
          </cell>
          <cell r="AK108">
            <v>299824422</v>
          </cell>
          <cell r="AL108">
            <v>307643999</v>
          </cell>
          <cell r="AM108">
            <v>315538560</v>
          </cell>
          <cell r="AN108">
            <v>323589222</v>
          </cell>
          <cell r="AO108">
            <v>331892967</v>
          </cell>
          <cell r="AP108">
            <v>340389142</v>
          </cell>
          <cell r="AQ108">
            <v>348989354</v>
          </cell>
          <cell r="AR108">
            <v>357543133</v>
          </cell>
          <cell r="AS108">
            <v>366210370</v>
          </cell>
          <cell r="AT108">
            <v>374871731</v>
          </cell>
          <cell r="AU108">
            <v>383578460</v>
          </cell>
          <cell r="AV108">
            <v>392391532</v>
          </cell>
          <cell r="AW108">
            <v>401420450</v>
          </cell>
          <cell r="AX108">
            <v>410737369</v>
          </cell>
          <cell r="AY108">
            <v>420376591</v>
          </cell>
          <cell r="AZ108">
            <v>430363365</v>
          </cell>
          <cell r="BA108">
            <v>440671619</v>
          </cell>
          <cell r="BB108">
            <v>451237921</v>
          </cell>
          <cell r="BC108">
            <v>462331503</v>
          </cell>
          <cell r="BD108">
            <v>473598444</v>
          </cell>
          <cell r="BE108">
            <v>484720757</v>
          </cell>
          <cell r="BF108">
            <v>496066901</v>
          </cell>
          <cell r="BG108">
            <v>507644354</v>
          </cell>
          <cell r="BH108">
            <v>519429790</v>
          </cell>
          <cell r="BI108">
            <v>531399044</v>
          </cell>
          <cell r="BJ108">
            <v>543525897</v>
          </cell>
          <cell r="BK108">
            <v>555830605</v>
          </cell>
        </row>
        <row r="109">
          <cell r="B109" t="str">
            <v>IDN</v>
          </cell>
          <cell r="C109" t="str">
            <v>Population, total</v>
          </cell>
          <cell r="D109" t="str">
            <v>SP.POP.TOTL</v>
          </cell>
          <cell r="E109">
            <v>87751068</v>
          </cell>
          <cell r="F109">
            <v>90098394</v>
          </cell>
          <cell r="G109">
            <v>92518377</v>
          </cell>
          <cell r="H109">
            <v>95015297</v>
          </cell>
          <cell r="I109">
            <v>97596733</v>
          </cell>
          <cell r="J109">
            <v>100267062</v>
          </cell>
          <cell r="K109">
            <v>103025426</v>
          </cell>
          <cell r="L109">
            <v>105865571</v>
          </cell>
          <cell r="M109">
            <v>108779924</v>
          </cell>
          <cell r="N109">
            <v>111758563</v>
          </cell>
          <cell r="O109">
            <v>114793178</v>
          </cell>
          <cell r="P109">
            <v>117880144</v>
          </cell>
          <cell r="Q109">
            <v>121017314</v>
          </cell>
          <cell r="R109">
            <v>124199687</v>
          </cell>
          <cell r="S109">
            <v>127422211</v>
          </cell>
          <cell r="T109">
            <v>130680727</v>
          </cell>
          <cell r="U109">
            <v>133966941</v>
          </cell>
          <cell r="V109">
            <v>137278058</v>
          </cell>
          <cell r="W109">
            <v>140621730</v>
          </cell>
          <cell r="X109">
            <v>144009845</v>
          </cell>
          <cell r="Y109">
            <v>147447836</v>
          </cell>
          <cell r="Z109">
            <v>150938232</v>
          </cell>
          <cell r="AA109">
            <v>154468229</v>
          </cell>
          <cell r="AB109">
            <v>158009246</v>
          </cell>
          <cell r="AC109">
            <v>161523347</v>
          </cell>
          <cell r="AD109">
            <v>164982451</v>
          </cell>
          <cell r="AE109">
            <v>168374287</v>
          </cell>
          <cell r="AF109">
            <v>171702763</v>
          </cell>
          <cell r="AG109">
            <v>174975954</v>
          </cell>
          <cell r="AH109">
            <v>178209150</v>
          </cell>
          <cell r="AI109">
            <v>181413402</v>
          </cell>
          <cell r="AJ109">
            <v>184591903</v>
          </cell>
          <cell r="AK109">
            <v>187739786</v>
          </cell>
          <cell r="AL109">
            <v>190851175</v>
          </cell>
          <cell r="AM109">
            <v>193917462</v>
          </cell>
          <cell r="AN109">
            <v>196934260</v>
          </cell>
          <cell r="AO109">
            <v>199901228</v>
          </cell>
          <cell r="AP109">
            <v>202826446</v>
          </cell>
          <cell r="AQ109">
            <v>205724592</v>
          </cell>
          <cell r="AR109">
            <v>208615169</v>
          </cell>
          <cell r="AS109">
            <v>211513823</v>
          </cell>
          <cell r="AT109">
            <v>214427417</v>
          </cell>
          <cell r="AU109">
            <v>217357793</v>
          </cell>
          <cell r="AV109">
            <v>220309469</v>
          </cell>
          <cell r="AW109">
            <v>223285676</v>
          </cell>
          <cell r="AX109">
            <v>226289470</v>
          </cell>
          <cell r="AY109">
            <v>229318262</v>
          </cell>
          <cell r="AZ109">
            <v>232374245</v>
          </cell>
          <cell r="BA109">
            <v>235469762</v>
          </cell>
          <cell r="BB109">
            <v>238620563</v>
          </cell>
          <cell r="BC109">
            <v>241834215</v>
          </cell>
          <cell r="BD109">
            <v>245116206</v>
          </cell>
          <cell r="BE109">
            <v>248452413</v>
          </cell>
          <cell r="BF109">
            <v>251806402</v>
          </cell>
          <cell r="BG109">
            <v>255129004</v>
          </cell>
          <cell r="BH109">
            <v>258383256</v>
          </cell>
          <cell r="BI109">
            <v>261554226</v>
          </cell>
          <cell r="BJ109">
            <v>264645886</v>
          </cell>
          <cell r="BK109">
            <v>267663435</v>
          </cell>
        </row>
        <row r="110">
          <cell r="B110" t="str">
            <v>IDX</v>
          </cell>
          <cell r="C110" t="str">
            <v>Population, total</v>
          </cell>
          <cell r="D110" t="str">
            <v>SP.POP.TOTL</v>
          </cell>
          <cell r="E110">
            <v>259210437</v>
          </cell>
          <cell r="F110">
            <v>265526681</v>
          </cell>
          <cell r="G110">
            <v>272071951</v>
          </cell>
          <cell r="H110">
            <v>278871880</v>
          </cell>
          <cell r="I110">
            <v>285959903</v>
          </cell>
          <cell r="J110">
            <v>293349258</v>
          </cell>
          <cell r="K110">
            <v>301072599</v>
          </cell>
          <cell r="L110">
            <v>309101650</v>
          </cell>
          <cell r="M110">
            <v>317345562</v>
          </cell>
          <cell r="N110">
            <v>325676214</v>
          </cell>
          <cell r="O110">
            <v>334005177</v>
          </cell>
          <cell r="P110">
            <v>342307916</v>
          </cell>
          <cell r="Q110">
            <v>350636482</v>
          </cell>
          <cell r="R110">
            <v>359070720</v>
          </cell>
          <cell r="S110">
            <v>367744686</v>
          </cell>
          <cell r="T110">
            <v>376746636</v>
          </cell>
          <cell r="U110">
            <v>386112002</v>
          </cell>
          <cell r="V110">
            <v>395826991</v>
          </cell>
          <cell r="W110">
            <v>405885751</v>
          </cell>
          <cell r="X110">
            <v>416271784</v>
          </cell>
          <cell r="Y110">
            <v>426969980</v>
          </cell>
          <cell r="Z110">
            <v>437993835</v>
          </cell>
          <cell r="AA110">
            <v>449367270</v>
          </cell>
          <cell r="AB110">
            <v>461113090</v>
          </cell>
          <cell r="AC110">
            <v>473247198</v>
          </cell>
          <cell r="AD110">
            <v>485786134</v>
          </cell>
          <cell r="AE110">
            <v>498725865</v>
          </cell>
          <cell r="AF110">
            <v>512067261</v>
          </cell>
          <cell r="AG110">
            <v>525840608</v>
          </cell>
          <cell r="AH110">
            <v>540106610</v>
          </cell>
          <cell r="AI110">
            <v>554867399</v>
          </cell>
          <cell r="AJ110">
            <v>570148201</v>
          </cell>
          <cell r="AK110">
            <v>585899336</v>
          </cell>
          <cell r="AL110">
            <v>601965930</v>
          </cell>
          <cell r="AM110">
            <v>618224489</v>
          </cell>
          <cell r="AN110">
            <v>634606298</v>
          </cell>
          <cell r="AO110">
            <v>651028355</v>
          </cell>
          <cell r="AP110">
            <v>667508423</v>
          </cell>
          <cell r="AQ110">
            <v>684006237</v>
          </cell>
          <cell r="AR110">
            <v>700728462</v>
          </cell>
          <cell r="AS110">
            <v>717995644</v>
          </cell>
          <cell r="AT110">
            <v>735758691</v>
          </cell>
          <cell r="AU110">
            <v>753924112</v>
          </cell>
          <cell r="AV110">
            <v>772456490</v>
          </cell>
          <cell r="AW110">
            <v>791288291</v>
          </cell>
          <cell r="AX110">
            <v>810355271</v>
          </cell>
          <cell r="AY110">
            <v>829685531</v>
          </cell>
          <cell r="AZ110">
            <v>849281038</v>
          </cell>
          <cell r="BA110">
            <v>869106787</v>
          </cell>
          <cell r="BB110">
            <v>889124646</v>
          </cell>
          <cell r="BC110">
            <v>909297080</v>
          </cell>
          <cell r="BD110">
            <v>929608108</v>
          </cell>
          <cell r="BE110">
            <v>950131252</v>
          </cell>
          <cell r="BF110">
            <v>971002495</v>
          </cell>
          <cell r="BG110">
            <v>992362842</v>
          </cell>
          <cell r="BH110">
            <v>1014355249</v>
          </cell>
          <cell r="BI110">
            <v>1037052642</v>
          </cell>
          <cell r="BJ110">
            <v>1060393539</v>
          </cell>
          <cell r="BK110">
            <v>1084407516</v>
          </cell>
        </row>
        <row r="111">
          <cell r="B111" t="str">
            <v>IMN</v>
          </cell>
          <cell r="C111" t="str">
            <v>Population, total</v>
          </cell>
          <cell r="D111" t="str">
            <v>SP.POP.TOTL</v>
          </cell>
          <cell r="E111">
            <v>48442</v>
          </cell>
          <cell r="F111">
            <v>48281</v>
          </cell>
          <cell r="G111">
            <v>48418</v>
          </cell>
          <cell r="H111">
            <v>48800</v>
          </cell>
          <cell r="I111">
            <v>49391</v>
          </cell>
          <cell r="J111">
            <v>50141</v>
          </cell>
          <cell r="K111">
            <v>51049</v>
          </cell>
          <cell r="L111">
            <v>52118</v>
          </cell>
          <cell r="M111">
            <v>53254</v>
          </cell>
          <cell r="N111">
            <v>54376</v>
          </cell>
          <cell r="O111">
            <v>55425</v>
          </cell>
          <cell r="P111">
            <v>56359</v>
          </cell>
          <cell r="Q111">
            <v>57166</v>
          </cell>
          <cell r="R111">
            <v>57919</v>
          </cell>
          <cell r="S111">
            <v>58677</v>
          </cell>
          <cell r="T111">
            <v>59478</v>
          </cell>
          <cell r="U111">
            <v>60380</v>
          </cell>
          <cell r="V111">
            <v>61336</v>
          </cell>
          <cell r="W111">
            <v>62262</v>
          </cell>
          <cell r="X111">
            <v>63029</v>
          </cell>
          <cell r="Y111">
            <v>63551</v>
          </cell>
          <cell r="Z111">
            <v>63776</v>
          </cell>
          <cell r="AA111">
            <v>63772</v>
          </cell>
          <cell r="AB111">
            <v>63695</v>
          </cell>
          <cell r="AC111">
            <v>63807</v>
          </cell>
          <cell r="AD111">
            <v>64278</v>
          </cell>
          <cell r="AE111">
            <v>65198</v>
          </cell>
          <cell r="AF111">
            <v>66471</v>
          </cell>
          <cell r="AG111">
            <v>67926</v>
          </cell>
          <cell r="AH111">
            <v>69267</v>
          </cell>
          <cell r="AI111">
            <v>70298</v>
          </cell>
          <cell r="AJ111">
            <v>70932</v>
          </cell>
          <cell r="AK111">
            <v>71254</v>
          </cell>
          <cell r="AL111">
            <v>71428</v>
          </cell>
          <cell r="AM111">
            <v>71661</v>
          </cell>
          <cell r="AN111">
            <v>72131</v>
          </cell>
          <cell r="AO111">
            <v>72878</v>
          </cell>
          <cell r="AP111">
            <v>73850</v>
          </cell>
          <cell r="AQ111">
            <v>74943</v>
          </cell>
          <cell r="AR111">
            <v>76001</v>
          </cell>
          <cell r="AS111">
            <v>76941</v>
          </cell>
          <cell r="AT111">
            <v>77703</v>
          </cell>
          <cell r="AU111">
            <v>78318</v>
          </cell>
          <cell r="AV111">
            <v>78884</v>
          </cell>
          <cell r="AW111">
            <v>79520</v>
          </cell>
          <cell r="AX111">
            <v>80305</v>
          </cell>
          <cell r="AY111">
            <v>81285</v>
          </cell>
          <cell r="AZ111">
            <v>82408</v>
          </cell>
          <cell r="BA111">
            <v>83508</v>
          </cell>
          <cell r="BB111">
            <v>84376</v>
          </cell>
          <cell r="BC111">
            <v>84857</v>
          </cell>
          <cell r="BD111">
            <v>84886</v>
          </cell>
          <cell r="BE111">
            <v>84533</v>
          </cell>
          <cell r="BF111">
            <v>83976</v>
          </cell>
          <cell r="BG111">
            <v>83488</v>
          </cell>
          <cell r="BH111">
            <v>83234</v>
          </cell>
          <cell r="BI111">
            <v>83287</v>
          </cell>
          <cell r="BJ111">
            <v>83598</v>
          </cell>
          <cell r="BK111">
            <v>84077</v>
          </cell>
        </row>
        <row r="112">
          <cell r="B112" t="str">
            <v>IND</v>
          </cell>
          <cell r="C112" t="str">
            <v>Population, total</v>
          </cell>
          <cell r="D112" t="str">
            <v>SP.POP.TOTL</v>
          </cell>
          <cell r="E112">
            <v>450547679</v>
          </cell>
          <cell r="F112">
            <v>459642165</v>
          </cell>
          <cell r="G112">
            <v>469077190</v>
          </cell>
          <cell r="H112">
            <v>478825608</v>
          </cell>
          <cell r="I112">
            <v>488848135</v>
          </cell>
          <cell r="J112">
            <v>499123324</v>
          </cell>
          <cell r="K112">
            <v>509631500</v>
          </cell>
          <cell r="L112">
            <v>520400576</v>
          </cell>
          <cell r="M112">
            <v>531513824</v>
          </cell>
          <cell r="N112">
            <v>543084336</v>
          </cell>
          <cell r="O112">
            <v>555189792</v>
          </cell>
          <cell r="P112">
            <v>567868018</v>
          </cell>
          <cell r="Q112">
            <v>581087256</v>
          </cell>
          <cell r="R112">
            <v>594770134</v>
          </cell>
          <cell r="S112">
            <v>608802600</v>
          </cell>
          <cell r="T112">
            <v>623102897</v>
          </cell>
          <cell r="U112">
            <v>637630087</v>
          </cell>
          <cell r="V112">
            <v>652408776</v>
          </cell>
          <cell r="W112">
            <v>667499806</v>
          </cell>
          <cell r="X112">
            <v>682995354</v>
          </cell>
          <cell r="Y112">
            <v>698952844</v>
          </cell>
          <cell r="Z112">
            <v>715384993</v>
          </cell>
          <cell r="AA112">
            <v>732239504</v>
          </cell>
          <cell r="AB112">
            <v>749428958</v>
          </cell>
          <cell r="AC112">
            <v>766833410</v>
          </cell>
          <cell r="AD112">
            <v>784360008</v>
          </cell>
          <cell r="AE112">
            <v>801975244</v>
          </cell>
          <cell r="AF112">
            <v>819682102</v>
          </cell>
          <cell r="AG112">
            <v>837468930</v>
          </cell>
          <cell r="AH112">
            <v>855334678</v>
          </cell>
          <cell r="AI112">
            <v>873277798</v>
          </cell>
          <cell r="AJ112">
            <v>891273209</v>
          </cell>
          <cell r="AK112">
            <v>909307016</v>
          </cell>
          <cell r="AL112">
            <v>927403860</v>
          </cell>
          <cell r="AM112">
            <v>945601831</v>
          </cell>
          <cell r="AN112">
            <v>963922588</v>
          </cell>
          <cell r="AO112">
            <v>982365243</v>
          </cell>
          <cell r="AP112">
            <v>1000900030</v>
          </cell>
          <cell r="AQ112">
            <v>1019483581</v>
          </cell>
          <cell r="AR112">
            <v>1038058156</v>
          </cell>
          <cell r="AS112">
            <v>1056575549</v>
          </cell>
          <cell r="AT112">
            <v>1075000085</v>
          </cell>
          <cell r="AU112">
            <v>1093317189</v>
          </cell>
          <cell r="AV112">
            <v>1111523144</v>
          </cell>
          <cell r="AW112">
            <v>1129623456</v>
          </cell>
          <cell r="AX112">
            <v>1147609927</v>
          </cell>
          <cell r="AY112">
            <v>1165486291</v>
          </cell>
          <cell r="AZ112">
            <v>1183209472</v>
          </cell>
          <cell r="BA112">
            <v>1200669765</v>
          </cell>
          <cell r="BB112">
            <v>1217726215</v>
          </cell>
          <cell r="BC112">
            <v>1234281170</v>
          </cell>
          <cell r="BD112">
            <v>1250288729</v>
          </cell>
          <cell r="BE112">
            <v>1265782790</v>
          </cell>
          <cell r="BF112">
            <v>1280846129</v>
          </cell>
          <cell r="BG112">
            <v>1295604184</v>
          </cell>
          <cell r="BH112">
            <v>1310152403</v>
          </cell>
          <cell r="BI112">
            <v>1324509589</v>
          </cell>
          <cell r="BJ112">
            <v>1338658835</v>
          </cell>
          <cell r="BK112">
            <v>1352617328</v>
          </cell>
        </row>
        <row r="113">
          <cell r="B113" t="str">
            <v>INX</v>
          </cell>
          <cell r="C113" t="str">
            <v>Population, total</v>
          </cell>
          <cell r="D113" t="str">
            <v>SP.POP.TOTL</v>
          </cell>
        </row>
        <row r="114">
          <cell r="B114" t="str">
            <v>IRL</v>
          </cell>
          <cell r="C114" t="str">
            <v>Population, total</v>
          </cell>
          <cell r="D114" t="str">
            <v>SP.POP.TOTL</v>
          </cell>
          <cell r="E114">
            <v>2828600</v>
          </cell>
          <cell r="F114">
            <v>2824400</v>
          </cell>
          <cell r="G114">
            <v>2836050</v>
          </cell>
          <cell r="H114">
            <v>2852650</v>
          </cell>
          <cell r="I114">
            <v>2866550</v>
          </cell>
          <cell r="J114">
            <v>2877300</v>
          </cell>
          <cell r="K114">
            <v>2888800</v>
          </cell>
          <cell r="L114">
            <v>2902450</v>
          </cell>
          <cell r="M114">
            <v>2915550</v>
          </cell>
          <cell r="N114">
            <v>2932650</v>
          </cell>
          <cell r="O114">
            <v>2957250</v>
          </cell>
          <cell r="P114">
            <v>2992050</v>
          </cell>
          <cell r="Q114">
            <v>3036850</v>
          </cell>
          <cell r="R114">
            <v>3085950</v>
          </cell>
          <cell r="S114">
            <v>3137500</v>
          </cell>
          <cell r="T114">
            <v>3189550</v>
          </cell>
          <cell r="U114">
            <v>3238050</v>
          </cell>
          <cell r="V114">
            <v>3282200</v>
          </cell>
          <cell r="W114">
            <v>3329100</v>
          </cell>
          <cell r="X114">
            <v>3373750</v>
          </cell>
          <cell r="Y114">
            <v>3412800</v>
          </cell>
          <cell r="Z114">
            <v>3453000</v>
          </cell>
          <cell r="AA114">
            <v>3485800</v>
          </cell>
          <cell r="AB114">
            <v>3510600</v>
          </cell>
          <cell r="AC114">
            <v>3532423</v>
          </cell>
          <cell r="AD114">
            <v>3538082</v>
          </cell>
          <cell r="AE114">
            <v>3539690</v>
          </cell>
          <cell r="AF114">
            <v>3540057</v>
          </cell>
          <cell r="AG114">
            <v>3524949</v>
          </cell>
          <cell r="AH114">
            <v>3511009</v>
          </cell>
          <cell r="AI114">
            <v>3513974</v>
          </cell>
          <cell r="AJ114">
            <v>3534235</v>
          </cell>
          <cell r="AK114">
            <v>3558430</v>
          </cell>
          <cell r="AL114">
            <v>3576261</v>
          </cell>
          <cell r="AM114">
            <v>3590386</v>
          </cell>
          <cell r="AN114">
            <v>3608841</v>
          </cell>
          <cell r="AO114">
            <v>3637510</v>
          </cell>
          <cell r="AP114">
            <v>3674171</v>
          </cell>
          <cell r="AQ114">
            <v>3712696</v>
          </cell>
          <cell r="AR114">
            <v>3754786</v>
          </cell>
          <cell r="AS114">
            <v>3805174</v>
          </cell>
          <cell r="AT114">
            <v>3866243</v>
          </cell>
          <cell r="AU114">
            <v>3931947</v>
          </cell>
          <cell r="AV114">
            <v>3996521</v>
          </cell>
          <cell r="AW114">
            <v>4070262</v>
          </cell>
          <cell r="AX114">
            <v>4159914</v>
          </cell>
          <cell r="AY114">
            <v>4273591</v>
          </cell>
          <cell r="AZ114">
            <v>4398942</v>
          </cell>
          <cell r="BA114">
            <v>4489544</v>
          </cell>
          <cell r="BB114">
            <v>4535375</v>
          </cell>
          <cell r="BC114">
            <v>4560155</v>
          </cell>
          <cell r="BD114">
            <v>4580084</v>
          </cell>
          <cell r="BE114">
            <v>4599533</v>
          </cell>
          <cell r="BF114">
            <v>4623816</v>
          </cell>
          <cell r="BG114">
            <v>4657740</v>
          </cell>
          <cell r="BH114">
            <v>4701957</v>
          </cell>
          <cell r="BI114">
            <v>4755335</v>
          </cell>
          <cell r="BJ114">
            <v>4807388</v>
          </cell>
          <cell r="BK114">
            <v>4867309</v>
          </cell>
        </row>
        <row r="115">
          <cell r="B115" t="str">
            <v>IRN</v>
          </cell>
          <cell r="C115" t="str">
            <v>Population, total</v>
          </cell>
          <cell r="D115" t="str">
            <v>SP.POP.TOTL</v>
          </cell>
          <cell r="E115">
            <v>21906914</v>
          </cell>
          <cell r="F115">
            <v>22480372</v>
          </cell>
          <cell r="G115">
            <v>23071315</v>
          </cell>
          <cell r="H115">
            <v>23680258</v>
          </cell>
          <cell r="I115">
            <v>24307860</v>
          </cell>
          <cell r="J115">
            <v>24954873</v>
          </cell>
          <cell r="K115">
            <v>25624373</v>
          </cell>
          <cell r="L115">
            <v>26317783</v>
          </cell>
          <cell r="M115">
            <v>27032571</v>
          </cell>
          <cell r="N115">
            <v>27764924</v>
          </cell>
          <cell r="O115">
            <v>28513866</v>
          </cell>
          <cell r="P115">
            <v>29281591</v>
          </cell>
          <cell r="Q115">
            <v>30075297</v>
          </cell>
          <cell r="R115">
            <v>30905707</v>
          </cell>
          <cell r="S115">
            <v>31786471</v>
          </cell>
          <cell r="T115">
            <v>32729772</v>
          </cell>
          <cell r="U115">
            <v>33733961</v>
          </cell>
          <cell r="V115">
            <v>34803045</v>
          </cell>
          <cell r="W115">
            <v>35960805</v>
          </cell>
          <cell r="X115">
            <v>37237137</v>
          </cell>
          <cell r="Y115">
            <v>38650246</v>
          </cell>
          <cell r="Z115">
            <v>40199906</v>
          </cell>
          <cell r="AA115">
            <v>41869236</v>
          </cell>
          <cell r="AB115">
            <v>43636837</v>
          </cell>
          <cell r="AC115">
            <v>45472791</v>
          </cell>
          <cell r="AD115">
            <v>47347186</v>
          </cell>
          <cell r="AE115">
            <v>49260255</v>
          </cell>
          <cell r="AF115">
            <v>51193782</v>
          </cell>
          <cell r="AG115">
            <v>53077313</v>
          </cell>
          <cell r="AH115">
            <v>54822003</v>
          </cell>
          <cell r="AI115">
            <v>56366217</v>
          </cell>
          <cell r="AJ115">
            <v>57679034</v>
          </cell>
          <cell r="AK115">
            <v>58780370</v>
          </cell>
          <cell r="AL115">
            <v>59723764</v>
          </cell>
          <cell r="AM115">
            <v>60590614</v>
          </cell>
          <cell r="AN115">
            <v>61442664</v>
          </cell>
          <cell r="AO115">
            <v>62294920</v>
          </cell>
          <cell r="AP115">
            <v>63136312</v>
          </cell>
          <cell r="AQ115">
            <v>63971836</v>
          </cell>
          <cell r="AR115">
            <v>64800880</v>
          </cell>
          <cell r="AS115">
            <v>65623405</v>
          </cell>
          <cell r="AT115">
            <v>66449112</v>
          </cell>
          <cell r="AU115">
            <v>67284796</v>
          </cell>
          <cell r="AV115">
            <v>68122938</v>
          </cell>
          <cell r="AW115">
            <v>68951281</v>
          </cell>
          <cell r="AX115">
            <v>69762347</v>
          </cell>
          <cell r="AY115">
            <v>70554760</v>
          </cell>
          <cell r="AZ115">
            <v>71336475</v>
          </cell>
          <cell r="BA115">
            <v>72120604</v>
          </cell>
          <cell r="BB115">
            <v>72924837</v>
          </cell>
          <cell r="BC115">
            <v>73762519</v>
          </cell>
          <cell r="BD115">
            <v>74634956</v>
          </cell>
          <cell r="BE115">
            <v>75539862</v>
          </cell>
          <cell r="BF115">
            <v>76481943</v>
          </cell>
          <cell r="BG115">
            <v>77465753</v>
          </cell>
          <cell r="BH115">
            <v>78492215</v>
          </cell>
          <cell r="BI115">
            <v>79564016</v>
          </cell>
          <cell r="BJ115">
            <v>80673951</v>
          </cell>
          <cell r="BK115">
            <v>81800269</v>
          </cell>
        </row>
        <row r="116">
          <cell r="B116" t="str">
            <v>IRQ</v>
          </cell>
          <cell r="C116" t="str">
            <v>Population, total</v>
          </cell>
          <cell r="D116" t="str">
            <v>SP.POP.TOTL</v>
          </cell>
          <cell r="E116">
            <v>7289760</v>
          </cell>
          <cell r="F116">
            <v>7475350</v>
          </cell>
          <cell r="G116">
            <v>7674220</v>
          </cell>
          <cell r="H116">
            <v>7888913</v>
          </cell>
          <cell r="I116">
            <v>8122197</v>
          </cell>
          <cell r="J116">
            <v>8375790</v>
          </cell>
          <cell r="K116">
            <v>8651162</v>
          </cell>
          <cell r="L116">
            <v>8947404</v>
          </cell>
          <cell r="M116">
            <v>9260682</v>
          </cell>
          <cell r="N116">
            <v>9585576</v>
          </cell>
          <cell r="O116">
            <v>9917983</v>
          </cell>
          <cell r="P116">
            <v>10255850</v>
          </cell>
          <cell r="Q116">
            <v>10599668</v>
          </cell>
          <cell r="R116">
            <v>10950888</v>
          </cell>
          <cell r="S116">
            <v>11312062</v>
          </cell>
          <cell r="T116">
            <v>11684590</v>
          </cell>
          <cell r="U116">
            <v>12068676</v>
          </cell>
          <cell r="V116">
            <v>12462070</v>
          </cell>
          <cell r="W116">
            <v>12860680</v>
          </cell>
          <cell r="X116">
            <v>13259113</v>
          </cell>
          <cell r="Y116">
            <v>13653354</v>
          </cell>
          <cell r="Z116">
            <v>14044117</v>
          </cell>
          <cell r="AA116">
            <v>14432468</v>
          </cell>
          <cell r="AB116">
            <v>14815656</v>
          </cell>
          <cell r="AC116">
            <v>15190393</v>
          </cell>
          <cell r="AD116">
            <v>15555800</v>
          </cell>
          <cell r="AE116">
            <v>15909762</v>
          </cell>
          <cell r="AF116">
            <v>16257070</v>
          </cell>
          <cell r="AG116">
            <v>16612322</v>
          </cell>
          <cell r="AH116">
            <v>16994948</v>
          </cell>
          <cell r="AI116">
            <v>17419113</v>
          </cell>
          <cell r="AJ116">
            <v>17889459</v>
          </cell>
          <cell r="AK116">
            <v>18402734</v>
          </cell>
          <cell r="AL116">
            <v>18955085</v>
          </cell>
          <cell r="AM116">
            <v>19539340</v>
          </cell>
          <cell r="AN116">
            <v>20149338</v>
          </cell>
          <cell r="AO116">
            <v>20783073</v>
          </cell>
          <cell r="AP116">
            <v>21439574</v>
          </cell>
          <cell r="AQ116">
            <v>22114324</v>
          </cell>
          <cell r="AR116">
            <v>22802064</v>
          </cell>
          <cell r="AS116">
            <v>23497585</v>
          </cell>
          <cell r="AT116">
            <v>24208180</v>
          </cell>
          <cell r="AU116">
            <v>24931919</v>
          </cell>
          <cell r="AV116">
            <v>25644499</v>
          </cell>
          <cell r="AW116">
            <v>26313838</v>
          </cell>
          <cell r="AX116">
            <v>26922284</v>
          </cell>
          <cell r="AY116">
            <v>27448124</v>
          </cell>
          <cell r="AZ116">
            <v>27911248</v>
          </cell>
          <cell r="BA116">
            <v>28385746</v>
          </cell>
          <cell r="BB116">
            <v>28973162</v>
          </cell>
          <cell r="BC116">
            <v>29741976</v>
          </cell>
          <cell r="BD116">
            <v>30725300</v>
          </cell>
          <cell r="BE116">
            <v>31890011</v>
          </cell>
          <cell r="BF116">
            <v>33157050</v>
          </cell>
          <cell r="BG116">
            <v>34411951</v>
          </cell>
          <cell r="BH116">
            <v>35572261</v>
          </cell>
          <cell r="BI116">
            <v>36610632</v>
          </cell>
          <cell r="BJ116">
            <v>37552781</v>
          </cell>
          <cell r="BK116">
            <v>38433600</v>
          </cell>
        </row>
        <row r="117">
          <cell r="B117" t="str">
            <v>ISL</v>
          </cell>
          <cell r="C117" t="str">
            <v>Population, total</v>
          </cell>
          <cell r="D117" t="str">
            <v>SP.POP.TOTL</v>
          </cell>
          <cell r="E117">
            <v>175574</v>
          </cell>
          <cell r="F117">
            <v>179029</v>
          </cell>
          <cell r="G117">
            <v>182378</v>
          </cell>
          <cell r="H117">
            <v>185653</v>
          </cell>
          <cell r="I117">
            <v>188983</v>
          </cell>
          <cell r="J117">
            <v>192286</v>
          </cell>
          <cell r="K117">
            <v>195570</v>
          </cell>
          <cell r="L117">
            <v>198751</v>
          </cell>
          <cell r="M117">
            <v>201488</v>
          </cell>
          <cell r="N117">
            <v>203369</v>
          </cell>
          <cell r="O117">
            <v>204438</v>
          </cell>
          <cell r="P117">
            <v>206098</v>
          </cell>
          <cell r="Q117">
            <v>209137</v>
          </cell>
          <cell r="R117">
            <v>212317</v>
          </cell>
          <cell r="S117">
            <v>215209</v>
          </cell>
          <cell r="T117">
            <v>217979</v>
          </cell>
          <cell r="U117">
            <v>220154</v>
          </cell>
          <cell r="V117">
            <v>221799</v>
          </cell>
          <cell r="W117">
            <v>223537</v>
          </cell>
          <cell r="X117">
            <v>225735</v>
          </cell>
          <cell r="Y117">
            <v>228138</v>
          </cell>
          <cell r="Z117">
            <v>230755</v>
          </cell>
          <cell r="AA117">
            <v>233860</v>
          </cell>
          <cell r="AB117">
            <v>236977</v>
          </cell>
          <cell r="AC117">
            <v>239511</v>
          </cell>
          <cell r="AD117">
            <v>241405</v>
          </cell>
          <cell r="AE117">
            <v>243180</v>
          </cell>
          <cell r="AF117">
            <v>245859</v>
          </cell>
          <cell r="AG117">
            <v>249740</v>
          </cell>
          <cell r="AH117">
            <v>252852</v>
          </cell>
          <cell r="AI117">
            <v>254826</v>
          </cell>
          <cell r="AJ117">
            <v>257797</v>
          </cell>
          <cell r="AK117">
            <v>261057</v>
          </cell>
          <cell r="AL117">
            <v>263725</v>
          </cell>
          <cell r="AM117">
            <v>266021</v>
          </cell>
          <cell r="AN117">
            <v>267468</v>
          </cell>
          <cell r="AO117">
            <v>268916</v>
          </cell>
          <cell r="AP117">
            <v>271128</v>
          </cell>
          <cell r="AQ117">
            <v>274047</v>
          </cell>
          <cell r="AR117">
            <v>277381</v>
          </cell>
          <cell r="AS117">
            <v>281205</v>
          </cell>
          <cell r="AT117">
            <v>284968</v>
          </cell>
          <cell r="AU117">
            <v>287523</v>
          </cell>
          <cell r="AV117">
            <v>289521</v>
          </cell>
          <cell r="AW117">
            <v>292074</v>
          </cell>
          <cell r="AX117">
            <v>296734</v>
          </cell>
          <cell r="AY117">
            <v>303782</v>
          </cell>
          <cell r="AZ117">
            <v>311566</v>
          </cell>
          <cell r="BA117">
            <v>317414</v>
          </cell>
          <cell r="BB117">
            <v>318499</v>
          </cell>
          <cell r="BC117">
            <v>318041</v>
          </cell>
          <cell r="BD117">
            <v>319014</v>
          </cell>
          <cell r="BE117">
            <v>320716</v>
          </cell>
          <cell r="BF117">
            <v>323764</v>
          </cell>
          <cell r="BG117">
            <v>327386</v>
          </cell>
          <cell r="BH117">
            <v>330815</v>
          </cell>
          <cell r="BI117">
            <v>335439</v>
          </cell>
          <cell r="BJ117">
            <v>343400</v>
          </cell>
          <cell r="BK117">
            <v>352721</v>
          </cell>
        </row>
        <row r="118">
          <cell r="B118" t="str">
            <v>ISR</v>
          </cell>
          <cell r="C118" t="str">
            <v>Population, total</v>
          </cell>
          <cell r="D118" t="str">
            <v>SP.POP.TOTL</v>
          </cell>
          <cell r="E118">
            <v>2114020</v>
          </cell>
          <cell r="F118">
            <v>2185000</v>
          </cell>
          <cell r="G118">
            <v>2293000</v>
          </cell>
          <cell r="H118">
            <v>2379000</v>
          </cell>
          <cell r="I118">
            <v>2475000</v>
          </cell>
          <cell r="J118">
            <v>2563000</v>
          </cell>
          <cell r="K118">
            <v>2629000</v>
          </cell>
          <cell r="L118">
            <v>2745000</v>
          </cell>
          <cell r="M118">
            <v>2803000</v>
          </cell>
          <cell r="N118">
            <v>2877000</v>
          </cell>
          <cell r="O118">
            <v>2974000</v>
          </cell>
          <cell r="P118">
            <v>3069000</v>
          </cell>
          <cell r="Q118">
            <v>3148000</v>
          </cell>
          <cell r="R118">
            <v>3278000</v>
          </cell>
          <cell r="S118">
            <v>3377000</v>
          </cell>
          <cell r="T118">
            <v>3455000</v>
          </cell>
          <cell r="U118">
            <v>3533000</v>
          </cell>
          <cell r="V118">
            <v>3613000</v>
          </cell>
          <cell r="W118">
            <v>3690000</v>
          </cell>
          <cell r="X118">
            <v>3786000</v>
          </cell>
          <cell r="Y118">
            <v>3878000</v>
          </cell>
          <cell r="Z118">
            <v>3956000</v>
          </cell>
          <cell r="AA118">
            <v>4031000</v>
          </cell>
          <cell r="AB118">
            <v>4105000</v>
          </cell>
          <cell r="AC118">
            <v>4159000</v>
          </cell>
          <cell r="AD118">
            <v>4233000</v>
          </cell>
          <cell r="AE118">
            <v>4299000</v>
          </cell>
          <cell r="AF118">
            <v>4369000</v>
          </cell>
          <cell r="AG118">
            <v>4442000</v>
          </cell>
          <cell r="AH118">
            <v>4518000</v>
          </cell>
          <cell r="AI118">
            <v>4660000</v>
          </cell>
          <cell r="AJ118">
            <v>4949000</v>
          </cell>
          <cell r="AK118">
            <v>5123000</v>
          </cell>
          <cell r="AL118">
            <v>5261000</v>
          </cell>
          <cell r="AM118">
            <v>5399000</v>
          </cell>
          <cell r="AN118">
            <v>5545000</v>
          </cell>
          <cell r="AO118">
            <v>5692000</v>
          </cell>
          <cell r="AP118">
            <v>5836000</v>
          </cell>
          <cell r="AQ118">
            <v>5971000</v>
          </cell>
          <cell r="AR118">
            <v>6125000</v>
          </cell>
          <cell r="AS118">
            <v>6289000</v>
          </cell>
          <cell r="AT118">
            <v>6439000</v>
          </cell>
          <cell r="AU118">
            <v>6570000</v>
          </cell>
          <cell r="AV118">
            <v>6689700</v>
          </cell>
          <cell r="AW118">
            <v>6809000</v>
          </cell>
          <cell r="AX118">
            <v>6930100</v>
          </cell>
          <cell r="AY118">
            <v>7053700</v>
          </cell>
          <cell r="AZ118">
            <v>7180100</v>
          </cell>
          <cell r="BA118">
            <v>7308800</v>
          </cell>
          <cell r="BB118">
            <v>7485600</v>
          </cell>
          <cell r="BC118">
            <v>7623600</v>
          </cell>
          <cell r="BD118">
            <v>7765800</v>
          </cell>
          <cell r="BE118">
            <v>7910500</v>
          </cell>
          <cell r="BF118">
            <v>8059500</v>
          </cell>
          <cell r="BG118">
            <v>8215700</v>
          </cell>
          <cell r="BH118">
            <v>8380100</v>
          </cell>
          <cell r="BI118">
            <v>8546000</v>
          </cell>
          <cell r="BJ118">
            <v>8713300</v>
          </cell>
          <cell r="BK118">
            <v>8882800</v>
          </cell>
        </row>
        <row r="119">
          <cell r="B119" t="str">
            <v>ITA</v>
          </cell>
          <cell r="C119" t="str">
            <v>Population, total</v>
          </cell>
          <cell r="D119" t="str">
            <v>SP.POP.TOTL</v>
          </cell>
          <cell r="E119">
            <v>50199700</v>
          </cell>
          <cell r="F119">
            <v>50536350</v>
          </cell>
          <cell r="G119">
            <v>50879450</v>
          </cell>
          <cell r="H119">
            <v>51252000</v>
          </cell>
          <cell r="I119">
            <v>51675350</v>
          </cell>
          <cell r="J119">
            <v>52112350</v>
          </cell>
          <cell r="K119">
            <v>52519000</v>
          </cell>
          <cell r="L119">
            <v>52900500</v>
          </cell>
          <cell r="M119">
            <v>53235750</v>
          </cell>
          <cell r="N119">
            <v>53537950</v>
          </cell>
          <cell r="O119">
            <v>53821850</v>
          </cell>
          <cell r="P119">
            <v>54073490</v>
          </cell>
          <cell r="Q119">
            <v>54381345</v>
          </cell>
          <cell r="R119">
            <v>54751406</v>
          </cell>
          <cell r="S119">
            <v>55110868</v>
          </cell>
          <cell r="T119">
            <v>55441001</v>
          </cell>
          <cell r="U119">
            <v>55718260</v>
          </cell>
          <cell r="V119">
            <v>55955411</v>
          </cell>
          <cell r="W119">
            <v>56155143</v>
          </cell>
          <cell r="X119">
            <v>56317749</v>
          </cell>
          <cell r="Y119">
            <v>56433883</v>
          </cell>
          <cell r="Z119">
            <v>56501675</v>
          </cell>
          <cell r="AA119">
            <v>56543548</v>
          </cell>
          <cell r="AB119">
            <v>56564074</v>
          </cell>
          <cell r="AC119">
            <v>56576718</v>
          </cell>
          <cell r="AD119">
            <v>56593071</v>
          </cell>
          <cell r="AE119">
            <v>56596155</v>
          </cell>
          <cell r="AF119">
            <v>56601931</v>
          </cell>
          <cell r="AG119">
            <v>56629288</v>
          </cell>
          <cell r="AH119">
            <v>56671781</v>
          </cell>
          <cell r="AI119">
            <v>56719240</v>
          </cell>
          <cell r="AJ119">
            <v>56758521</v>
          </cell>
          <cell r="AK119">
            <v>56797087</v>
          </cell>
          <cell r="AL119">
            <v>56831821</v>
          </cell>
          <cell r="AM119">
            <v>56843400</v>
          </cell>
          <cell r="AN119">
            <v>56844303</v>
          </cell>
          <cell r="AO119">
            <v>56860281</v>
          </cell>
          <cell r="AP119">
            <v>56890372</v>
          </cell>
          <cell r="AQ119">
            <v>56906744</v>
          </cell>
          <cell r="AR119">
            <v>56916317</v>
          </cell>
          <cell r="AS119">
            <v>56942108</v>
          </cell>
          <cell r="AT119">
            <v>56974100</v>
          </cell>
          <cell r="AU119">
            <v>57059007</v>
          </cell>
          <cell r="AV119">
            <v>57313203</v>
          </cell>
          <cell r="AW119">
            <v>57685327</v>
          </cell>
          <cell r="AX119">
            <v>57969484</v>
          </cell>
          <cell r="AY119">
            <v>58143979</v>
          </cell>
          <cell r="AZ119">
            <v>58438310</v>
          </cell>
          <cell r="BA119">
            <v>58826731</v>
          </cell>
          <cell r="BB119">
            <v>59095365</v>
          </cell>
          <cell r="BC119">
            <v>59277417</v>
          </cell>
          <cell r="BD119">
            <v>59379449</v>
          </cell>
          <cell r="BE119">
            <v>59539717</v>
          </cell>
          <cell r="BF119">
            <v>60233948</v>
          </cell>
          <cell r="BG119">
            <v>60789140</v>
          </cell>
          <cell r="BH119">
            <v>60730582</v>
          </cell>
          <cell r="BI119">
            <v>60627498</v>
          </cell>
          <cell r="BJ119">
            <v>60536709</v>
          </cell>
          <cell r="BK119">
            <v>60421760</v>
          </cell>
        </row>
        <row r="120">
          <cell r="B120" t="str">
            <v>JAM</v>
          </cell>
          <cell r="C120" t="str">
            <v>Population, total</v>
          </cell>
          <cell r="D120" t="str">
            <v>SP.POP.TOTL</v>
          </cell>
          <cell r="E120">
            <v>1628520</v>
          </cell>
          <cell r="F120">
            <v>1651073</v>
          </cell>
          <cell r="G120">
            <v>1676501</v>
          </cell>
          <cell r="H120">
            <v>1703651</v>
          </cell>
          <cell r="I120">
            <v>1730738</v>
          </cell>
          <cell r="J120">
            <v>1756511</v>
          </cell>
          <cell r="K120">
            <v>1780518</v>
          </cell>
          <cell r="L120">
            <v>1803319</v>
          </cell>
          <cell r="M120">
            <v>1825879</v>
          </cell>
          <cell r="N120">
            <v>1849662</v>
          </cell>
          <cell r="O120">
            <v>1875642</v>
          </cell>
          <cell r="P120">
            <v>1904276</v>
          </cell>
          <cell r="Q120">
            <v>1935100</v>
          </cell>
          <cell r="R120">
            <v>1966974</v>
          </cell>
          <cell r="S120">
            <v>1998309</v>
          </cell>
          <cell r="T120">
            <v>2028016</v>
          </cell>
          <cell r="U120">
            <v>2055365</v>
          </cell>
          <cell r="V120">
            <v>2080831</v>
          </cell>
          <cell r="W120">
            <v>2105907</v>
          </cell>
          <cell r="X120">
            <v>2132785</v>
          </cell>
          <cell r="Y120">
            <v>2162846</v>
          </cell>
          <cell r="Z120">
            <v>2196921</v>
          </cell>
          <cell r="AA120">
            <v>2234057</v>
          </cell>
          <cell r="AB120">
            <v>2271736</v>
          </cell>
          <cell r="AC120">
            <v>2306366</v>
          </cell>
          <cell r="AD120">
            <v>2335510</v>
          </cell>
          <cell r="AE120">
            <v>2358161</v>
          </cell>
          <cell r="AF120">
            <v>2375393</v>
          </cell>
          <cell r="AG120">
            <v>2389411</v>
          </cell>
          <cell r="AH120">
            <v>2403464</v>
          </cell>
          <cell r="AI120">
            <v>2419906</v>
          </cell>
          <cell r="AJ120">
            <v>2439334</v>
          </cell>
          <cell r="AK120">
            <v>2461049</v>
          </cell>
          <cell r="AL120">
            <v>2484581</v>
          </cell>
          <cell r="AM120">
            <v>2509043</v>
          </cell>
          <cell r="AN120">
            <v>2533711</v>
          </cell>
          <cell r="AO120">
            <v>2558637</v>
          </cell>
          <cell r="AP120">
            <v>2583916</v>
          </cell>
          <cell r="AQ120">
            <v>2608873</v>
          </cell>
          <cell r="AR120">
            <v>2632675</v>
          </cell>
          <cell r="AS120">
            <v>2654701</v>
          </cell>
          <cell r="AT120">
            <v>2674702</v>
          </cell>
          <cell r="AU120">
            <v>2692845</v>
          </cell>
          <cell r="AV120">
            <v>2709437</v>
          </cell>
          <cell r="AW120">
            <v>2725015</v>
          </cell>
          <cell r="AX120">
            <v>2740003</v>
          </cell>
          <cell r="AY120">
            <v>2754407</v>
          </cell>
          <cell r="AZ120">
            <v>2768227</v>
          </cell>
          <cell r="BA120">
            <v>2781876</v>
          </cell>
          <cell r="BB120">
            <v>2795837</v>
          </cell>
          <cell r="BC120">
            <v>2810460</v>
          </cell>
          <cell r="BD120">
            <v>2825929</v>
          </cell>
          <cell r="BE120">
            <v>2842132</v>
          </cell>
          <cell r="BF120">
            <v>2858709</v>
          </cell>
          <cell r="BG120">
            <v>2875136</v>
          </cell>
          <cell r="BH120">
            <v>2891021</v>
          </cell>
          <cell r="BI120">
            <v>2906238</v>
          </cell>
          <cell r="BJ120">
            <v>2920853</v>
          </cell>
          <cell r="BK120">
            <v>2934855</v>
          </cell>
        </row>
        <row r="121">
          <cell r="B121" t="str">
            <v>JOR</v>
          </cell>
          <cell r="C121" t="str">
            <v>Population, total</v>
          </cell>
          <cell r="D121" t="str">
            <v>SP.POP.TOTL</v>
          </cell>
          <cell r="E121">
            <v>933102</v>
          </cell>
          <cell r="F121">
            <v>973988</v>
          </cell>
          <cell r="G121">
            <v>1010658</v>
          </cell>
          <cell r="H121">
            <v>1050213</v>
          </cell>
          <cell r="I121">
            <v>1102399</v>
          </cell>
          <cell r="J121">
            <v>1173606</v>
          </cell>
          <cell r="K121">
            <v>1267062</v>
          </cell>
          <cell r="L121">
            <v>1378998</v>
          </cell>
          <cell r="M121">
            <v>1500163</v>
          </cell>
          <cell r="N121">
            <v>1617428</v>
          </cell>
          <cell r="O121">
            <v>1721323</v>
          </cell>
          <cell r="P121">
            <v>1809182</v>
          </cell>
          <cell r="Q121">
            <v>1883935</v>
          </cell>
          <cell r="R121">
            <v>1948442</v>
          </cell>
          <cell r="S121">
            <v>2007735</v>
          </cell>
          <cell r="T121">
            <v>2065913</v>
          </cell>
          <cell r="U121">
            <v>2123180</v>
          </cell>
          <cell r="V121">
            <v>2179363</v>
          </cell>
          <cell r="W121">
            <v>2237943</v>
          </cell>
          <cell r="X121">
            <v>2303122</v>
          </cell>
          <cell r="Y121">
            <v>2377995</v>
          </cell>
          <cell r="Z121">
            <v>2464867</v>
          </cell>
          <cell r="AA121">
            <v>2563534</v>
          </cell>
          <cell r="AB121">
            <v>2671413</v>
          </cell>
          <cell r="AC121">
            <v>2784463</v>
          </cell>
          <cell r="AD121">
            <v>2900049</v>
          </cell>
          <cell r="AE121">
            <v>3015299</v>
          </cell>
          <cell r="AF121">
            <v>3131796</v>
          </cell>
          <cell r="AG121">
            <v>3256558</v>
          </cell>
          <cell r="AH121">
            <v>3399330</v>
          </cell>
          <cell r="AI121">
            <v>3565890</v>
          </cell>
          <cell r="AJ121">
            <v>3760496</v>
          </cell>
          <cell r="AK121">
            <v>3977672</v>
          </cell>
          <cell r="AL121">
            <v>4201555</v>
          </cell>
          <cell r="AM121">
            <v>4410359</v>
          </cell>
          <cell r="AN121">
            <v>4588843</v>
          </cell>
          <cell r="AO121">
            <v>4732854</v>
          </cell>
          <cell r="AP121">
            <v>4848541</v>
          </cell>
          <cell r="AQ121">
            <v>4943975</v>
          </cell>
          <cell r="AR121">
            <v>5031762</v>
          </cell>
          <cell r="AS121">
            <v>5122493</v>
          </cell>
          <cell r="AT121">
            <v>5217336</v>
          </cell>
          <cell r="AU121">
            <v>5317506</v>
          </cell>
          <cell r="AV121">
            <v>5434030</v>
          </cell>
          <cell r="AW121">
            <v>5580244</v>
          </cell>
          <cell r="AX121">
            <v>5765635</v>
          </cell>
          <cell r="AY121">
            <v>5991540</v>
          </cell>
          <cell r="AZ121">
            <v>6255280</v>
          </cell>
          <cell r="BA121">
            <v>6556478</v>
          </cell>
          <cell r="BB121">
            <v>6893260</v>
          </cell>
          <cell r="BC121">
            <v>7261539</v>
          </cell>
          <cell r="BD121">
            <v>7663131</v>
          </cell>
          <cell r="BE121">
            <v>8090872</v>
          </cell>
          <cell r="BF121">
            <v>8520420</v>
          </cell>
          <cell r="BG121">
            <v>8920049</v>
          </cell>
          <cell r="BH121">
            <v>9266575</v>
          </cell>
          <cell r="BI121">
            <v>9551467</v>
          </cell>
          <cell r="BJ121">
            <v>9779173</v>
          </cell>
          <cell r="BK121">
            <v>9956011</v>
          </cell>
        </row>
        <row r="122">
          <cell r="B122" t="str">
            <v>JPN</v>
          </cell>
          <cell r="C122" t="str">
            <v>Population, total</v>
          </cell>
          <cell r="D122" t="str">
            <v>SP.POP.TOTL</v>
          </cell>
          <cell r="E122">
            <v>92500572</v>
          </cell>
          <cell r="F122">
            <v>94943000</v>
          </cell>
          <cell r="G122">
            <v>95832000</v>
          </cell>
          <cell r="H122">
            <v>96812000</v>
          </cell>
          <cell r="I122">
            <v>97826000</v>
          </cell>
          <cell r="J122">
            <v>98883000</v>
          </cell>
          <cell r="K122">
            <v>99790000</v>
          </cell>
          <cell r="L122">
            <v>100725000</v>
          </cell>
          <cell r="M122">
            <v>101061000</v>
          </cell>
          <cell r="N122">
            <v>103172000</v>
          </cell>
          <cell r="O122">
            <v>104345000</v>
          </cell>
          <cell r="P122">
            <v>105697000</v>
          </cell>
          <cell r="Q122">
            <v>107188000</v>
          </cell>
          <cell r="R122">
            <v>108079000</v>
          </cell>
          <cell r="S122">
            <v>110162000</v>
          </cell>
          <cell r="T122">
            <v>111940000</v>
          </cell>
          <cell r="U122">
            <v>112771000</v>
          </cell>
          <cell r="V122">
            <v>113863000</v>
          </cell>
          <cell r="W122">
            <v>114898000</v>
          </cell>
          <cell r="X122">
            <v>115870000</v>
          </cell>
          <cell r="Y122">
            <v>116782000</v>
          </cell>
          <cell r="Z122">
            <v>117648000</v>
          </cell>
          <cell r="AA122">
            <v>118449000</v>
          </cell>
          <cell r="AB122">
            <v>119259000</v>
          </cell>
          <cell r="AC122">
            <v>120018000</v>
          </cell>
          <cell r="AD122">
            <v>120754000</v>
          </cell>
          <cell r="AE122">
            <v>121492000</v>
          </cell>
          <cell r="AF122">
            <v>122091000</v>
          </cell>
          <cell r="AG122">
            <v>122613000</v>
          </cell>
          <cell r="AH122">
            <v>123116000</v>
          </cell>
          <cell r="AI122">
            <v>123537000</v>
          </cell>
          <cell r="AJ122">
            <v>123921000</v>
          </cell>
          <cell r="AK122">
            <v>124229000</v>
          </cell>
          <cell r="AL122">
            <v>124536000</v>
          </cell>
          <cell r="AM122">
            <v>124961000</v>
          </cell>
          <cell r="AN122">
            <v>125439000</v>
          </cell>
          <cell r="AO122">
            <v>125757000</v>
          </cell>
          <cell r="AP122">
            <v>126057000</v>
          </cell>
          <cell r="AQ122">
            <v>126400000</v>
          </cell>
          <cell r="AR122">
            <v>126631000</v>
          </cell>
          <cell r="AS122">
            <v>126843000</v>
          </cell>
          <cell r="AT122">
            <v>127149000</v>
          </cell>
          <cell r="AU122">
            <v>127445000</v>
          </cell>
          <cell r="AV122">
            <v>127718000</v>
          </cell>
          <cell r="AW122">
            <v>127761000</v>
          </cell>
          <cell r="AX122">
            <v>127773000</v>
          </cell>
          <cell r="AY122">
            <v>127854000</v>
          </cell>
          <cell r="AZ122">
            <v>128001000</v>
          </cell>
          <cell r="BA122">
            <v>128063000</v>
          </cell>
          <cell r="BB122">
            <v>128047000</v>
          </cell>
          <cell r="BC122">
            <v>128070000</v>
          </cell>
          <cell r="BD122">
            <v>127833000</v>
          </cell>
          <cell r="BE122">
            <v>127629000</v>
          </cell>
          <cell r="BF122">
            <v>127445000</v>
          </cell>
          <cell r="BG122">
            <v>127276000</v>
          </cell>
          <cell r="BH122">
            <v>127141000</v>
          </cell>
          <cell r="BI122">
            <v>126994511</v>
          </cell>
          <cell r="BJ122">
            <v>126785797</v>
          </cell>
          <cell r="BK122">
            <v>126529100</v>
          </cell>
        </row>
        <row r="123">
          <cell r="B123" t="str">
            <v>KAZ</v>
          </cell>
          <cell r="C123" t="str">
            <v>Population, total</v>
          </cell>
          <cell r="D123" t="str">
            <v>SP.POP.TOTL</v>
          </cell>
          <cell r="E123">
            <v>9934563</v>
          </cell>
          <cell r="F123">
            <v>10349414</v>
          </cell>
          <cell r="G123">
            <v>10756928</v>
          </cell>
          <cell r="H123">
            <v>11147859</v>
          </cell>
          <cell r="I123">
            <v>11511847</v>
          </cell>
          <cell r="J123">
            <v>11841920</v>
          </cell>
          <cell r="K123">
            <v>12132559</v>
          </cell>
          <cell r="L123">
            <v>12385710</v>
          </cell>
          <cell r="M123">
            <v>12611426</v>
          </cell>
          <cell r="N123">
            <v>12824606</v>
          </cell>
          <cell r="O123">
            <v>13036139</v>
          </cell>
          <cell r="P123">
            <v>13250213</v>
          </cell>
          <cell r="Q123">
            <v>13463985</v>
          </cell>
          <cell r="R123">
            <v>13673007</v>
          </cell>
          <cell r="S123">
            <v>13869975</v>
          </cell>
          <cell r="T123">
            <v>14050226</v>
          </cell>
          <cell r="U123">
            <v>14212145</v>
          </cell>
          <cell r="V123">
            <v>14359624</v>
          </cell>
          <cell r="W123">
            <v>14499952</v>
          </cell>
          <cell r="X123">
            <v>14643133</v>
          </cell>
          <cell r="Y123">
            <v>14796174</v>
          </cell>
          <cell r="Z123">
            <v>14958908</v>
          </cell>
          <cell r="AA123">
            <v>15128087</v>
          </cell>
          <cell r="AB123">
            <v>15303309</v>
          </cell>
          <cell r="AC123">
            <v>15483419</v>
          </cell>
          <cell r="AD123">
            <v>15665595</v>
          </cell>
          <cell r="AE123">
            <v>15852525</v>
          </cell>
          <cell r="AF123">
            <v>16039251</v>
          </cell>
          <cell r="AG123">
            <v>16206002</v>
          </cell>
          <cell r="AH123">
            <v>16249500</v>
          </cell>
          <cell r="AI123">
            <v>16348000</v>
          </cell>
          <cell r="AJ123">
            <v>16450500</v>
          </cell>
          <cell r="AK123">
            <v>16439095</v>
          </cell>
          <cell r="AL123">
            <v>16330419</v>
          </cell>
          <cell r="AM123">
            <v>16095199</v>
          </cell>
          <cell r="AN123">
            <v>15815626</v>
          </cell>
          <cell r="AO123">
            <v>15577894</v>
          </cell>
          <cell r="AP123">
            <v>15333703</v>
          </cell>
          <cell r="AQ123">
            <v>15071300</v>
          </cell>
          <cell r="AR123">
            <v>14928426</v>
          </cell>
          <cell r="AS123">
            <v>14883626</v>
          </cell>
          <cell r="AT123">
            <v>14858335</v>
          </cell>
          <cell r="AU123">
            <v>14858948</v>
          </cell>
          <cell r="AV123">
            <v>14909018</v>
          </cell>
          <cell r="AW123">
            <v>15012985</v>
          </cell>
          <cell r="AX123">
            <v>15147029</v>
          </cell>
          <cell r="AY123">
            <v>15308084</v>
          </cell>
          <cell r="AZ123">
            <v>15484192</v>
          </cell>
          <cell r="BA123">
            <v>15674000</v>
          </cell>
          <cell r="BB123">
            <v>16092822</v>
          </cell>
          <cell r="BC123">
            <v>16321872</v>
          </cell>
          <cell r="BD123">
            <v>16557201</v>
          </cell>
          <cell r="BE123">
            <v>16792089</v>
          </cell>
          <cell r="BF123">
            <v>17035550</v>
          </cell>
          <cell r="BG123">
            <v>17288285</v>
          </cell>
          <cell r="BH123">
            <v>17542806</v>
          </cell>
          <cell r="BI123">
            <v>17794055</v>
          </cell>
          <cell r="BJ123">
            <v>18037776</v>
          </cell>
          <cell r="BK123">
            <v>18272430</v>
          </cell>
        </row>
        <row r="124">
          <cell r="B124" t="str">
            <v>KEN</v>
          </cell>
          <cell r="C124" t="str">
            <v>Population, total</v>
          </cell>
          <cell r="D124" t="str">
            <v>SP.POP.TOTL</v>
          </cell>
          <cell r="E124">
            <v>8120080</v>
          </cell>
          <cell r="F124">
            <v>8377696</v>
          </cell>
          <cell r="G124">
            <v>8647011</v>
          </cell>
          <cell r="H124">
            <v>8928511</v>
          </cell>
          <cell r="I124">
            <v>9222692</v>
          </cell>
          <cell r="J124">
            <v>9530173</v>
          </cell>
          <cell r="K124">
            <v>9851444</v>
          </cell>
          <cell r="L124">
            <v>10187478</v>
          </cell>
          <cell r="M124">
            <v>10539894</v>
          </cell>
          <cell r="N124">
            <v>10910675</v>
          </cell>
          <cell r="O124">
            <v>11301394</v>
          </cell>
          <cell r="P124">
            <v>11713048</v>
          </cell>
          <cell r="Q124">
            <v>12146068</v>
          </cell>
          <cell r="R124">
            <v>12600797</v>
          </cell>
          <cell r="S124">
            <v>13077341</v>
          </cell>
          <cell r="T124">
            <v>13575907</v>
          </cell>
          <cell r="U124">
            <v>14096263</v>
          </cell>
          <cell r="V124">
            <v>14638890</v>
          </cell>
          <cell r="W124">
            <v>15205374</v>
          </cell>
          <cell r="X124">
            <v>15797776</v>
          </cell>
          <cell r="Y124">
            <v>16417197</v>
          </cell>
          <cell r="Z124">
            <v>17063876</v>
          </cell>
          <cell r="AA124">
            <v>17736326</v>
          </cell>
          <cell r="AB124">
            <v>18431761</v>
          </cell>
          <cell r="AC124">
            <v>19146400</v>
          </cell>
          <cell r="AD124">
            <v>19877083</v>
          </cell>
          <cell r="AE124">
            <v>20622560</v>
          </cell>
          <cell r="AF124">
            <v>21382112</v>
          </cell>
          <cell r="AG124">
            <v>22153676</v>
          </cell>
          <cell r="AH124">
            <v>22935092</v>
          </cell>
          <cell r="AI124">
            <v>23724579</v>
          </cell>
          <cell r="AJ124">
            <v>24521703</v>
          </cell>
          <cell r="AK124">
            <v>25326078</v>
          </cell>
          <cell r="AL124">
            <v>26136216</v>
          </cell>
          <cell r="AM124">
            <v>26950513</v>
          </cell>
          <cell r="AN124">
            <v>27768296</v>
          </cell>
          <cell r="AO124">
            <v>28589451</v>
          </cell>
          <cell r="AP124">
            <v>29415659</v>
          </cell>
          <cell r="AQ124">
            <v>30250488</v>
          </cell>
          <cell r="AR124">
            <v>31098757</v>
          </cell>
          <cell r="AS124">
            <v>31964557</v>
          </cell>
          <cell r="AT124">
            <v>32848564</v>
          </cell>
          <cell r="AU124">
            <v>33751739</v>
          </cell>
          <cell r="AV124">
            <v>34678779</v>
          </cell>
          <cell r="AW124">
            <v>35635271</v>
          </cell>
          <cell r="AX124">
            <v>36624895</v>
          </cell>
          <cell r="AY124">
            <v>37649033</v>
          </cell>
          <cell r="AZ124">
            <v>38705932</v>
          </cell>
          <cell r="BA124">
            <v>39791981</v>
          </cell>
          <cell r="BB124">
            <v>40901792</v>
          </cell>
          <cell r="BC124">
            <v>42030676</v>
          </cell>
          <cell r="BD124">
            <v>43178257</v>
          </cell>
          <cell r="BE124">
            <v>44343410</v>
          </cell>
          <cell r="BF124">
            <v>45519889</v>
          </cell>
          <cell r="BG124">
            <v>46699981</v>
          </cell>
          <cell r="BH124">
            <v>47878336</v>
          </cell>
          <cell r="BI124">
            <v>49051686</v>
          </cell>
          <cell r="BJ124">
            <v>50221473</v>
          </cell>
          <cell r="BK124">
            <v>51393010</v>
          </cell>
        </row>
        <row r="125">
          <cell r="B125" t="str">
            <v>KGZ</v>
          </cell>
          <cell r="C125" t="str">
            <v>Population, total</v>
          </cell>
          <cell r="D125" t="str">
            <v>SP.POP.TOTL</v>
          </cell>
          <cell r="E125">
            <v>2172300</v>
          </cell>
          <cell r="F125">
            <v>2255900</v>
          </cell>
          <cell r="G125">
            <v>2333400</v>
          </cell>
          <cell r="H125">
            <v>2413700</v>
          </cell>
          <cell r="I125">
            <v>2495300</v>
          </cell>
          <cell r="J125">
            <v>2573300</v>
          </cell>
          <cell r="K125">
            <v>2655300</v>
          </cell>
          <cell r="L125">
            <v>2736500</v>
          </cell>
          <cell r="M125">
            <v>2818300</v>
          </cell>
          <cell r="N125">
            <v>2894800</v>
          </cell>
          <cell r="O125">
            <v>2959900</v>
          </cell>
          <cell r="P125">
            <v>3022300</v>
          </cell>
          <cell r="Q125">
            <v>3088200</v>
          </cell>
          <cell r="R125">
            <v>3153800</v>
          </cell>
          <cell r="S125">
            <v>3223900</v>
          </cell>
          <cell r="T125">
            <v>3292400</v>
          </cell>
          <cell r="U125">
            <v>3358700</v>
          </cell>
          <cell r="V125">
            <v>3423900</v>
          </cell>
          <cell r="W125">
            <v>3487100</v>
          </cell>
          <cell r="X125">
            <v>3552000</v>
          </cell>
          <cell r="Y125">
            <v>3617400</v>
          </cell>
          <cell r="Z125">
            <v>3685800</v>
          </cell>
          <cell r="AA125">
            <v>3759300</v>
          </cell>
          <cell r="AB125">
            <v>3838300</v>
          </cell>
          <cell r="AC125">
            <v>3916400</v>
          </cell>
          <cell r="AD125">
            <v>3990300</v>
          </cell>
          <cell r="AE125">
            <v>4066500</v>
          </cell>
          <cell r="AF125">
            <v>4144600</v>
          </cell>
          <cell r="AG125">
            <v>4218400</v>
          </cell>
          <cell r="AH125">
            <v>4307500</v>
          </cell>
          <cell r="AI125">
            <v>4391200</v>
          </cell>
          <cell r="AJ125">
            <v>4463600</v>
          </cell>
          <cell r="AK125">
            <v>4515400</v>
          </cell>
          <cell r="AL125">
            <v>4516700</v>
          </cell>
          <cell r="AM125">
            <v>4515100</v>
          </cell>
          <cell r="AN125">
            <v>4560400</v>
          </cell>
          <cell r="AO125">
            <v>4628400</v>
          </cell>
          <cell r="AP125">
            <v>4696400</v>
          </cell>
          <cell r="AQ125">
            <v>4769000</v>
          </cell>
          <cell r="AR125">
            <v>4840400</v>
          </cell>
          <cell r="AS125">
            <v>4898400</v>
          </cell>
          <cell r="AT125">
            <v>4945100</v>
          </cell>
          <cell r="AU125">
            <v>4990700</v>
          </cell>
          <cell r="AV125">
            <v>5043300</v>
          </cell>
          <cell r="AW125">
            <v>5104700</v>
          </cell>
          <cell r="AX125">
            <v>5162600</v>
          </cell>
          <cell r="AY125">
            <v>5218400</v>
          </cell>
          <cell r="AZ125">
            <v>5268400</v>
          </cell>
          <cell r="BA125">
            <v>5318700</v>
          </cell>
          <cell r="BB125">
            <v>5383300</v>
          </cell>
          <cell r="BC125">
            <v>5447900</v>
          </cell>
          <cell r="BD125">
            <v>5514600</v>
          </cell>
          <cell r="BE125">
            <v>5607200</v>
          </cell>
          <cell r="BF125">
            <v>5719600</v>
          </cell>
          <cell r="BG125">
            <v>5835500</v>
          </cell>
          <cell r="BH125">
            <v>5956900</v>
          </cell>
          <cell r="BI125">
            <v>6079500</v>
          </cell>
          <cell r="BJ125">
            <v>6198200</v>
          </cell>
          <cell r="BK125">
            <v>6322800</v>
          </cell>
        </row>
        <row r="126">
          <cell r="B126" t="str">
            <v>KHM</v>
          </cell>
          <cell r="C126" t="str">
            <v>Population, total</v>
          </cell>
          <cell r="D126" t="str">
            <v>SP.POP.TOTL</v>
          </cell>
          <cell r="E126">
            <v>5722370</v>
          </cell>
          <cell r="F126">
            <v>5872966</v>
          </cell>
          <cell r="G126">
            <v>6028431</v>
          </cell>
          <cell r="H126">
            <v>6183584</v>
          </cell>
          <cell r="I126">
            <v>6331449</v>
          </cell>
          <cell r="J126">
            <v>6467197</v>
          </cell>
          <cell r="K126">
            <v>6585035</v>
          </cell>
          <cell r="L126">
            <v>6685960</v>
          </cell>
          <cell r="M126">
            <v>6779787</v>
          </cell>
          <cell r="N126">
            <v>6880623</v>
          </cell>
          <cell r="O126">
            <v>6996576</v>
          </cell>
          <cell r="P126">
            <v>7139647</v>
          </cell>
          <cell r="Q126">
            <v>7302111</v>
          </cell>
          <cell r="R126">
            <v>7449238</v>
          </cell>
          <cell r="S126">
            <v>7533336</v>
          </cell>
          <cell r="T126">
            <v>7524447</v>
          </cell>
          <cell r="U126">
            <v>7404684</v>
          </cell>
          <cell r="V126">
            <v>7196042</v>
          </cell>
          <cell r="W126">
            <v>6957265</v>
          </cell>
          <cell r="X126">
            <v>6770396</v>
          </cell>
          <cell r="Y126">
            <v>6693764</v>
          </cell>
          <cell r="Z126">
            <v>6749847</v>
          </cell>
          <cell r="AA126">
            <v>6919801</v>
          </cell>
          <cell r="AB126">
            <v>7169997</v>
          </cell>
          <cell r="AC126">
            <v>7447853</v>
          </cell>
          <cell r="AD126">
            <v>7714880</v>
          </cell>
          <cell r="AE126">
            <v>7960949</v>
          </cell>
          <cell r="AF126">
            <v>8198082</v>
          </cell>
          <cell r="AG126">
            <v>8435912</v>
          </cell>
          <cell r="AH126">
            <v>8691334</v>
          </cell>
          <cell r="AI126">
            <v>8975597</v>
          </cell>
          <cell r="AJ126">
            <v>9289299</v>
          </cell>
          <cell r="AK126">
            <v>9623889</v>
          </cell>
          <cell r="AL126">
            <v>9970733</v>
          </cell>
          <cell r="AM126">
            <v>10317899</v>
          </cell>
          <cell r="AN126">
            <v>10656138</v>
          </cell>
          <cell r="AO126">
            <v>10982917</v>
          </cell>
          <cell r="AP126">
            <v>11298600</v>
          </cell>
          <cell r="AQ126">
            <v>11600508</v>
          </cell>
          <cell r="AR126">
            <v>11886458</v>
          </cell>
          <cell r="AS126">
            <v>12155239</v>
          </cell>
          <cell r="AT126">
            <v>12405408</v>
          </cell>
          <cell r="AU126">
            <v>12637727</v>
          </cell>
          <cell r="AV126">
            <v>12856163</v>
          </cell>
          <cell r="AW126">
            <v>13066469</v>
          </cell>
          <cell r="AX126">
            <v>13273354</v>
          </cell>
          <cell r="AY126">
            <v>13477709</v>
          </cell>
          <cell r="AZ126">
            <v>13679962</v>
          </cell>
          <cell r="BA126">
            <v>13883834</v>
          </cell>
          <cell r="BB126">
            <v>14093604</v>
          </cell>
          <cell r="BC126">
            <v>14312212</v>
          </cell>
          <cell r="BD126">
            <v>14541423</v>
          </cell>
          <cell r="BE126">
            <v>14780454</v>
          </cell>
          <cell r="BF126">
            <v>15026332</v>
          </cell>
          <cell r="BG126">
            <v>15274503</v>
          </cell>
          <cell r="BH126">
            <v>15521436</v>
          </cell>
          <cell r="BI126">
            <v>15766293</v>
          </cell>
          <cell r="BJ126">
            <v>16009414</v>
          </cell>
          <cell r="BK126">
            <v>16249798</v>
          </cell>
        </row>
        <row r="127">
          <cell r="B127" t="str">
            <v>KIR</v>
          </cell>
          <cell r="C127" t="str">
            <v>Population, total</v>
          </cell>
          <cell r="D127" t="str">
            <v>SP.POP.TOTL</v>
          </cell>
          <cell r="E127">
            <v>41202</v>
          </cell>
          <cell r="F127">
            <v>42229</v>
          </cell>
          <cell r="G127">
            <v>43281</v>
          </cell>
          <cell r="H127">
            <v>44338</v>
          </cell>
          <cell r="I127">
            <v>45399</v>
          </cell>
          <cell r="J127">
            <v>46429</v>
          </cell>
          <cell r="K127">
            <v>47434</v>
          </cell>
          <cell r="L127">
            <v>48417</v>
          </cell>
          <cell r="M127">
            <v>49363</v>
          </cell>
          <cell r="N127">
            <v>50267</v>
          </cell>
          <cell r="O127">
            <v>51151</v>
          </cell>
          <cell r="P127">
            <v>51980</v>
          </cell>
          <cell r="Q127">
            <v>52780</v>
          </cell>
          <cell r="R127">
            <v>53553</v>
          </cell>
          <cell r="S127">
            <v>54333</v>
          </cell>
          <cell r="T127">
            <v>55114</v>
          </cell>
          <cell r="U127">
            <v>55924</v>
          </cell>
          <cell r="V127">
            <v>56764</v>
          </cell>
          <cell r="W127">
            <v>57618</v>
          </cell>
          <cell r="X127">
            <v>58461</v>
          </cell>
          <cell r="Y127">
            <v>59301</v>
          </cell>
          <cell r="Z127">
            <v>60104</v>
          </cell>
          <cell r="AA127">
            <v>60887</v>
          </cell>
          <cell r="AB127">
            <v>61733</v>
          </cell>
          <cell r="AC127">
            <v>62744</v>
          </cell>
          <cell r="AD127">
            <v>63986</v>
          </cell>
          <cell r="AE127">
            <v>65505</v>
          </cell>
          <cell r="AF127">
            <v>67248</v>
          </cell>
          <cell r="AG127">
            <v>69089</v>
          </cell>
          <cell r="AH127">
            <v>70853</v>
          </cell>
          <cell r="AI127">
            <v>72400</v>
          </cell>
          <cell r="AJ127">
            <v>73692</v>
          </cell>
          <cell r="AK127">
            <v>74766</v>
          </cell>
          <cell r="AL127">
            <v>75716</v>
          </cell>
          <cell r="AM127">
            <v>76670</v>
          </cell>
          <cell r="AN127">
            <v>77723</v>
          </cell>
          <cell r="AO127">
            <v>78903</v>
          </cell>
          <cell r="AP127">
            <v>80187</v>
          </cell>
          <cell r="AQ127">
            <v>81556</v>
          </cell>
          <cell r="AR127">
            <v>82972</v>
          </cell>
          <cell r="AS127">
            <v>84396</v>
          </cell>
          <cell r="AT127">
            <v>85849</v>
          </cell>
          <cell r="AU127">
            <v>87305</v>
          </cell>
          <cell r="AV127">
            <v>88835</v>
          </cell>
          <cell r="AW127">
            <v>90499</v>
          </cell>
          <cell r="AX127">
            <v>92325</v>
          </cell>
          <cell r="AY127">
            <v>94343</v>
          </cell>
          <cell r="AZ127">
            <v>96527</v>
          </cell>
          <cell r="BA127">
            <v>98761</v>
          </cell>
          <cell r="BB127">
            <v>100930</v>
          </cell>
          <cell r="BC127">
            <v>102927</v>
          </cell>
          <cell r="BD127">
            <v>104728</v>
          </cell>
          <cell r="BE127">
            <v>106370</v>
          </cell>
          <cell r="BF127">
            <v>107890</v>
          </cell>
          <cell r="BG127">
            <v>109391</v>
          </cell>
          <cell r="BH127">
            <v>110930</v>
          </cell>
          <cell r="BI127">
            <v>112524</v>
          </cell>
          <cell r="BJ127">
            <v>114158</v>
          </cell>
          <cell r="BK127">
            <v>115847</v>
          </cell>
        </row>
        <row r="128">
          <cell r="B128" t="str">
            <v>KNA</v>
          </cell>
          <cell r="C128" t="str">
            <v>Population, total</v>
          </cell>
          <cell r="D128" t="str">
            <v>SP.POP.TOTL</v>
          </cell>
          <cell r="E128">
            <v>51195</v>
          </cell>
          <cell r="F128">
            <v>51192</v>
          </cell>
          <cell r="G128">
            <v>50963</v>
          </cell>
          <cell r="H128">
            <v>50525</v>
          </cell>
          <cell r="I128">
            <v>49931</v>
          </cell>
          <cell r="J128">
            <v>49214</v>
          </cell>
          <cell r="K128">
            <v>48358</v>
          </cell>
          <cell r="L128">
            <v>47381</v>
          </cell>
          <cell r="M128">
            <v>46397</v>
          </cell>
          <cell r="N128">
            <v>45534</v>
          </cell>
          <cell r="O128">
            <v>44883</v>
          </cell>
          <cell r="P128">
            <v>44490</v>
          </cell>
          <cell r="Q128">
            <v>44320</v>
          </cell>
          <cell r="R128">
            <v>44311</v>
          </cell>
          <cell r="S128">
            <v>44328</v>
          </cell>
          <cell r="T128">
            <v>44272</v>
          </cell>
          <cell r="U128">
            <v>44143</v>
          </cell>
          <cell r="V128">
            <v>43942</v>
          </cell>
          <cell r="W128">
            <v>43708</v>
          </cell>
          <cell r="X128">
            <v>43455</v>
          </cell>
          <cell r="Y128">
            <v>43205</v>
          </cell>
          <cell r="Z128">
            <v>42960</v>
          </cell>
          <cell r="AA128">
            <v>42728</v>
          </cell>
          <cell r="AB128">
            <v>42482</v>
          </cell>
          <cell r="AC128">
            <v>42199</v>
          </cell>
          <cell r="AD128">
            <v>41866</v>
          </cell>
          <cell r="AE128">
            <v>41479</v>
          </cell>
          <cell r="AF128">
            <v>41041</v>
          </cell>
          <cell r="AG128">
            <v>40641</v>
          </cell>
          <cell r="AH128">
            <v>40354</v>
          </cell>
          <cell r="AI128">
            <v>40259</v>
          </cell>
          <cell r="AJ128">
            <v>40379</v>
          </cell>
          <cell r="AK128">
            <v>40697</v>
          </cell>
          <cell r="AL128">
            <v>41135</v>
          </cell>
          <cell r="AM128">
            <v>41617</v>
          </cell>
          <cell r="AN128">
            <v>42074</v>
          </cell>
          <cell r="AO128">
            <v>42475</v>
          </cell>
          <cell r="AP128">
            <v>42854</v>
          </cell>
          <cell r="AQ128">
            <v>43221</v>
          </cell>
          <cell r="AR128">
            <v>43614</v>
          </cell>
          <cell r="AS128">
            <v>44074</v>
          </cell>
          <cell r="AT128">
            <v>44599</v>
          </cell>
          <cell r="AU128">
            <v>45165</v>
          </cell>
          <cell r="AV128">
            <v>45746</v>
          </cell>
          <cell r="AW128">
            <v>46324</v>
          </cell>
          <cell r="AX128">
            <v>46857</v>
          </cell>
          <cell r="AY128">
            <v>47339</v>
          </cell>
          <cell r="AZ128">
            <v>47778</v>
          </cell>
          <cell r="BA128">
            <v>48185</v>
          </cell>
          <cell r="BB128">
            <v>48599</v>
          </cell>
          <cell r="BC128">
            <v>49016</v>
          </cell>
          <cell r="BD128">
            <v>49447</v>
          </cell>
          <cell r="BE128">
            <v>49887</v>
          </cell>
          <cell r="BF128">
            <v>50331</v>
          </cell>
          <cell r="BG128">
            <v>50774</v>
          </cell>
          <cell r="BH128">
            <v>51203</v>
          </cell>
          <cell r="BI128">
            <v>51625</v>
          </cell>
          <cell r="BJ128">
            <v>52045</v>
          </cell>
          <cell r="BK128">
            <v>52441</v>
          </cell>
        </row>
        <row r="129">
          <cell r="B129" t="str">
            <v>KOR</v>
          </cell>
          <cell r="C129" t="str">
            <v>Population, total</v>
          </cell>
          <cell r="D129" t="str">
            <v>SP.POP.TOTL</v>
          </cell>
          <cell r="E129">
            <v>25012374</v>
          </cell>
          <cell r="F129">
            <v>25765673</v>
          </cell>
          <cell r="G129">
            <v>26513030</v>
          </cell>
          <cell r="H129">
            <v>27261747</v>
          </cell>
          <cell r="I129">
            <v>27984155</v>
          </cell>
          <cell r="J129">
            <v>28704674</v>
          </cell>
          <cell r="K129">
            <v>29435571</v>
          </cell>
          <cell r="L129">
            <v>30130983</v>
          </cell>
          <cell r="M129">
            <v>30838302</v>
          </cell>
          <cell r="N129">
            <v>31544266</v>
          </cell>
          <cell r="O129">
            <v>32240827</v>
          </cell>
          <cell r="P129">
            <v>32882704</v>
          </cell>
          <cell r="Q129">
            <v>33505406</v>
          </cell>
          <cell r="R129">
            <v>34103149</v>
          </cell>
          <cell r="S129">
            <v>34692266</v>
          </cell>
          <cell r="T129">
            <v>35280725</v>
          </cell>
          <cell r="U129">
            <v>35848523</v>
          </cell>
          <cell r="V129">
            <v>36411795</v>
          </cell>
          <cell r="W129">
            <v>36969185</v>
          </cell>
          <cell r="X129">
            <v>37534236</v>
          </cell>
          <cell r="Y129">
            <v>38123775</v>
          </cell>
          <cell r="Z129">
            <v>38723248</v>
          </cell>
          <cell r="AA129">
            <v>39326352</v>
          </cell>
          <cell r="AB129">
            <v>39910403</v>
          </cell>
          <cell r="AC129">
            <v>40405956</v>
          </cell>
          <cell r="AD129">
            <v>40805744</v>
          </cell>
          <cell r="AE129">
            <v>41213674</v>
          </cell>
          <cell r="AF129">
            <v>41621690</v>
          </cell>
          <cell r="AG129">
            <v>42031247</v>
          </cell>
          <cell r="AH129">
            <v>42449038</v>
          </cell>
          <cell r="AI129">
            <v>42869283</v>
          </cell>
          <cell r="AJ129">
            <v>43295704</v>
          </cell>
          <cell r="AK129">
            <v>43747962</v>
          </cell>
          <cell r="AL129">
            <v>44194628</v>
          </cell>
          <cell r="AM129">
            <v>44641540</v>
          </cell>
          <cell r="AN129">
            <v>45092991</v>
          </cell>
          <cell r="AO129">
            <v>45524681</v>
          </cell>
          <cell r="AP129">
            <v>45953580</v>
          </cell>
          <cell r="AQ129">
            <v>46286503</v>
          </cell>
          <cell r="AR129">
            <v>46616677</v>
          </cell>
          <cell r="AS129">
            <v>47008111</v>
          </cell>
          <cell r="AT129">
            <v>47370164</v>
          </cell>
          <cell r="AU129">
            <v>47644736</v>
          </cell>
          <cell r="AV129">
            <v>47892330</v>
          </cell>
          <cell r="AW129">
            <v>48082519</v>
          </cell>
          <cell r="AX129">
            <v>48184561</v>
          </cell>
          <cell r="AY129">
            <v>48438292</v>
          </cell>
          <cell r="AZ129">
            <v>48683638</v>
          </cell>
          <cell r="BA129">
            <v>49054708</v>
          </cell>
          <cell r="BB129">
            <v>49307835</v>
          </cell>
          <cell r="BC129">
            <v>49554112</v>
          </cell>
          <cell r="BD129">
            <v>49936638</v>
          </cell>
          <cell r="BE129">
            <v>50199853</v>
          </cell>
          <cell r="BF129">
            <v>50428893</v>
          </cell>
          <cell r="BG129">
            <v>50746659</v>
          </cell>
          <cell r="BH129">
            <v>51014947</v>
          </cell>
          <cell r="BI129">
            <v>51217803</v>
          </cell>
          <cell r="BJ129">
            <v>51361911</v>
          </cell>
          <cell r="BK129">
            <v>51606633</v>
          </cell>
        </row>
        <row r="130">
          <cell r="B130" t="str">
            <v>KWT</v>
          </cell>
          <cell r="C130" t="str">
            <v>Population, total</v>
          </cell>
          <cell r="D130" t="str">
            <v>SP.POP.TOTL</v>
          </cell>
          <cell r="E130">
            <v>269029</v>
          </cell>
          <cell r="F130">
            <v>300576</v>
          </cell>
          <cell r="G130">
            <v>337348</v>
          </cell>
          <cell r="H130">
            <v>378746</v>
          </cell>
          <cell r="I130">
            <v>423898</v>
          </cell>
          <cell r="J130">
            <v>472037</v>
          </cell>
          <cell r="K130">
            <v>523166</v>
          </cell>
          <cell r="L130">
            <v>577164</v>
          </cell>
          <cell r="M130">
            <v>632899</v>
          </cell>
          <cell r="N130">
            <v>688979</v>
          </cell>
          <cell r="O130">
            <v>744450</v>
          </cell>
          <cell r="P130">
            <v>798642</v>
          </cell>
          <cell r="Q130">
            <v>851916</v>
          </cell>
          <cell r="R130">
            <v>905635</v>
          </cell>
          <cell r="S130">
            <v>961770</v>
          </cell>
          <cell r="T130">
            <v>1021720</v>
          </cell>
          <cell r="U130">
            <v>1085861</v>
          </cell>
          <cell r="V130">
            <v>1153583</v>
          </cell>
          <cell r="W130">
            <v>1224067</v>
          </cell>
          <cell r="X130">
            <v>1296081</v>
          </cell>
          <cell r="Y130">
            <v>1368677</v>
          </cell>
          <cell r="Z130">
            <v>1439331</v>
          </cell>
          <cell r="AA130">
            <v>1507645</v>
          </cell>
          <cell r="AB130">
            <v>1576968</v>
          </cell>
          <cell r="AC130">
            <v>1652150</v>
          </cell>
          <cell r="AD130">
            <v>1735274</v>
          </cell>
          <cell r="AE130">
            <v>1832310</v>
          </cell>
          <cell r="AF130">
            <v>1938909</v>
          </cell>
          <cell r="AG130">
            <v>2034857</v>
          </cell>
          <cell r="AH130">
            <v>2092777</v>
          </cell>
          <cell r="AI130">
            <v>2095344</v>
          </cell>
          <cell r="AJ130">
            <v>2031296</v>
          </cell>
          <cell r="AN130">
            <v>1605901</v>
          </cell>
          <cell r="AO130">
            <v>1626857</v>
          </cell>
          <cell r="AP130">
            <v>1710256</v>
          </cell>
          <cell r="AQ130">
            <v>1831119</v>
          </cell>
          <cell r="AR130">
            <v>1951636</v>
          </cell>
          <cell r="AS130">
            <v>2045123</v>
          </cell>
          <cell r="AT130">
            <v>2103282</v>
          </cell>
          <cell r="AU130">
            <v>2136997</v>
          </cell>
          <cell r="AV130">
            <v>2161626</v>
          </cell>
          <cell r="AW130">
            <v>2200492</v>
          </cell>
          <cell r="AX130">
            <v>2270198</v>
          </cell>
          <cell r="AY130">
            <v>2373672</v>
          </cell>
          <cell r="AZ130">
            <v>2504019</v>
          </cell>
          <cell r="BA130">
            <v>2656009</v>
          </cell>
          <cell r="BB130">
            <v>2821045</v>
          </cell>
          <cell r="BC130">
            <v>2991884</v>
          </cell>
          <cell r="BD130">
            <v>3168060</v>
          </cell>
          <cell r="BE130">
            <v>3348853</v>
          </cell>
          <cell r="BF130">
            <v>3526378</v>
          </cell>
          <cell r="BG130">
            <v>3690942</v>
          </cell>
          <cell r="BH130">
            <v>3835591</v>
          </cell>
          <cell r="BI130">
            <v>3956873</v>
          </cell>
          <cell r="BJ130">
            <v>4056097</v>
          </cell>
          <cell r="BK130">
            <v>4137309</v>
          </cell>
        </row>
        <row r="131">
          <cell r="B131" t="str">
            <v>LAC</v>
          </cell>
          <cell r="C131" t="str">
            <v>Population, total</v>
          </cell>
          <cell r="D131" t="str">
            <v>SP.POP.TOTL</v>
          </cell>
          <cell r="E131">
            <v>204214185</v>
          </cell>
          <cell r="F131">
            <v>209991788</v>
          </cell>
          <cell r="G131">
            <v>215945959</v>
          </cell>
          <cell r="H131">
            <v>222052829</v>
          </cell>
          <cell r="I131">
            <v>228279229</v>
          </cell>
          <cell r="J131">
            <v>234599288</v>
          </cell>
          <cell r="K131">
            <v>241005051</v>
          </cell>
          <cell r="L131">
            <v>247497113</v>
          </cell>
          <cell r="M131">
            <v>254069201</v>
          </cell>
          <cell r="N131">
            <v>260716644</v>
          </cell>
          <cell r="O131">
            <v>267436459</v>
          </cell>
          <cell r="P131">
            <v>274223248</v>
          </cell>
          <cell r="Q131">
            <v>281076139</v>
          </cell>
          <cell r="R131">
            <v>288002834</v>
          </cell>
          <cell r="S131">
            <v>295014919</v>
          </cell>
          <cell r="T131">
            <v>302121282</v>
          </cell>
          <cell r="U131">
            <v>309317366</v>
          </cell>
          <cell r="V131">
            <v>316599746</v>
          </cell>
          <cell r="W131">
            <v>323978218</v>
          </cell>
          <cell r="X131">
            <v>331465770</v>
          </cell>
          <cell r="Y131">
            <v>339067716</v>
          </cell>
          <cell r="Z131">
            <v>346786830</v>
          </cell>
          <cell r="AA131">
            <v>354608437</v>
          </cell>
          <cell r="AB131">
            <v>362498351</v>
          </cell>
          <cell r="AC131">
            <v>370410991</v>
          </cell>
          <cell r="AD131">
            <v>378311111</v>
          </cell>
          <cell r="AE131">
            <v>386183203</v>
          </cell>
          <cell r="AF131">
            <v>394027388</v>
          </cell>
          <cell r="AG131">
            <v>401843272</v>
          </cell>
          <cell r="AH131">
            <v>409636367</v>
          </cell>
          <cell r="AI131">
            <v>417409519</v>
          </cell>
          <cell r="AJ131">
            <v>425153755</v>
          </cell>
          <cell r="AK131">
            <v>432859827</v>
          </cell>
          <cell r="AL131">
            <v>440530487</v>
          </cell>
          <cell r="AM131">
            <v>448171372</v>
          </cell>
          <cell r="AN131">
            <v>455783349</v>
          </cell>
          <cell r="AO131">
            <v>463368817</v>
          </cell>
          <cell r="AP131">
            <v>470916671</v>
          </cell>
          <cell r="AQ131">
            <v>478398772</v>
          </cell>
          <cell r="AR131">
            <v>485778282</v>
          </cell>
          <cell r="AS131">
            <v>493029013</v>
          </cell>
          <cell r="AT131">
            <v>500140855</v>
          </cell>
          <cell r="AU131">
            <v>507121489</v>
          </cell>
          <cell r="AV131">
            <v>513985894</v>
          </cell>
          <cell r="AW131">
            <v>520757766</v>
          </cell>
          <cell r="AX131">
            <v>527455967</v>
          </cell>
          <cell r="AY131">
            <v>534080194</v>
          </cell>
          <cell r="AZ131">
            <v>540628539</v>
          </cell>
          <cell r="BA131">
            <v>547116062</v>
          </cell>
          <cell r="BB131">
            <v>553561029</v>
          </cell>
          <cell r="BC131">
            <v>559867514</v>
          </cell>
          <cell r="BD131">
            <v>566309408</v>
          </cell>
          <cell r="BE131">
            <v>572713225</v>
          </cell>
          <cell r="BF131">
            <v>579053861</v>
          </cell>
          <cell r="BG131">
            <v>585296422</v>
          </cell>
          <cell r="BH131">
            <v>591416820</v>
          </cell>
          <cell r="BI131">
            <v>597399287</v>
          </cell>
          <cell r="BJ131">
            <v>603254104</v>
          </cell>
          <cell r="BK131">
            <v>609013934</v>
          </cell>
        </row>
        <row r="132">
          <cell r="B132" t="str">
            <v>LAO</v>
          </cell>
          <cell r="C132" t="str">
            <v>Population, total</v>
          </cell>
          <cell r="D132" t="str">
            <v>SP.POP.TOTL</v>
          </cell>
          <cell r="E132">
            <v>2120898</v>
          </cell>
          <cell r="F132">
            <v>2170344</v>
          </cell>
          <cell r="G132">
            <v>2221125</v>
          </cell>
          <cell r="H132">
            <v>2273351</v>
          </cell>
          <cell r="I132">
            <v>2327137</v>
          </cell>
          <cell r="J132">
            <v>2382594</v>
          </cell>
          <cell r="K132">
            <v>2439196</v>
          </cell>
          <cell r="L132">
            <v>2496920</v>
          </cell>
          <cell r="M132">
            <v>2556852</v>
          </cell>
          <cell r="N132">
            <v>2620434</v>
          </cell>
          <cell r="O132">
            <v>2688428</v>
          </cell>
          <cell r="P132">
            <v>2762265</v>
          </cell>
          <cell r="Q132">
            <v>2840841</v>
          </cell>
          <cell r="R132">
            <v>2919287</v>
          </cell>
          <cell r="S132">
            <v>2990965</v>
          </cell>
          <cell r="T132">
            <v>3051577</v>
          </cell>
          <cell r="U132">
            <v>3098973</v>
          </cell>
          <cell r="V132">
            <v>3135842</v>
          </cell>
          <cell r="W132">
            <v>3168843</v>
          </cell>
          <cell r="X132">
            <v>3207328</v>
          </cell>
          <cell r="Y132">
            <v>3258144</v>
          </cell>
          <cell r="Z132">
            <v>3323366</v>
          </cell>
          <cell r="AA132">
            <v>3401191</v>
          </cell>
          <cell r="AB132">
            <v>3489903</v>
          </cell>
          <cell r="AC132">
            <v>3586316</v>
          </cell>
          <cell r="AD132">
            <v>3687898</v>
          </cell>
          <cell r="AE132">
            <v>3794198</v>
          </cell>
          <cell r="AF132">
            <v>3905530</v>
          </cell>
          <cell r="AG132">
            <v>4020811</v>
          </cell>
          <cell r="AH132">
            <v>4138845</v>
          </cell>
          <cell r="AI132">
            <v>4258472</v>
          </cell>
          <cell r="AJ132">
            <v>4379236</v>
          </cell>
          <cell r="AK132">
            <v>4500351</v>
          </cell>
          <cell r="AL132">
            <v>4619944</v>
          </cell>
          <cell r="AM132">
            <v>4735845</v>
          </cell>
          <cell r="AN132">
            <v>4846483</v>
          </cell>
          <cell r="AO132">
            <v>4951195</v>
          </cell>
          <cell r="AP132">
            <v>5050315</v>
          </cell>
          <cell r="AQ132">
            <v>5144602</v>
          </cell>
          <cell r="AR132">
            <v>5235346</v>
          </cell>
          <cell r="AS132">
            <v>5323700</v>
          </cell>
          <cell r="AT132">
            <v>5409582</v>
          </cell>
          <cell r="AU132">
            <v>5493246</v>
          </cell>
          <cell r="AV132">
            <v>5576640</v>
          </cell>
          <cell r="AW132">
            <v>5662208</v>
          </cell>
          <cell r="AX132">
            <v>5751676</v>
          </cell>
          <cell r="AY132">
            <v>5846074</v>
          </cell>
          <cell r="AZ132">
            <v>5944948</v>
          </cell>
          <cell r="BA132">
            <v>6046620</v>
          </cell>
          <cell r="BB132">
            <v>6148623</v>
          </cell>
          <cell r="BC132">
            <v>6249165</v>
          </cell>
          <cell r="BD132">
            <v>6347567</v>
          </cell>
          <cell r="BE132">
            <v>6444530</v>
          </cell>
          <cell r="BF132">
            <v>6541304</v>
          </cell>
          <cell r="BG132">
            <v>6639756</v>
          </cell>
          <cell r="BH132">
            <v>6741164</v>
          </cell>
          <cell r="BI132">
            <v>6845846</v>
          </cell>
          <cell r="BJ132">
            <v>6953035</v>
          </cell>
          <cell r="BK132">
            <v>7061507</v>
          </cell>
        </row>
        <row r="133">
          <cell r="B133" t="str">
            <v>LBN</v>
          </cell>
          <cell r="C133" t="str">
            <v>Population, total</v>
          </cell>
          <cell r="D133" t="str">
            <v>SP.POP.TOTL</v>
          </cell>
          <cell r="E133">
            <v>1804941</v>
          </cell>
          <cell r="F133">
            <v>1864619</v>
          </cell>
          <cell r="G133">
            <v>1925297</v>
          </cell>
          <cell r="H133">
            <v>1985001</v>
          </cell>
          <cell r="I133">
            <v>2041229</v>
          </cell>
          <cell r="J133">
            <v>2092375</v>
          </cell>
          <cell r="K133">
            <v>2136617</v>
          </cell>
          <cell r="L133">
            <v>2174738</v>
          </cell>
          <cell r="M133">
            <v>2210772</v>
          </cell>
          <cell r="N133">
            <v>2250447</v>
          </cell>
          <cell r="O133">
            <v>2297434</v>
          </cell>
          <cell r="P133">
            <v>2354047</v>
          </cell>
          <cell r="Q133">
            <v>2417836</v>
          </cell>
          <cell r="R133">
            <v>2481943</v>
          </cell>
          <cell r="S133">
            <v>2536778</v>
          </cell>
          <cell r="T133">
            <v>2575749</v>
          </cell>
          <cell r="U133">
            <v>2596406</v>
          </cell>
          <cell r="V133">
            <v>2601740</v>
          </cell>
          <cell r="W133">
            <v>2597205</v>
          </cell>
          <cell r="X133">
            <v>2590902</v>
          </cell>
          <cell r="Y133">
            <v>2588929</v>
          </cell>
          <cell r="Z133">
            <v>2594302</v>
          </cell>
          <cell r="AA133">
            <v>2606139</v>
          </cell>
          <cell r="AB133">
            <v>2622072</v>
          </cell>
          <cell r="AC133">
            <v>2638054</v>
          </cell>
          <cell r="AD133">
            <v>2651995</v>
          </cell>
          <cell r="AE133">
            <v>2660872</v>
          </cell>
          <cell r="AF133">
            <v>2667960</v>
          </cell>
          <cell r="AG133">
            <v>2684675</v>
          </cell>
          <cell r="AH133">
            <v>2726440</v>
          </cell>
          <cell r="AI133">
            <v>2803044</v>
          </cell>
          <cell r="AJ133">
            <v>2921706</v>
          </cell>
          <cell r="AK133">
            <v>3076132</v>
          </cell>
          <cell r="AL133">
            <v>3246126</v>
          </cell>
          <cell r="AM133">
            <v>3403357</v>
          </cell>
          <cell r="AN133">
            <v>3528380</v>
          </cell>
          <cell r="AO133">
            <v>3610665</v>
          </cell>
          <cell r="AP133">
            <v>3658424</v>
          </cell>
          <cell r="AQ133">
            <v>3693520</v>
          </cell>
          <cell r="AR133">
            <v>3747766</v>
          </cell>
          <cell r="AS133">
            <v>3842778</v>
          </cell>
          <cell r="AT133">
            <v>3991001</v>
          </cell>
          <cell r="AU133">
            <v>4182205</v>
          </cell>
          <cell r="AV133">
            <v>4388375</v>
          </cell>
          <cell r="AW133">
            <v>4569378</v>
          </cell>
          <cell r="AX133">
            <v>4698763</v>
          </cell>
          <cell r="AY133">
            <v>4759753</v>
          </cell>
          <cell r="AZ133">
            <v>4767344</v>
          </cell>
          <cell r="BA133">
            <v>4764741</v>
          </cell>
          <cell r="BB133">
            <v>4813026</v>
          </cell>
          <cell r="BC133">
            <v>4953061</v>
          </cell>
          <cell r="BD133">
            <v>5202343</v>
          </cell>
          <cell r="BE133">
            <v>5538634</v>
          </cell>
          <cell r="BF133">
            <v>5914621</v>
          </cell>
          <cell r="BG133">
            <v>6262410</v>
          </cell>
          <cell r="BH133">
            <v>6532678</v>
          </cell>
          <cell r="BI133">
            <v>6711121</v>
          </cell>
          <cell r="BJ133">
            <v>6811873</v>
          </cell>
          <cell r="BK133">
            <v>6848925</v>
          </cell>
        </row>
        <row r="134">
          <cell r="B134" t="str">
            <v>LBR</v>
          </cell>
          <cell r="C134" t="str">
            <v>Population, total</v>
          </cell>
          <cell r="D134" t="str">
            <v>SP.POP.TOTL</v>
          </cell>
          <cell r="E134">
            <v>1118657</v>
          </cell>
          <cell r="F134">
            <v>1142302</v>
          </cell>
          <cell r="G134">
            <v>1166648</v>
          </cell>
          <cell r="H134">
            <v>1191802</v>
          </cell>
          <cell r="I134">
            <v>1217901</v>
          </cell>
          <cell r="J134">
            <v>1245102</v>
          </cell>
          <cell r="K134">
            <v>1273464</v>
          </cell>
          <cell r="L134">
            <v>1303035</v>
          </cell>
          <cell r="M134">
            <v>1333978</v>
          </cell>
          <cell r="N134">
            <v>1366502</v>
          </cell>
          <cell r="O134">
            <v>1400730</v>
          </cell>
          <cell r="P134">
            <v>1436738</v>
          </cell>
          <cell r="Q134">
            <v>1474567</v>
          </cell>
          <cell r="R134">
            <v>1514366</v>
          </cell>
          <cell r="S134">
            <v>1556290</v>
          </cell>
          <cell r="T134">
            <v>1600452</v>
          </cell>
          <cell r="U134">
            <v>1645836</v>
          </cell>
          <cell r="V134">
            <v>1692140</v>
          </cell>
          <cell r="W134">
            <v>1740914</v>
          </cell>
          <cell r="X134">
            <v>1794248</v>
          </cell>
          <cell r="Y134">
            <v>1853001</v>
          </cell>
          <cell r="Z134">
            <v>1918826</v>
          </cell>
          <cell r="AA134">
            <v>1989483</v>
          </cell>
          <cell r="AB134">
            <v>2057227</v>
          </cell>
          <cell r="AC134">
            <v>2111671</v>
          </cell>
          <cell r="AD134">
            <v>2145754</v>
          </cell>
          <cell r="AE134">
            <v>2158429</v>
          </cell>
          <cell r="AF134">
            <v>2153316</v>
          </cell>
          <cell r="AG134">
            <v>2134097</v>
          </cell>
          <cell r="AH134">
            <v>2106431</v>
          </cell>
          <cell r="AI134">
            <v>2075912</v>
          </cell>
          <cell r="AJ134">
            <v>2040139</v>
          </cell>
          <cell r="AK134">
            <v>2001624</v>
          </cell>
          <cell r="AL134">
            <v>1976699</v>
          </cell>
          <cell r="AM134">
            <v>1986493</v>
          </cell>
          <cell r="AN134">
            <v>2044661</v>
          </cell>
          <cell r="AO134">
            <v>2160478</v>
          </cell>
          <cell r="AP134">
            <v>2326202</v>
          </cell>
          <cell r="AQ134">
            <v>2517481</v>
          </cell>
          <cell r="AR134">
            <v>2699712</v>
          </cell>
          <cell r="AS134">
            <v>2848456</v>
          </cell>
          <cell r="AT134">
            <v>2953927</v>
          </cell>
          <cell r="AU134">
            <v>3024729</v>
          </cell>
          <cell r="AV134">
            <v>3077058</v>
          </cell>
          <cell r="AW134">
            <v>3135651</v>
          </cell>
          <cell r="AX134">
            <v>3218116</v>
          </cell>
          <cell r="AY134">
            <v>3329211</v>
          </cell>
          <cell r="AZ134">
            <v>3461911</v>
          </cell>
          <cell r="BA134">
            <v>3607860</v>
          </cell>
          <cell r="BB134">
            <v>3754133</v>
          </cell>
          <cell r="BC134">
            <v>3891356</v>
          </cell>
          <cell r="BD134">
            <v>4017443</v>
          </cell>
          <cell r="BE134">
            <v>4135659</v>
          </cell>
          <cell r="BF134">
            <v>4248334</v>
          </cell>
          <cell r="BG134">
            <v>4359505</v>
          </cell>
          <cell r="BH134">
            <v>4472230</v>
          </cell>
          <cell r="BI134">
            <v>4586788</v>
          </cell>
          <cell r="BJ134">
            <v>4702228</v>
          </cell>
          <cell r="BK134">
            <v>4818977</v>
          </cell>
        </row>
        <row r="135">
          <cell r="B135" t="str">
            <v>LBY</v>
          </cell>
          <cell r="C135" t="str">
            <v>Population, total</v>
          </cell>
          <cell r="D135" t="str">
            <v>SP.POP.TOTL</v>
          </cell>
          <cell r="E135">
            <v>1448417</v>
          </cell>
          <cell r="F135">
            <v>1498071</v>
          </cell>
          <cell r="G135">
            <v>1550813</v>
          </cell>
          <cell r="H135">
            <v>1607171</v>
          </cell>
          <cell r="I135">
            <v>1667825</v>
          </cell>
          <cell r="J135">
            <v>1733306</v>
          </cell>
          <cell r="K135">
            <v>1803683</v>
          </cell>
          <cell r="L135">
            <v>1878877</v>
          </cell>
          <cell r="M135">
            <v>1958914</v>
          </cell>
          <cell r="N135">
            <v>2043818</v>
          </cell>
          <cell r="O135">
            <v>2133526</v>
          </cell>
          <cell r="P135">
            <v>2228146</v>
          </cell>
          <cell r="Q135">
            <v>2327490</v>
          </cell>
          <cell r="R135">
            <v>2430755</v>
          </cell>
          <cell r="S135">
            <v>2536888</v>
          </cell>
          <cell r="T135">
            <v>2645139</v>
          </cell>
          <cell r="U135">
            <v>2754696</v>
          </cell>
          <cell r="V135">
            <v>2865637</v>
          </cell>
          <cell r="W135">
            <v>2979093</v>
          </cell>
          <cell r="X135">
            <v>3096729</v>
          </cell>
          <cell r="Y135">
            <v>3219466</v>
          </cell>
          <cell r="Z135">
            <v>3347781</v>
          </cell>
          <cell r="AA135">
            <v>3480454</v>
          </cell>
          <cell r="AB135">
            <v>3614689</v>
          </cell>
          <cell r="AC135">
            <v>3746715</v>
          </cell>
          <cell r="AD135">
            <v>3873781</v>
          </cell>
          <cell r="AE135">
            <v>3994597</v>
          </cell>
          <cell r="AF135">
            <v>4109725</v>
          </cell>
          <cell r="AG135">
            <v>4220450</v>
          </cell>
          <cell r="AH135">
            <v>4328939</v>
          </cell>
          <cell r="AI135">
            <v>4436661</v>
          </cell>
          <cell r="AJ135">
            <v>4544242</v>
          </cell>
          <cell r="AK135">
            <v>4650885</v>
          </cell>
          <cell r="AL135">
            <v>4755133</v>
          </cell>
          <cell r="AM135">
            <v>4854875</v>
          </cell>
          <cell r="AN135">
            <v>4948798</v>
          </cell>
          <cell r="AO135">
            <v>5036171</v>
          </cell>
          <cell r="AP135">
            <v>5118007</v>
          </cell>
          <cell r="AQ135">
            <v>5196780</v>
          </cell>
          <cell r="AR135">
            <v>5275926</v>
          </cell>
          <cell r="AS135">
            <v>5357891</v>
          </cell>
          <cell r="AT135">
            <v>5443248</v>
          </cell>
          <cell r="AU135">
            <v>5531089</v>
          </cell>
          <cell r="AV135">
            <v>5620547</v>
          </cell>
          <cell r="AW135">
            <v>5710154</v>
          </cell>
          <cell r="AX135">
            <v>5798614</v>
          </cell>
          <cell r="AY135">
            <v>5886872</v>
          </cell>
          <cell r="AZ135">
            <v>5974787</v>
          </cell>
          <cell r="BA135">
            <v>6058748</v>
          </cell>
          <cell r="BB135">
            <v>6133984</v>
          </cell>
          <cell r="BC135">
            <v>6197663</v>
          </cell>
          <cell r="BD135">
            <v>6247439</v>
          </cell>
          <cell r="BE135">
            <v>6285750</v>
          </cell>
          <cell r="BF135">
            <v>6320359</v>
          </cell>
          <cell r="BG135">
            <v>6362037</v>
          </cell>
          <cell r="BH135">
            <v>6418315</v>
          </cell>
          <cell r="BI135">
            <v>6492164</v>
          </cell>
          <cell r="BJ135">
            <v>6580724</v>
          </cell>
          <cell r="BK135">
            <v>6678567</v>
          </cell>
        </row>
        <row r="136">
          <cell r="B136" t="str">
            <v>LCA</v>
          </cell>
          <cell r="C136" t="str">
            <v>Population, total</v>
          </cell>
          <cell r="D136" t="str">
            <v>SP.POP.TOTL</v>
          </cell>
          <cell r="E136">
            <v>89697</v>
          </cell>
          <cell r="F136">
            <v>90716</v>
          </cell>
          <cell r="G136">
            <v>91891</v>
          </cell>
          <cell r="H136">
            <v>93211</v>
          </cell>
          <cell r="I136">
            <v>94636</v>
          </cell>
          <cell r="J136">
            <v>96134</v>
          </cell>
          <cell r="K136">
            <v>97715</v>
          </cell>
          <cell r="L136">
            <v>99365</v>
          </cell>
          <cell r="M136">
            <v>101035</v>
          </cell>
          <cell r="N136">
            <v>102597</v>
          </cell>
          <cell r="O136">
            <v>104015</v>
          </cell>
          <cell r="P136">
            <v>105247</v>
          </cell>
          <cell r="Q136">
            <v>106310</v>
          </cell>
          <cell r="R136">
            <v>107320</v>
          </cell>
          <cell r="S136">
            <v>108391</v>
          </cell>
          <cell r="T136">
            <v>109627</v>
          </cell>
          <cell r="U136">
            <v>111067</v>
          </cell>
          <cell r="V136">
            <v>112685</v>
          </cell>
          <cell r="W136">
            <v>114400</v>
          </cell>
          <cell r="X136">
            <v>116136</v>
          </cell>
          <cell r="Y136">
            <v>117822</v>
          </cell>
          <cell r="Z136">
            <v>119430</v>
          </cell>
          <cell r="AA136">
            <v>120988</v>
          </cell>
          <cell r="AB136">
            <v>122564</v>
          </cell>
          <cell r="AC136">
            <v>124292</v>
          </cell>
          <cell r="AD136">
            <v>126244</v>
          </cell>
          <cell r="AE136">
            <v>128449</v>
          </cell>
          <cell r="AF136">
            <v>130856</v>
          </cell>
          <cell r="AG136">
            <v>133367</v>
          </cell>
          <cell r="AH136">
            <v>135788</v>
          </cell>
          <cell r="AI136">
            <v>138020</v>
          </cell>
          <cell r="AJ136">
            <v>139995</v>
          </cell>
          <cell r="AK136">
            <v>141760</v>
          </cell>
          <cell r="AL136">
            <v>143409</v>
          </cell>
          <cell r="AM136">
            <v>145083</v>
          </cell>
          <cell r="AN136">
            <v>146870</v>
          </cell>
          <cell r="AO136">
            <v>148834</v>
          </cell>
          <cell r="AP136">
            <v>150913</v>
          </cell>
          <cell r="AQ136">
            <v>153021</v>
          </cell>
          <cell r="AR136">
            <v>154995</v>
          </cell>
          <cell r="AS136">
            <v>156729</v>
          </cell>
          <cell r="AT136">
            <v>158179</v>
          </cell>
          <cell r="AU136">
            <v>159392</v>
          </cell>
          <cell r="AV136">
            <v>160530</v>
          </cell>
          <cell r="AW136">
            <v>161816</v>
          </cell>
          <cell r="AX136">
            <v>163417</v>
          </cell>
          <cell r="AY136">
            <v>165381</v>
          </cell>
          <cell r="AZ136">
            <v>167639</v>
          </cell>
          <cell r="BA136">
            <v>170011</v>
          </cell>
          <cell r="BB136">
            <v>172221</v>
          </cell>
          <cell r="BC136">
            <v>174085</v>
          </cell>
          <cell r="BD136">
            <v>175544</v>
          </cell>
          <cell r="BE136">
            <v>176646</v>
          </cell>
          <cell r="BF136">
            <v>177513</v>
          </cell>
          <cell r="BG136">
            <v>178296</v>
          </cell>
          <cell r="BH136">
            <v>179126</v>
          </cell>
          <cell r="BI136">
            <v>180024</v>
          </cell>
          <cell r="BJ136">
            <v>180955</v>
          </cell>
          <cell r="BK136">
            <v>181889</v>
          </cell>
        </row>
        <row r="137">
          <cell r="B137" t="str">
            <v>LCN</v>
          </cell>
          <cell r="C137" t="str">
            <v>Population, total</v>
          </cell>
          <cell r="D137" t="str">
            <v>SP.POP.TOTL</v>
          </cell>
          <cell r="E137">
            <v>219907801</v>
          </cell>
          <cell r="F137">
            <v>225993884</v>
          </cell>
          <cell r="G137">
            <v>232265533</v>
          </cell>
          <cell r="H137">
            <v>238696012</v>
          </cell>
          <cell r="I137">
            <v>245233432</v>
          </cell>
          <cell r="J137">
            <v>251850859</v>
          </cell>
          <cell r="K137">
            <v>258538106</v>
          </cell>
          <cell r="L137">
            <v>265295652</v>
          </cell>
          <cell r="M137">
            <v>272128513</v>
          </cell>
          <cell r="N137">
            <v>279037414</v>
          </cell>
          <cell r="O137">
            <v>286027166</v>
          </cell>
          <cell r="P137">
            <v>293097388</v>
          </cell>
          <cell r="Q137">
            <v>300238819</v>
          </cell>
          <cell r="R137">
            <v>307462534</v>
          </cell>
          <cell r="S137">
            <v>314773956</v>
          </cell>
          <cell r="T137">
            <v>322176757</v>
          </cell>
          <cell r="U137">
            <v>329667217</v>
          </cell>
          <cell r="V137">
            <v>337240049</v>
          </cell>
          <cell r="W137">
            <v>344913615</v>
          </cell>
          <cell r="X137">
            <v>352693991</v>
          </cell>
          <cell r="Y137">
            <v>360591861</v>
          </cell>
          <cell r="Z137">
            <v>368601995</v>
          </cell>
          <cell r="AA137">
            <v>376714428</v>
          </cell>
          <cell r="AB137">
            <v>384896426</v>
          </cell>
          <cell r="AC137">
            <v>393106351</v>
          </cell>
          <cell r="AD137">
            <v>401311796</v>
          </cell>
          <cell r="AE137">
            <v>409496610</v>
          </cell>
          <cell r="AF137">
            <v>417659736</v>
          </cell>
          <cell r="AG137">
            <v>425800798</v>
          </cell>
          <cell r="AH137">
            <v>433925886</v>
          </cell>
          <cell r="AI137">
            <v>442040696</v>
          </cell>
          <cell r="AJ137">
            <v>450125305</v>
          </cell>
          <cell r="AK137">
            <v>458175526</v>
          </cell>
          <cell r="AL137">
            <v>466199679</v>
          </cell>
          <cell r="AM137">
            <v>474193423</v>
          </cell>
          <cell r="AN137">
            <v>482150647</v>
          </cell>
          <cell r="AO137">
            <v>490080681</v>
          </cell>
          <cell r="AP137">
            <v>497957410</v>
          </cell>
          <cell r="AQ137">
            <v>505774348</v>
          </cell>
          <cell r="AR137">
            <v>513442848</v>
          </cell>
          <cell r="AS137">
            <v>520964431</v>
          </cell>
          <cell r="AT137">
            <v>528336554</v>
          </cell>
          <cell r="AU137">
            <v>535570691</v>
          </cell>
          <cell r="AV137">
            <v>542684680</v>
          </cell>
          <cell r="AW137">
            <v>549705414</v>
          </cell>
          <cell r="AX137">
            <v>556652026</v>
          </cell>
          <cell r="AY137">
            <v>563521369</v>
          </cell>
          <cell r="AZ137">
            <v>570314774</v>
          </cell>
          <cell r="BA137">
            <v>577050884</v>
          </cell>
          <cell r="BB137">
            <v>583746102</v>
          </cell>
          <cell r="BC137">
            <v>590303295</v>
          </cell>
          <cell r="BD137">
            <v>596966199</v>
          </cell>
          <cell r="BE137">
            <v>603586217</v>
          </cell>
          <cell r="BF137">
            <v>610151927</v>
          </cell>
          <cell r="BG137">
            <v>616619613</v>
          </cell>
          <cell r="BH137">
            <v>622986033</v>
          </cell>
          <cell r="BI137">
            <v>629240066</v>
          </cell>
          <cell r="BJ137">
            <v>635372515</v>
          </cell>
          <cell r="BK137">
            <v>641357515</v>
          </cell>
        </row>
        <row r="138">
          <cell r="B138" t="str">
            <v>LDC</v>
          </cell>
          <cell r="C138" t="str">
            <v>Population, total</v>
          </cell>
          <cell r="D138" t="str">
            <v>SP.POP.TOTL</v>
          </cell>
          <cell r="E138">
            <v>240518433</v>
          </cell>
          <cell r="F138">
            <v>246113640</v>
          </cell>
          <cell r="G138">
            <v>251900741</v>
          </cell>
          <cell r="H138">
            <v>257908074</v>
          </cell>
          <cell r="I138">
            <v>264174179</v>
          </cell>
          <cell r="J138">
            <v>270720892</v>
          </cell>
          <cell r="K138">
            <v>277573029</v>
          </cell>
          <cell r="L138">
            <v>284708409</v>
          </cell>
          <cell r="M138">
            <v>292045744</v>
          </cell>
          <cell r="N138">
            <v>299473256</v>
          </cell>
          <cell r="O138">
            <v>306916896</v>
          </cell>
          <cell r="P138">
            <v>314344629</v>
          </cell>
          <cell r="Q138">
            <v>321797581</v>
          </cell>
          <cell r="R138">
            <v>329357353</v>
          </cell>
          <cell r="S138">
            <v>337142681</v>
          </cell>
          <cell r="T138">
            <v>345242710</v>
          </cell>
          <cell r="U138">
            <v>353691338</v>
          </cell>
          <cell r="V138">
            <v>362475112</v>
          </cell>
          <cell r="W138">
            <v>371577256</v>
          </cell>
          <cell r="X138">
            <v>380963304</v>
          </cell>
          <cell r="Y138">
            <v>390612563</v>
          </cell>
          <cell r="Z138">
            <v>400528924</v>
          </cell>
          <cell r="AA138">
            <v>410740611</v>
          </cell>
          <cell r="AB138">
            <v>421279107</v>
          </cell>
          <cell r="AC138">
            <v>432185325</v>
          </cell>
          <cell r="AD138">
            <v>443491288</v>
          </cell>
          <cell r="AE138">
            <v>455193656</v>
          </cell>
          <cell r="AF138">
            <v>467290514</v>
          </cell>
          <cell r="AG138">
            <v>479814021</v>
          </cell>
          <cell r="AH138">
            <v>492803028</v>
          </cell>
          <cell r="AI138">
            <v>506275612</v>
          </cell>
          <cell r="AJ138">
            <v>520262423</v>
          </cell>
          <cell r="AK138">
            <v>534731006</v>
          </cell>
          <cell r="AL138">
            <v>549559264</v>
          </cell>
          <cell r="AM138">
            <v>564581083</v>
          </cell>
          <cell r="AN138">
            <v>579681672</v>
          </cell>
          <cell r="AO138">
            <v>594801259</v>
          </cell>
          <cell r="AP138">
            <v>609983301</v>
          </cell>
          <cell r="AQ138">
            <v>625342098</v>
          </cell>
          <cell r="AR138">
            <v>641046802</v>
          </cell>
          <cell r="AS138">
            <v>657215864</v>
          </cell>
          <cell r="AT138">
            <v>673903112</v>
          </cell>
          <cell r="AU138">
            <v>691061397</v>
          </cell>
          <cell r="AV138">
            <v>708587948</v>
          </cell>
          <cell r="AW138">
            <v>726331177</v>
          </cell>
          <cell r="AX138">
            <v>744190510</v>
          </cell>
          <cell r="AY138">
            <v>762132501</v>
          </cell>
          <cell r="AZ138">
            <v>780219542</v>
          </cell>
          <cell r="BA138">
            <v>798563392</v>
          </cell>
          <cell r="BB138">
            <v>817322629</v>
          </cell>
          <cell r="BC138">
            <v>836614860</v>
          </cell>
          <cell r="BD138">
            <v>856472234</v>
          </cell>
          <cell r="BE138">
            <v>876869863</v>
          </cell>
          <cell r="BF138">
            <v>897797478</v>
          </cell>
          <cell r="BG138">
            <v>919226401</v>
          </cell>
          <cell r="BH138">
            <v>941131317</v>
          </cell>
          <cell r="BI138">
            <v>963511276</v>
          </cell>
          <cell r="BJ138">
            <v>986365080</v>
          </cell>
          <cell r="BK138">
            <v>1009662578</v>
          </cell>
        </row>
        <row r="139">
          <cell r="B139" t="str">
            <v>LIC</v>
          </cell>
          <cell r="C139" t="str">
            <v>Population, total</v>
          </cell>
          <cell r="D139" t="str">
            <v>SP.POP.TOTL</v>
          </cell>
          <cell r="E139">
            <v>158779911</v>
          </cell>
          <cell r="F139">
            <v>162259865</v>
          </cell>
          <cell r="G139">
            <v>165830670</v>
          </cell>
          <cell r="H139">
            <v>169529568</v>
          </cell>
          <cell r="I139">
            <v>173410029</v>
          </cell>
          <cell r="J139">
            <v>177509185</v>
          </cell>
          <cell r="K139">
            <v>181839891</v>
          </cell>
          <cell r="L139">
            <v>186385902</v>
          </cell>
          <cell r="M139">
            <v>191120090</v>
          </cell>
          <cell r="N139">
            <v>196001924</v>
          </cell>
          <cell r="O139">
            <v>201001375</v>
          </cell>
          <cell r="P139">
            <v>206110337</v>
          </cell>
          <cell r="Q139">
            <v>211335895</v>
          </cell>
          <cell r="R139">
            <v>216681265</v>
          </cell>
          <cell r="S139">
            <v>222154521</v>
          </cell>
          <cell r="T139">
            <v>227761362</v>
          </cell>
          <cell r="U139">
            <v>233513206</v>
          </cell>
          <cell r="V139">
            <v>239409309</v>
          </cell>
          <cell r="W139">
            <v>245430650</v>
          </cell>
          <cell r="X139">
            <v>251550765</v>
          </cell>
          <cell r="Y139">
            <v>257758125</v>
          </cell>
          <cell r="Z139">
            <v>264051673</v>
          </cell>
          <cell r="AA139">
            <v>270462062</v>
          </cell>
          <cell r="AB139">
            <v>277049449</v>
          </cell>
          <cell r="AC139">
            <v>283893524</v>
          </cell>
          <cell r="AD139">
            <v>291057942</v>
          </cell>
          <cell r="AE139">
            <v>298550548</v>
          </cell>
          <cell r="AF139">
            <v>306374108</v>
          </cell>
          <cell r="AG139">
            <v>314578310</v>
          </cell>
          <cell r="AH139">
            <v>323219957</v>
          </cell>
          <cell r="AI139">
            <v>332330635</v>
          </cell>
          <cell r="AJ139">
            <v>341955755</v>
          </cell>
          <cell r="AK139">
            <v>352066121</v>
          </cell>
          <cell r="AL139">
            <v>362526825</v>
          </cell>
          <cell r="AM139">
            <v>373150870</v>
          </cell>
          <cell r="AN139">
            <v>383810298</v>
          </cell>
          <cell r="AO139">
            <v>394448671</v>
          </cell>
          <cell r="AP139">
            <v>405123344</v>
          </cell>
          <cell r="AQ139">
            <v>415959410</v>
          </cell>
          <cell r="AR139">
            <v>427140442</v>
          </cell>
          <cell r="AS139">
            <v>438799433</v>
          </cell>
          <cell r="AT139">
            <v>450962074</v>
          </cell>
          <cell r="AU139">
            <v>463584766</v>
          </cell>
          <cell r="AV139">
            <v>476645372</v>
          </cell>
          <cell r="AW139">
            <v>490099969</v>
          </cell>
          <cell r="AX139">
            <v>503907174</v>
          </cell>
          <cell r="AY139">
            <v>518097437</v>
          </cell>
          <cell r="AZ139">
            <v>532663586</v>
          </cell>
          <cell r="BA139">
            <v>547481280</v>
          </cell>
          <cell r="BB139">
            <v>562386040</v>
          </cell>
          <cell r="BC139">
            <v>577274011</v>
          </cell>
          <cell r="BD139">
            <v>592092182</v>
          </cell>
          <cell r="BE139">
            <v>606913332</v>
          </cell>
          <cell r="BF139">
            <v>621915808</v>
          </cell>
          <cell r="BG139">
            <v>637350644</v>
          </cell>
          <cell r="BH139">
            <v>653405207</v>
          </cell>
          <cell r="BI139">
            <v>670117389</v>
          </cell>
          <cell r="BJ139">
            <v>687449530</v>
          </cell>
          <cell r="BK139">
            <v>705417321</v>
          </cell>
        </row>
        <row r="140">
          <cell r="B140" t="str">
            <v>LIE</v>
          </cell>
          <cell r="C140" t="str">
            <v>Population, total</v>
          </cell>
          <cell r="D140" t="str">
            <v>SP.POP.TOTL</v>
          </cell>
          <cell r="E140">
            <v>16493</v>
          </cell>
          <cell r="F140">
            <v>16893</v>
          </cell>
          <cell r="G140">
            <v>17289</v>
          </cell>
          <cell r="H140">
            <v>17719</v>
          </cell>
          <cell r="I140">
            <v>18168</v>
          </cell>
          <cell r="J140">
            <v>18649</v>
          </cell>
          <cell r="K140">
            <v>19152</v>
          </cell>
          <cell r="L140">
            <v>19691</v>
          </cell>
          <cell r="M140">
            <v>20235</v>
          </cell>
          <cell r="N140">
            <v>20766</v>
          </cell>
          <cell r="O140">
            <v>21266</v>
          </cell>
          <cell r="P140">
            <v>21728</v>
          </cell>
          <cell r="Q140">
            <v>22151</v>
          </cell>
          <cell r="R140">
            <v>22563</v>
          </cell>
          <cell r="S140">
            <v>22983</v>
          </cell>
          <cell r="T140">
            <v>23438</v>
          </cell>
          <cell r="U140">
            <v>23931</v>
          </cell>
          <cell r="V140">
            <v>24448</v>
          </cell>
          <cell r="W140">
            <v>24975</v>
          </cell>
          <cell r="X140">
            <v>25459</v>
          </cell>
          <cell r="Y140">
            <v>25879</v>
          </cell>
          <cell r="Z140">
            <v>26238</v>
          </cell>
          <cell r="AA140">
            <v>26536</v>
          </cell>
          <cell r="AB140">
            <v>26789</v>
          </cell>
          <cell r="AC140">
            <v>27036</v>
          </cell>
          <cell r="AD140">
            <v>27288</v>
          </cell>
          <cell r="AE140">
            <v>27559</v>
          </cell>
          <cell r="AF140">
            <v>27837</v>
          </cell>
          <cell r="AG140">
            <v>28129</v>
          </cell>
          <cell r="AH140">
            <v>28449</v>
          </cell>
          <cell r="AI140">
            <v>28789</v>
          </cell>
          <cell r="AJ140">
            <v>29159</v>
          </cell>
          <cell r="AK140">
            <v>29553</v>
          </cell>
          <cell r="AL140">
            <v>29975</v>
          </cell>
          <cell r="AM140">
            <v>30426</v>
          </cell>
          <cell r="AN140">
            <v>30880</v>
          </cell>
          <cell r="AO140">
            <v>31348</v>
          </cell>
          <cell r="AP140">
            <v>31830</v>
          </cell>
          <cell r="AQ140">
            <v>32311</v>
          </cell>
          <cell r="AR140">
            <v>32769</v>
          </cell>
          <cell r="AS140">
            <v>33184</v>
          </cell>
          <cell r="AT140">
            <v>33552</v>
          </cell>
          <cell r="AU140">
            <v>33879</v>
          </cell>
          <cell r="AV140">
            <v>34175</v>
          </cell>
          <cell r="AW140">
            <v>34452</v>
          </cell>
          <cell r="AX140">
            <v>34713</v>
          </cell>
          <cell r="AY140">
            <v>34970</v>
          </cell>
          <cell r="AZ140">
            <v>35217</v>
          </cell>
          <cell r="BA140">
            <v>35471</v>
          </cell>
          <cell r="BB140">
            <v>35727</v>
          </cell>
          <cell r="BC140">
            <v>35994</v>
          </cell>
          <cell r="BD140">
            <v>36293</v>
          </cell>
          <cell r="BE140">
            <v>36615</v>
          </cell>
          <cell r="BF140">
            <v>36934</v>
          </cell>
          <cell r="BG140">
            <v>37223</v>
          </cell>
          <cell r="BH140">
            <v>37470</v>
          </cell>
          <cell r="BI140">
            <v>37658</v>
          </cell>
          <cell r="BJ140">
            <v>37800</v>
          </cell>
          <cell r="BK140">
            <v>37910</v>
          </cell>
        </row>
        <row r="141">
          <cell r="B141" t="str">
            <v>LKA</v>
          </cell>
          <cell r="C141" t="str">
            <v>Population, total</v>
          </cell>
          <cell r="D141" t="str">
            <v>SP.POP.TOTL</v>
          </cell>
          <cell r="E141">
            <v>9874476</v>
          </cell>
          <cell r="F141">
            <v>10111637</v>
          </cell>
          <cell r="G141">
            <v>10352179</v>
          </cell>
          <cell r="H141">
            <v>10597511</v>
          </cell>
          <cell r="I141">
            <v>10849975</v>
          </cell>
          <cell r="J141">
            <v>11110820</v>
          </cell>
          <cell r="K141">
            <v>11380670</v>
          </cell>
          <cell r="L141">
            <v>11657650</v>
          </cell>
          <cell r="M141">
            <v>11937600</v>
          </cell>
          <cell r="N141">
            <v>12214956</v>
          </cell>
          <cell r="O141">
            <v>12485740</v>
          </cell>
          <cell r="P141">
            <v>12747821</v>
          </cell>
          <cell r="Q141">
            <v>13002231</v>
          </cell>
          <cell r="R141">
            <v>13252036</v>
          </cell>
          <cell r="S141">
            <v>13501935</v>
          </cell>
          <cell r="T141">
            <v>13755146</v>
          </cell>
          <cell r="U141">
            <v>14012899</v>
          </cell>
          <cell r="V141">
            <v>14273495</v>
          </cell>
          <cell r="W141">
            <v>14533690</v>
          </cell>
          <cell r="X141">
            <v>14788862</v>
          </cell>
          <cell r="Y141">
            <v>15035834</v>
          </cell>
          <cell r="Z141">
            <v>15272831</v>
          </cell>
          <cell r="AA141">
            <v>15501207</v>
          </cell>
          <cell r="AB141">
            <v>15724651</v>
          </cell>
          <cell r="AC141">
            <v>15948487</v>
          </cell>
          <cell r="AD141">
            <v>16176280</v>
          </cell>
          <cell r="AE141">
            <v>16408859</v>
          </cell>
          <cell r="AF141">
            <v>16643952</v>
          </cell>
          <cell r="AG141">
            <v>16878189</v>
          </cell>
          <cell r="AH141">
            <v>17106753</v>
          </cell>
          <cell r="AI141">
            <v>17325773</v>
          </cell>
          <cell r="AJ141">
            <v>17535729</v>
          </cell>
          <cell r="AK141">
            <v>17736821</v>
          </cell>
          <cell r="AL141">
            <v>17924823</v>
          </cell>
          <cell r="AM141">
            <v>18094477</v>
          </cell>
          <cell r="AN141">
            <v>18242912</v>
          </cell>
          <cell r="AO141">
            <v>18367288</v>
          </cell>
          <cell r="AP141">
            <v>18470900</v>
          </cell>
          <cell r="AQ141">
            <v>18564599</v>
          </cell>
          <cell r="AR141">
            <v>18663284</v>
          </cell>
          <cell r="AS141">
            <v>18777601</v>
          </cell>
          <cell r="AT141">
            <v>18911730</v>
          </cell>
          <cell r="AU141">
            <v>19062482</v>
          </cell>
          <cell r="AV141">
            <v>19224037</v>
          </cell>
          <cell r="AW141">
            <v>19387153</v>
          </cell>
          <cell r="AX141">
            <v>19544988</v>
          </cell>
          <cell r="AY141">
            <v>19695972</v>
          </cell>
          <cell r="AZ141">
            <v>19842044</v>
          </cell>
          <cell r="BA141">
            <v>19983984</v>
          </cell>
          <cell r="BB141">
            <v>20123508</v>
          </cell>
          <cell r="BC141">
            <v>20261737</v>
          </cell>
          <cell r="BD141">
            <v>20398670</v>
          </cell>
          <cell r="BE141">
            <v>20425000</v>
          </cell>
          <cell r="BF141">
            <v>20585000</v>
          </cell>
          <cell r="BG141">
            <v>20778000</v>
          </cell>
          <cell r="BH141">
            <v>20970000</v>
          </cell>
          <cell r="BI141">
            <v>21203000</v>
          </cell>
          <cell r="BJ141">
            <v>21444000</v>
          </cell>
          <cell r="BK141">
            <v>21670000</v>
          </cell>
        </row>
        <row r="142">
          <cell r="B142" t="str">
            <v>LMC</v>
          </cell>
          <cell r="C142" t="str">
            <v>Population, total</v>
          </cell>
          <cell r="D142" t="str">
            <v>SP.POP.TOTL</v>
          </cell>
          <cell r="E142">
            <v>928490499</v>
          </cell>
          <cell r="F142">
            <v>949753699</v>
          </cell>
          <cell r="G142">
            <v>971742838</v>
          </cell>
          <cell r="H142">
            <v>994420244</v>
          </cell>
          <cell r="I142">
            <v>1017725630</v>
          </cell>
          <cell r="J142">
            <v>1041611332</v>
          </cell>
          <cell r="K142">
            <v>1066074552</v>
          </cell>
          <cell r="L142">
            <v>1091126634</v>
          </cell>
          <cell r="M142">
            <v>1116788548</v>
          </cell>
          <cell r="N142">
            <v>1143088505</v>
          </cell>
          <cell r="O142">
            <v>1170050244</v>
          </cell>
          <cell r="P142">
            <v>1197695284</v>
          </cell>
          <cell r="Q142">
            <v>1226045232</v>
          </cell>
          <cell r="R142">
            <v>1255126850</v>
          </cell>
          <cell r="S142">
            <v>1284982577</v>
          </cell>
          <cell r="T142">
            <v>1315638970</v>
          </cell>
          <cell r="U142">
            <v>1347077568</v>
          </cell>
          <cell r="V142">
            <v>1379310126</v>
          </cell>
          <cell r="W142">
            <v>1412439164</v>
          </cell>
          <cell r="X142">
            <v>1446597778</v>
          </cell>
          <cell r="Y142">
            <v>1481859807</v>
          </cell>
          <cell r="Z142">
            <v>1518293900</v>
          </cell>
          <cell r="AA142">
            <v>1555686714</v>
          </cell>
          <cell r="AB142">
            <v>1593969308</v>
          </cell>
          <cell r="AC142">
            <v>1632885169</v>
          </cell>
          <cell r="AD142">
            <v>1672196713</v>
          </cell>
          <cell r="AE142">
            <v>1711883766</v>
          </cell>
          <cell r="AF142">
            <v>1751925747</v>
          </cell>
          <cell r="AG142">
            <v>1792245451</v>
          </cell>
          <cell r="AH142">
            <v>1832773126</v>
          </cell>
          <cell r="AI142">
            <v>1875358869</v>
          </cell>
          <cell r="AJ142">
            <v>1915913909</v>
          </cell>
          <cell r="AK142">
            <v>1956554979</v>
          </cell>
          <cell r="AL142">
            <v>1997079030</v>
          </cell>
          <cell r="AM142">
            <v>2037399623</v>
          </cell>
          <cell r="AN142">
            <v>2077790619</v>
          </cell>
          <cell r="AO142">
            <v>2118416707</v>
          </cell>
          <cell r="AP142">
            <v>2159201405</v>
          </cell>
          <cell r="AQ142">
            <v>2199992975</v>
          </cell>
          <cell r="AR142">
            <v>2240609732</v>
          </cell>
          <cell r="AS142">
            <v>2281159205</v>
          </cell>
          <cell r="AT142">
            <v>2321544987</v>
          </cell>
          <cell r="AU142">
            <v>2361829370</v>
          </cell>
          <cell r="AV142">
            <v>2402147090</v>
          </cell>
          <cell r="AW142">
            <v>2442531361</v>
          </cell>
          <cell r="AX142">
            <v>2483021672</v>
          </cell>
          <cell r="AY142">
            <v>2523645459</v>
          </cell>
          <cell r="AZ142">
            <v>2564440295</v>
          </cell>
          <cell r="BA142">
            <v>2605437640</v>
          </cell>
          <cell r="BB142">
            <v>2646675754</v>
          </cell>
          <cell r="BC142">
            <v>2688436551</v>
          </cell>
          <cell r="BD142">
            <v>2730385840</v>
          </cell>
          <cell r="BE142">
            <v>2772231195</v>
          </cell>
          <cell r="BF142">
            <v>2814221065</v>
          </cell>
          <cell r="BG142">
            <v>2856124025</v>
          </cell>
          <cell r="BH142">
            <v>2898058449</v>
          </cell>
          <cell r="BI142">
            <v>2939830821</v>
          </cell>
          <cell r="BJ142">
            <v>2981420591</v>
          </cell>
          <cell r="BK142">
            <v>3022905169</v>
          </cell>
        </row>
        <row r="143">
          <cell r="B143" t="str">
            <v>LMY</v>
          </cell>
          <cell r="C143" t="str">
            <v>Population, total</v>
          </cell>
          <cell r="D143" t="str">
            <v>SP.POP.TOTL</v>
          </cell>
          <cell r="E143">
            <v>2271826072</v>
          </cell>
          <cell r="F143">
            <v>2301530783</v>
          </cell>
          <cell r="G143">
            <v>2344507821</v>
          </cell>
          <cell r="H143">
            <v>2399685292</v>
          </cell>
          <cell r="I143">
            <v>2455350597</v>
          </cell>
          <cell r="J143">
            <v>2512791707</v>
          </cell>
          <cell r="K143">
            <v>2573990531</v>
          </cell>
          <cell r="L143">
            <v>2635220005</v>
          </cell>
          <cell r="M143">
            <v>2698168546</v>
          </cell>
          <cell r="N143">
            <v>2763558198</v>
          </cell>
          <cell r="O143">
            <v>2830664982</v>
          </cell>
          <cell r="P143">
            <v>2899197937</v>
          </cell>
          <cell r="Q143">
            <v>2966819339</v>
          </cell>
          <cell r="R143">
            <v>3034402941</v>
          </cell>
          <cell r="S143">
            <v>3101560890</v>
          </cell>
          <cell r="T143">
            <v>3167483411</v>
          </cell>
          <cell r="U143">
            <v>3232891073</v>
          </cell>
          <cell r="V143">
            <v>3297820434</v>
          </cell>
          <cell r="W143">
            <v>3363879204</v>
          </cell>
          <cell r="X143">
            <v>3431452144</v>
          </cell>
          <cell r="Y143">
            <v>3500013974</v>
          </cell>
          <cell r="Z143">
            <v>3570596695</v>
          </cell>
          <cell r="AA143">
            <v>3644529753</v>
          </cell>
          <cell r="AB143">
            <v>3719629711</v>
          </cell>
          <cell r="AC143">
            <v>3794807260</v>
          </cell>
          <cell r="AD143">
            <v>3871482909</v>
          </cell>
          <cell r="AE143">
            <v>3950364261</v>
          </cell>
          <cell r="AF143">
            <v>4031393179</v>
          </cell>
          <cell r="AG143">
            <v>4113221493</v>
          </cell>
          <cell r="AH143">
            <v>4194569000</v>
          </cell>
          <cell r="AI143">
            <v>4277170872</v>
          </cell>
          <cell r="AJ143">
            <v>4356603492</v>
          </cell>
          <cell r="AK143">
            <v>4434540894</v>
          </cell>
          <cell r="AL143">
            <v>4511601957</v>
          </cell>
          <cell r="AM143">
            <v>4588114102</v>
          </cell>
          <cell r="AN143">
            <v>4664148544</v>
          </cell>
          <cell r="AO143">
            <v>4739881155</v>
          </cell>
          <cell r="AP143">
            <v>4815512572</v>
          </cell>
          <cell r="AQ143">
            <v>4890406949</v>
          </cell>
          <cell r="AR143">
            <v>4964125844</v>
          </cell>
          <cell r="AS143">
            <v>5037268787</v>
          </cell>
          <cell r="AT143">
            <v>5109571487</v>
          </cell>
          <cell r="AU143">
            <v>5181350933</v>
          </cell>
          <cell r="AV143">
            <v>5253312522</v>
          </cell>
          <cell r="AW143">
            <v>5325421944</v>
          </cell>
          <cell r="AX143">
            <v>5397859154</v>
          </cell>
          <cell r="AY143">
            <v>5470400681</v>
          </cell>
          <cell r="AZ143">
            <v>5542975651</v>
          </cell>
          <cell r="BA143">
            <v>5616213108</v>
          </cell>
          <cell r="BB143">
            <v>5690410869</v>
          </cell>
          <cell r="BC143">
            <v>5765121055</v>
          </cell>
          <cell r="BD143">
            <v>5840675761</v>
          </cell>
          <cell r="BE143">
            <v>5916770281</v>
          </cell>
          <cell r="BF143">
            <v>5993786433</v>
          </cell>
          <cell r="BG143">
            <v>6071330528</v>
          </cell>
          <cell r="BH143">
            <v>6149221337</v>
          </cell>
          <cell r="BI143">
            <v>6227752871</v>
          </cell>
          <cell r="BJ143">
            <v>6306560891</v>
          </cell>
          <cell r="BK143">
            <v>6383958209</v>
          </cell>
        </row>
        <row r="144">
          <cell r="B144" t="str">
            <v>LSO</v>
          </cell>
          <cell r="C144" t="str">
            <v>Population, total</v>
          </cell>
          <cell r="D144" t="str">
            <v>SP.POP.TOTL</v>
          </cell>
          <cell r="E144">
            <v>837270</v>
          </cell>
          <cell r="F144">
            <v>852890</v>
          </cell>
          <cell r="G144">
            <v>869136</v>
          </cell>
          <cell r="H144">
            <v>886057</v>
          </cell>
          <cell r="I144">
            <v>903763</v>
          </cell>
          <cell r="J144">
            <v>922306</v>
          </cell>
          <cell r="K144">
            <v>941794</v>
          </cell>
          <cell r="L144">
            <v>962273</v>
          </cell>
          <cell r="M144">
            <v>983685</v>
          </cell>
          <cell r="N144">
            <v>1005909</v>
          </cell>
          <cell r="O144">
            <v>1028926</v>
          </cell>
          <cell r="P144">
            <v>1052614</v>
          </cell>
          <cell r="Q144">
            <v>1077095</v>
          </cell>
          <cell r="R144">
            <v>1102878</v>
          </cell>
          <cell r="S144">
            <v>1130635</v>
          </cell>
          <cell r="T144">
            <v>1160792</v>
          </cell>
          <cell r="U144">
            <v>1193521</v>
          </cell>
          <cell r="V144">
            <v>1228536</v>
          </cell>
          <cell r="W144">
            <v>1265202</v>
          </cell>
          <cell r="X144">
            <v>1302667</v>
          </cell>
          <cell r="Y144">
            <v>1340255</v>
          </cell>
          <cell r="Z144">
            <v>1377799</v>
          </cell>
          <cell r="AA144">
            <v>1415367</v>
          </cell>
          <cell r="AB144">
            <v>1452728</v>
          </cell>
          <cell r="AC144">
            <v>1489691</v>
          </cell>
          <cell r="AD144">
            <v>1526131</v>
          </cell>
          <cell r="AE144">
            <v>1561692</v>
          </cell>
          <cell r="AF144">
            <v>1596394</v>
          </cell>
          <cell r="AG144">
            <v>1630996</v>
          </cell>
          <cell r="AH144">
            <v>1666563</v>
          </cell>
          <cell r="AI144">
            <v>1703747</v>
          </cell>
          <cell r="AJ144">
            <v>1742539</v>
          </cell>
          <cell r="AK144">
            <v>1782285</v>
          </cell>
          <cell r="AL144">
            <v>1822236</v>
          </cell>
          <cell r="AM144">
            <v>1861324</v>
          </cell>
          <cell r="AN144">
            <v>1898598</v>
          </cell>
          <cell r="AO144">
            <v>1934291</v>
          </cell>
          <cell r="AP144">
            <v>1968044</v>
          </cell>
          <cell r="AQ144">
            <v>1997516</v>
          </cell>
          <cell r="AR144">
            <v>2019731</v>
          </cell>
          <cell r="AS144">
            <v>2032804</v>
          </cell>
          <cell r="AT144">
            <v>2035740</v>
          </cell>
          <cell r="AU144">
            <v>2029829</v>
          </cell>
          <cell r="AV144">
            <v>2018348</v>
          </cell>
          <cell r="AW144">
            <v>2005940</v>
          </cell>
          <cell r="AX144">
            <v>1996114</v>
          </cell>
          <cell r="AY144">
            <v>1989939</v>
          </cell>
          <cell r="AZ144">
            <v>1986922</v>
          </cell>
          <cell r="BA144">
            <v>1987129</v>
          </cell>
          <cell r="BB144">
            <v>1990131</v>
          </cell>
          <cell r="BC144">
            <v>1995581</v>
          </cell>
          <cell r="BD144">
            <v>2003787</v>
          </cell>
          <cell r="BE144">
            <v>2014990</v>
          </cell>
          <cell r="BF144">
            <v>2028519</v>
          </cell>
          <cell r="BG144">
            <v>2043437</v>
          </cell>
          <cell r="BH144">
            <v>2059021</v>
          </cell>
          <cell r="BI144">
            <v>2075001</v>
          </cell>
          <cell r="BJ144">
            <v>2091412</v>
          </cell>
          <cell r="BK144">
            <v>2108132</v>
          </cell>
        </row>
        <row r="145">
          <cell r="B145" t="str">
            <v>LTE</v>
          </cell>
          <cell r="C145" t="str">
            <v>Population, total</v>
          </cell>
          <cell r="D145" t="str">
            <v>SP.POP.TOTL</v>
          </cell>
          <cell r="E145">
            <v>1097403781</v>
          </cell>
          <cell r="F145">
            <v>1099797275</v>
          </cell>
          <cell r="G145">
            <v>1114451802</v>
          </cell>
          <cell r="H145">
            <v>1140424871</v>
          </cell>
          <cell r="I145">
            <v>1165967060</v>
          </cell>
          <cell r="J145">
            <v>1192235073</v>
          </cell>
          <cell r="K145">
            <v>1221252541</v>
          </cell>
          <cell r="L145">
            <v>1249424428</v>
          </cell>
          <cell r="M145">
            <v>1278385430</v>
          </cell>
          <cell r="N145">
            <v>1308816321</v>
          </cell>
          <cell r="O145">
            <v>1339919001</v>
          </cell>
          <cell r="P145">
            <v>1371557517</v>
          </cell>
          <cell r="Q145">
            <v>1401527248</v>
          </cell>
          <cell r="R145">
            <v>1430526179</v>
          </cell>
          <cell r="S145">
            <v>1458108109</v>
          </cell>
          <cell r="T145">
            <v>1483449266</v>
          </cell>
          <cell r="U145">
            <v>1507257850</v>
          </cell>
          <cell r="V145">
            <v>1529518337</v>
          </cell>
          <cell r="W145">
            <v>1551730186</v>
          </cell>
          <cell r="X145">
            <v>1574150421</v>
          </cell>
          <cell r="Y145">
            <v>1596184271</v>
          </cell>
          <cell r="Z145">
            <v>1618775545</v>
          </cell>
          <cell r="AA145">
            <v>1643485593</v>
          </cell>
          <cell r="AB145">
            <v>1668173934</v>
          </cell>
          <cell r="AC145">
            <v>1691966485</v>
          </cell>
          <cell r="AD145">
            <v>1716487312</v>
          </cell>
          <cell r="AE145">
            <v>1742456920</v>
          </cell>
          <cell r="AF145">
            <v>1769838060</v>
          </cell>
          <cell r="AG145">
            <v>1797369949</v>
          </cell>
          <cell r="AH145">
            <v>1823976433</v>
          </cell>
          <cell r="AI145">
            <v>1849526605</v>
          </cell>
          <cell r="AJ145">
            <v>1873490015</v>
          </cell>
          <cell r="AK145">
            <v>1893548031</v>
          </cell>
          <cell r="AL145">
            <v>1914561058</v>
          </cell>
          <cell r="AM145">
            <v>1935068108</v>
          </cell>
          <cell r="AN145">
            <v>1956575285</v>
          </cell>
          <cell r="AO145">
            <v>1975922433</v>
          </cell>
          <cell r="AP145">
            <v>1994983078</v>
          </cell>
          <cell r="AQ145">
            <v>2013289641</v>
          </cell>
          <cell r="AR145">
            <v>2030330432</v>
          </cell>
          <cell r="AS145">
            <v>2045841423</v>
          </cell>
          <cell r="AT145">
            <v>2060587322</v>
          </cell>
          <cell r="AU145">
            <v>2074469505</v>
          </cell>
          <cell r="AV145">
            <v>2088020747</v>
          </cell>
          <cell r="AW145">
            <v>2101455067</v>
          </cell>
          <cell r="AX145">
            <v>2115014282</v>
          </cell>
          <cell r="AY145">
            <v>2128455973</v>
          </cell>
          <cell r="AZ145">
            <v>2141610789</v>
          </cell>
          <cell r="BA145">
            <v>2154947270</v>
          </cell>
          <cell r="BB145">
            <v>2168543985</v>
          </cell>
          <cell r="BC145">
            <v>2181529363</v>
          </cell>
          <cell r="BD145">
            <v>2194530619</v>
          </cell>
          <cell r="BE145">
            <v>2207632770</v>
          </cell>
          <cell r="BF145">
            <v>2220999087</v>
          </cell>
          <cell r="BG145">
            <v>2234568586</v>
          </cell>
          <cell r="BH145">
            <v>2248128427</v>
          </cell>
          <cell r="BI145">
            <v>2262158994</v>
          </cell>
          <cell r="BJ145">
            <v>2276319334</v>
          </cell>
          <cell r="BK145">
            <v>2288665963</v>
          </cell>
        </row>
        <row r="146">
          <cell r="B146" t="str">
            <v>LTU</v>
          </cell>
          <cell r="C146" t="str">
            <v>Population, total</v>
          </cell>
          <cell r="D146" t="str">
            <v>SP.POP.TOTL</v>
          </cell>
          <cell r="E146">
            <v>2778550</v>
          </cell>
          <cell r="F146">
            <v>2823550</v>
          </cell>
          <cell r="G146">
            <v>2863350</v>
          </cell>
          <cell r="H146">
            <v>2898950</v>
          </cell>
          <cell r="I146">
            <v>2935200</v>
          </cell>
          <cell r="J146">
            <v>2971450</v>
          </cell>
          <cell r="K146">
            <v>3008050</v>
          </cell>
          <cell r="L146">
            <v>3044400</v>
          </cell>
          <cell r="M146">
            <v>3078850</v>
          </cell>
          <cell r="N146">
            <v>3107321</v>
          </cell>
          <cell r="O146">
            <v>3139689</v>
          </cell>
          <cell r="P146">
            <v>3179041</v>
          </cell>
          <cell r="Q146">
            <v>3213622</v>
          </cell>
          <cell r="R146">
            <v>3244438</v>
          </cell>
          <cell r="S146">
            <v>3273894</v>
          </cell>
          <cell r="T146">
            <v>3301652</v>
          </cell>
          <cell r="U146">
            <v>3328664</v>
          </cell>
          <cell r="V146">
            <v>3355036</v>
          </cell>
          <cell r="W146">
            <v>3379514</v>
          </cell>
          <cell r="X146">
            <v>3397842</v>
          </cell>
          <cell r="Y146">
            <v>3413202</v>
          </cell>
          <cell r="Z146">
            <v>3432947</v>
          </cell>
          <cell r="AA146">
            <v>3457179</v>
          </cell>
          <cell r="AB146">
            <v>3485192</v>
          </cell>
          <cell r="AC146">
            <v>3514205</v>
          </cell>
          <cell r="AD146">
            <v>3544543</v>
          </cell>
          <cell r="AE146">
            <v>3578914</v>
          </cell>
          <cell r="AF146">
            <v>3616367</v>
          </cell>
          <cell r="AG146">
            <v>3655049</v>
          </cell>
          <cell r="AH146">
            <v>3684255</v>
          </cell>
          <cell r="AI146">
            <v>3697838</v>
          </cell>
          <cell r="AJ146">
            <v>3704134</v>
          </cell>
          <cell r="AK146">
            <v>3700114</v>
          </cell>
          <cell r="AL146">
            <v>3682613</v>
          </cell>
          <cell r="AM146">
            <v>3657144</v>
          </cell>
          <cell r="AN146">
            <v>3629102</v>
          </cell>
          <cell r="AO146">
            <v>3601613</v>
          </cell>
          <cell r="AP146">
            <v>3575137</v>
          </cell>
          <cell r="AQ146">
            <v>3549331</v>
          </cell>
          <cell r="AR146">
            <v>3524238</v>
          </cell>
          <cell r="AS146">
            <v>3499536</v>
          </cell>
          <cell r="AT146">
            <v>3470818</v>
          </cell>
          <cell r="AU146">
            <v>3443067</v>
          </cell>
          <cell r="AV146">
            <v>3415213</v>
          </cell>
          <cell r="AW146">
            <v>3377075</v>
          </cell>
          <cell r="AX146">
            <v>3322528</v>
          </cell>
          <cell r="AY146">
            <v>3269909</v>
          </cell>
          <cell r="AZ146">
            <v>3231294</v>
          </cell>
          <cell r="BA146">
            <v>3198231</v>
          </cell>
          <cell r="BB146">
            <v>3162916</v>
          </cell>
          <cell r="BC146">
            <v>3097282</v>
          </cell>
          <cell r="BD146">
            <v>3028115</v>
          </cell>
          <cell r="BE146">
            <v>2987773</v>
          </cell>
          <cell r="BF146">
            <v>2957689</v>
          </cell>
          <cell r="BG146">
            <v>2932367</v>
          </cell>
          <cell r="BH146">
            <v>2904910</v>
          </cell>
          <cell r="BI146">
            <v>2868231</v>
          </cell>
          <cell r="BJ146">
            <v>2828403</v>
          </cell>
          <cell r="BK146">
            <v>2801543</v>
          </cell>
        </row>
        <row r="147">
          <cell r="B147" t="str">
            <v>LUX</v>
          </cell>
          <cell r="C147" t="str">
            <v>Population, total</v>
          </cell>
          <cell r="D147" t="str">
            <v>SP.POP.TOTL</v>
          </cell>
          <cell r="E147">
            <v>313970</v>
          </cell>
          <cell r="F147">
            <v>316845</v>
          </cell>
          <cell r="G147">
            <v>320750</v>
          </cell>
          <cell r="H147">
            <v>324100</v>
          </cell>
          <cell r="I147">
            <v>327750</v>
          </cell>
          <cell r="J147">
            <v>331500</v>
          </cell>
          <cell r="K147">
            <v>333895</v>
          </cell>
          <cell r="L147">
            <v>334995</v>
          </cell>
          <cell r="M147">
            <v>335850</v>
          </cell>
          <cell r="N147">
            <v>337500</v>
          </cell>
          <cell r="O147">
            <v>339171</v>
          </cell>
          <cell r="P147">
            <v>342421</v>
          </cell>
          <cell r="Q147">
            <v>346600</v>
          </cell>
          <cell r="R147">
            <v>350450</v>
          </cell>
          <cell r="S147">
            <v>355050</v>
          </cell>
          <cell r="T147">
            <v>358950</v>
          </cell>
          <cell r="U147">
            <v>360731</v>
          </cell>
          <cell r="V147">
            <v>361358</v>
          </cell>
          <cell r="W147">
            <v>362007</v>
          </cell>
          <cell r="X147">
            <v>362856</v>
          </cell>
          <cell r="Y147">
            <v>364150</v>
          </cell>
          <cell r="Z147">
            <v>365225</v>
          </cell>
          <cell r="AA147">
            <v>365525</v>
          </cell>
          <cell r="AB147">
            <v>365622</v>
          </cell>
          <cell r="AC147">
            <v>365998</v>
          </cell>
          <cell r="AD147">
            <v>366706</v>
          </cell>
          <cell r="AE147">
            <v>368355</v>
          </cell>
          <cell r="AF147">
            <v>370750</v>
          </cell>
          <cell r="AG147">
            <v>373450</v>
          </cell>
          <cell r="AH147">
            <v>377100</v>
          </cell>
          <cell r="AI147">
            <v>381850</v>
          </cell>
          <cell r="AJ147">
            <v>387000</v>
          </cell>
          <cell r="AK147">
            <v>392175</v>
          </cell>
          <cell r="AL147">
            <v>397475</v>
          </cell>
          <cell r="AM147">
            <v>402925</v>
          </cell>
          <cell r="AN147">
            <v>408625</v>
          </cell>
          <cell r="AO147">
            <v>414225</v>
          </cell>
          <cell r="AP147">
            <v>419450</v>
          </cell>
          <cell r="AQ147">
            <v>424700</v>
          </cell>
          <cell r="AR147">
            <v>430475</v>
          </cell>
          <cell r="AS147">
            <v>436300</v>
          </cell>
          <cell r="AT147">
            <v>441525</v>
          </cell>
          <cell r="AU147">
            <v>446175</v>
          </cell>
          <cell r="AV147">
            <v>451630</v>
          </cell>
          <cell r="AW147">
            <v>458095</v>
          </cell>
          <cell r="AX147">
            <v>465158</v>
          </cell>
          <cell r="AY147">
            <v>472637</v>
          </cell>
          <cell r="AZ147">
            <v>479993</v>
          </cell>
          <cell r="BA147">
            <v>488650</v>
          </cell>
          <cell r="BB147">
            <v>497783</v>
          </cell>
          <cell r="BC147">
            <v>506953</v>
          </cell>
          <cell r="BD147">
            <v>518347</v>
          </cell>
          <cell r="BE147">
            <v>530946</v>
          </cell>
          <cell r="BF147">
            <v>543360</v>
          </cell>
          <cell r="BG147">
            <v>556319</v>
          </cell>
          <cell r="BH147">
            <v>569604</v>
          </cell>
          <cell r="BI147">
            <v>582014</v>
          </cell>
          <cell r="BJ147">
            <v>596336</v>
          </cell>
          <cell r="BK147">
            <v>607950</v>
          </cell>
        </row>
        <row r="148">
          <cell r="B148" t="str">
            <v>LVA</v>
          </cell>
          <cell r="C148" t="str">
            <v>Population, total</v>
          </cell>
          <cell r="D148" t="str">
            <v>SP.POP.TOTL</v>
          </cell>
          <cell r="E148">
            <v>2120979</v>
          </cell>
          <cell r="F148">
            <v>2152681</v>
          </cell>
          <cell r="G148">
            <v>2181586</v>
          </cell>
          <cell r="H148">
            <v>2210919</v>
          </cell>
          <cell r="I148">
            <v>2240623</v>
          </cell>
          <cell r="J148">
            <v>2265919</v>
          </cell>
          <cell r="K148">
            <v>2283217</v>
          </cell>
          <cell r="L148">
            <v>2301220</v>
          </cell>
          <cell r="M148">
            <v>2323619</v>
          </cell>
          <cell r="N148">
            <v>2343173</v>
          </cell>
          <cell r="O148">
            <v>2359164</v>
          </cell>
          <cell r="P148">
            <v>2376389</v>
          </cell>
          <cell r="Q148">
            <v>2395674</v>
          </cell>
          <cell r="R148">
            <v>2415819</v>
          </cell>
          <cell r="S148">
            <v>2437186</v>
          </cell>
          <cell r="T148">
            <v>2456130</v>
          </cell>
          <cell r="U148">
            <v>2470989</v>
          </cell>
          <cell r="V148">
            <v>2485073</v>
          </cell>
          <cell r="W148">
            <v>2497921</v>
          </cell>
          <cell r="X148">
            <v>2505953</v>
          </cell>
          <cell r="Y148">
            <v>2511701</v>
          </cell>
          <cell r="Z148">
            <v>2519421</v>
          </cell>
          <cell r="AA148">
            <v>2531080</v>
          </cell>
          <cell r="AB148">
            <v>2546011</v>
          </cell>
          <cell r="AC148">
            <v>2562047</v>
          </cell>
          <cell r="AD148">
            <v>2578873</v>
          </cell>
          <cell r="AE148">
            <v>2599892</v>
          </cell>
          <cell r="AF148">
            <v>2626583</v>
          </cell>
          <cell r="AG148">
            <v>2653434</v>
          </cell>
          <cell r="AH148">
            <v>2666955</v>
          </cell>
          <cell r="AI148">
            <v>2663151</v>
          </cell>
          <cell r="AJ148">
            <v>2650581</v>
          </cell>
          <cell r="AK148">
            <v>2614338</v>
          </cell>
          <cell r="AL148">
            <v>2563290</v>
          </cell>
          <cell r="AM148">
            <v>2520742</v>
          </cell>
          <cell r="AN148">
            <v>2485056</v>
          </cell>
          <cell r="AO148">
            <v>2457222</v>
          </cell>
          <cell r="AP148">
            <v>2432851</v>
          </cell>
          <cell r="AQ148">
            <v>2410019</v>
          </cell>
          <cell r="AR148">
            <v>2390482</v>
          </cell>
          <cell r="AS148">
            <v>2367550</v>
          </cell>
          <cell r="AT148">
            <v>2337170</v>
          </cell>
          <cell r="AU148">
            <v>2310173</v>
          </cell>
          <cell r="AV148">
            <v>2287955</v>
          </cell>
          <cell r="AW148">
            <v>2263122</v>
          </cell>
          <cell r="AX148">
            <v>2238799</v>
          </cell>
          <cell r="AY148">
            <v>2218357</v>
          </cell>
          <cell r="AZ148">
            <v>2200325</v>
          </cell>
          <cell r="BA148">
            <v>2177322</v>
          </cell>
          <cell r="BB148">
            <v>2141669</v>
          </cell>
          <cell r="BC148">
            <v>2097555</v>
          </cell>
          <cell r="BD148">
            <v>2059709</v>
          </cell>
          <cell r="BE148">
            <v>2034319</v>
          </cell>
          <cell r="BF148">
            <v>2012647</v>
          </cell>
          <cell r="BG148">
            <v>1993782</v>
          </cell>
          <cell r="BH148">
            <v>1977527</v>
          </cell>
          <cell r="BI148">
            <v>1959537</v>
          </cell>
          <cell r="BJ148">
            <v>1942248</v>
          </cell>
          <cell r="BK148">
            <v>1927174</v>
          </cell>
        </row>
        <row r="149">
          <cell r="B149" t="str">
            <v>MAC</v>
          </cell>
          <cell r="C149" t="str">
            <v>Population, total</v>
          </cell>
          <cell r="D149" t="str">
            <v>SP.POP.TOTL</v>
          </cell>
          <cell r="E149">
            <v>167791</v>
          </cell>
          <cell r="F149">
            <v>170462</v>
          </cell>
          <cell r="G149">
            <v>176183</v>
          </cell>
          <cell r="H149">
            <v>184245</v>
          </cell>
          <cell r="I149">
            <v>193561</v>
          </cell>
          <cell r="J149">
            <v>203228</v>
          </cell>
          <cell r="K149">
            <v>213192</v>
          </cell>
          <cell r="L149">
            <v>223418</v>
          </cell>
          <cell r="M149">
            <v>233000</v>
          </cell>
          <cell r="N149">
            <v>240839</v>
          </cell>
          <cell r="O149">
            <v>246194</v>
          </cell>
          <cell r="P149">
            <v>248738</v>
          </cell>
          <cell r="Q149">
            <v>248767</v>
          </cell>
          <cell r="R149">
            <v>246947</v>
          </cell>
          <cell r="S149">
            <v>244285</v>
          </cell>
          <cell r="T149">
            <v>241628</v>
          </cell>
          <cell r="U149">
            <v>239075</v>
          </cell>
          <cell r="V149">
            <v>236678</v>
          </cell>
          <cell r="W149">
            <v>235171</v>
          </cell>
          <cell r="X149">
            <v>235440</v>
          </cell>
          <cell r="Y149">
            <v>238071</v>
          </cell>
          <cell r="Z149">
            <v>243373</v>
          </cell>
          <cell r="AA149">
            <v>251158</v>
          </cell>
          <cell r="AB149">
            <v>260931</v>
          </cell>
          <cell r="AC149">
            <v>271918</v>
          </cell>
          <cell r="AD149">
            <v>283503</v>
          </cell>
          <cell r="AE149">
            <v>295591</v>
          </cell>
          <cell r="AF149">
            <v>308180</v>
          </cell>
          <cell r="AG149">
            <v>320773</v>
          </cell>
          <cell r="AH149">
            <v>332783</v>
          </cell>
          <cell r="AI149">
            <v>343808</v>
          </cell>
          <cell r="AJ149">
            <v>353626</v>
          </cell>
          <cell r="AK149">
            <v>362311</v>
          </cell>
          <cell r="AL149">
            <v>370199</v>
          </cell>
          <cell r="AM149">
            <v>377798</v>
          </cell>
          <cell r="AN149">
            <v>385513</v>
          </cell>
          <cell r="AO149">
            <v>393373</v>
          </cell>
          <cell r="AP149">
            <v>401352</v>
          </cell>
          <cell r="AQ149">
            <v>409616</v>
          </cell>
          <cell r="AR149">
            <v>418383</v>
          </cell>
          <cell r="AS149">
            <v>427782</v>
          </cell>
          <cell r="AT149">
            <v>437938</v>
          </cell>
          <cell r="AU149">
            <v>448821</v>
          </cell>
          <cell r="AV149">
            <v>460165</v>
          </cell>
          <cell r="AW149">
            <v>471597</v>
          </cell>
          <cell r="AX149">
            <v>482858</v>
          </cell>
          <cell r="AY149">
            <v>493799</v>
          </cell>
          <cell r="AZ149">
            <v>504511</v>
          </cell>
          <cell r="BA149">
            <v>515239</v>
          </cell>
          <cell r="BB149">
            <v>526400</v>
          </cell>
          <cell r="BC149">
            <v>538219</v>
          </cell>
          <cell r="BD149">
            <v>550832</v>
          </cell>
          <cell r="BE149">
            <v>564039</v>
          </cell>
          <cell r="BF149">
            <v>577372</v>
          </cell>
          <cell r="BG149">
            <v>590208</v>
          </cell>
          <cell r="BH149">
            <v>602085</v>
          </cell>
          <cell r="BI149">
            <v>612836</v>
          </cell>
          <cell r="BJ149">
            <v>622585</v>
          </cell>
          <cell r="BK149">
            <v>631636</v>
          </cell>
        </row>
        <row r="150">
          <cell r="B150" t="str">
            <v>MAF</v>
          </cell>
          <cell r="C150" t="str">
            <v>Population, total</v>
          </cell>
          <cell r="D150" t="str">
            <v>SP.POP.TOTL</v>
          </cell>
          <cell r="E150">
            <v>3893</v>
          </cell>
          <cell r="F150">
            <v>3989</v>
          </cell>
          <cell r="G150">
            <v>4076</v>
          </cell>
          <cell r="H150">
            <v>4183</v>
          </cell>
          <cell r="I150">
            <v>4308</v>
          </cell>
          <cell r="J150">
            <v>4468</v>
          </cell>
          <cell r="K150">
            <v>4685</v>
          </cell>
          <cell r="L150">
            <v>4920</v>
          </cell>
          <cell r="M150">
            <v>5193</v>
          </cell>
          <cell r="N150">
            <v>5459</v>
          </cell>
          <cell r="O150">
            <v>5712</v>
          </cell>
          <cell r="P150">
            <v>5944</v>
          </cell>
          <cell r="Q150">
            <v>6156</v>
          </cell>
          <cell r="R150">
            <v>6368</v>
          </cell>
          <cell r="S150">
            <v>6607</v>
          </cell>
          <cell r="T150">
            <v>6881</v>
          </cell>
          <cell r="U150">
            <v>7246</v>
          </cell>
          <cell r="V150">
            <v>7718</v>
          </cell>
          <cell r="W150">
            <v>8190</v>
          </cell>
          <cell r="X150">
            <v>8557</v>
          </cell>
          <cell r="Y150">
            <v>8771</v>
          </cell>
          <cell r="Z150">
            <v>8678</v>
          </cell>
          <cell r="AA150">
            <v>8369</v>
          </cell>
          <cell r="AB150">
            <v>8294</v>
          </cell>
          <cell r="AC150">
            <v>9061</v>
          </cell>
          <cell r="AD150">
            <v>11061</v>
          </cell>
          <cell r="AE150">
            <v>14559</v>
          </cell>
          <cell r="AF150">
            <v>19275</v>
          </cell>
          <cell r="AG150">
            <v>24378</v>
          </cell>
          <cell r="AH150">
            <v>28722</v>
          </cell>
          <cell r="AI150">
            <v>31520</v>
          </cell>
          <cell r="AJ150">
            <v>32449</v>
          </cell>
          <cell r="AK150">
            <v>31811</v>
          </cell>
          <cell r="AL150">
            <v>30200</v>
          </cell>
          <cell r="AM150">
            <v>28484</v>
          </cell>
          <cell r="AN150">
            <v>27321</v>
          </cell>
          <cell r="AO150">
            <v>26849</v>
          </cell>
          <cell r="AP150">
            <v>26909</v>
          </cell>
          <cell r="AQ150">
            <v>27392</v>
          </cell>
          <cell r="AR150">
            <v>28116</v>
          </cell>
          <cell r="AS150">
            <v>28935</v>
          </cell>
          <cell r="AT150">
            <v>29853</v>
          </cell>
          <cell r="AU150">
            <v>30910</v>
          </cell>
          <cell r="AV150">
            <v>32053</v>
          </cell>
          <cell r="AW150">
            <v>33186</v>
          </cell>
          <cell r="AX150">
            <v>34248</v>
          </cell>
          <cell r="AY150">
            <v>35237</v>
          </cell>
          <cell r="AZ150">
            <v>36137</v>
          </cell>
          <cell r="BA150">
            <v>36885</v>
          </cell>
          <cell r="BB150">
            <v>37377</v>
          </cell>
          <cell r="BC150">
            <v>37582</v>
          </cell>
          <cell r="BD150">
            <v>37446</v>
          </cell>
          <cell r="BE150">
            <v>37009</v>
          </cell>
          <cell r="BF150">
            <v>36453</v>
          </cell>
          <cell r="BG150">
            <v>36015</v>
          </cell>
          <cell r="BH150">
            <v>35858</v>
          </cell>
          <cell r="BI150">
            <v>36065</v>
          </cell>
          <cell r="BJ150">
            <v>36560</v>
          </cell>
          <cell r="BK150">
            <v>37264</v>
          </cell>
        </row>
        <row r="151">
          <cell r="B151" t="str">
            <v>MAR</v>
          </cell>
          <cell r="C151" t="str">
            <v>Population, total</v>
          </cell>
          <cell r="D151" t="str">
            <v>SP.POP.TOTL</v>
          </cell>
          <cell r="E151">
            <v>12328532</v>
          </cell>
          <cell r="F151">
            <v>12710581</v>
          </cell>
          <cell r="G151">
            <v>13094888</v>
          </cell>
          <cell r="H151">
            <v>13478423</v>
          </cell>
          <cell r="I151">
            <v>13857649</v>
          </cell>
          <cell r="J151">
            <v>14230163</v>
          </cell>
          <cell r="K151">
            <v>14595350</v>
          </cell>
          <cell r="L151">
            <v>14954031</v>
          </cell>
          <cell r="M151">
            <v>15307273</v>
          </cell>
          <cell r="N151">
            <v>15656843</v>
          </cell>
          <cell r="O151">
            <v>16004731</v>
          </cell>
          <cell r="P151">
            <v>16350881</v>
          </cell>
          <cell r="Q151">
            <v>16696891</v>
          </cell>
          <cell r="R151">
            <v>17048518</v>
          </cell>
          <cell r="S151">
            <v>17413144</v>
          </cell>
          <cell r="T151">
            <v>17796164</v>
          </cell>
          <cell r="U151">
            <v>18198844</v>
          </cell>
          <cell r="V151">
            <v>18620093</v>
          </cell>
          <cell r="W151">
            <v>19059770</v>
          </cell>
          <cell r="X151">
            <v>19516942</v>
          </cell>
          <cell r="Y151">
            <v>19990012</v>
          </cell>
          <cell r="Z151">
            <v>20479715</v>
          </cell>
          <cell r="AA151">
            <v>20984009</v>
          </cell>
          <cell r="AB151">
            <v>21495086</v>
          </cell>
          <cell r="AC151">
            <v>22002643</v>
          </cell>
          <cell r="AD151">
            <v>22499110</v>
          </cell>
          <cell r="AE151">
            <v>22980335</v>
          </cell>
          <cell r="AF151">
            <v>23447252</v>
          </cell>
          <cell r="AG151">
            <v>23903592</v>
          </cell>
          <cell r="AH151">
            <v>24355619</v>
          </cell>
          <cell r="AI151">
            <v>24807462</v>
          </cell>
          <cell r="AJ151">
            <v>25260404</v>
          </cell>
          <cell r="AK151">
            <v>25711406</v>
          </cell>
          <cell r="AL151">
            <v>26155203</v>
          </cell>
          <cell r="AM151">
            <v>26584478</v>
          </cell>
          <cell r="AN151">
            <v>26994250</v>
          </cell>
          <cell r="AO151">
            <v>27383473</v>
          </cell>
          <cell r="AP151">
            <v>27754571</v>
          </cell>
          <cell r="AQ151">
            <v>28110443</v>
          </cell>
          <cell r="AR151">
            <v>28455509</v>
          </cell>
          <cell r="AS151">
            <v>28793679</v>
          </cell>
          <cell r="AT151">
            <v>29126330</v>
          </cell>
          <cell r="AU151">
            <v>29454768</v>
          </cell>
          <cell r="AV151">
            <v>29782884</v>
          </cell>
          <cell r="AW151">
            <v>30115214</v>
          </cell>
          <cell r="AX151">
            <v>30455561</v>
          </cell>
          <cell r="AY151">
            <v>30804683</v>
          </cell>
          <cell r="AZ151">
            <v>31163673</v>
          </cell>
          <cell r="BA151">
            <v>31536811</v>
          </cell>
          <cell r="BB151">
            <v>31929087</v>
          </cell>
          <cell r="BC151">
            <v>32343389</v>
          </cell>
          <cell r="BD151">
            <v>32781850</v>
          </cell>
          <cell r="BE151">
            <v>33241898</v>
          </cell>
          <cell r="BF151">
            <v>33715693</v>
          </cell>
          <cell r="BG151">
            <v>34192347</v>
          </cell>
          <cell r="BH151">
            <v>34663603</v>
          </cell>
          <cell r="BI151">
            <v>35126296</v>
          </cell>
          <cell r="BJ151">
            <v>35581294</v>
          </cell>
          <cell r="BK151">
            <v>36029138</v>
          </cell>
        </row>
        <row r="152">
          <cell r="B152" t="str">
            <v>MCO</v>
          </cell>
          <cell r="C152" t="str">
            <v>Population, total</v>
          </cell>
          <cell r="D152" t="str">
            <v>SP.POP.TOTL</v>
          </cell>
          <cell r="E152">
            <v>22452</v>
          </cell>
          <cell r="F152">
            <v>22808</v>
          </cell>
          <cell r="G152">
            <v>23039</v>
          </cell>
          <cell r="H152">
            <v>23168</v>
          </cell>
          <cell r="I152">
            <v>23236</v>
          </cell>
          <cell r="J152">
            <v>23282</v>
          </cell>
          <cell r="K152">
            <v>23305</v>
          </cell>
          <cell r="L152">
            <v>23292</v>
          </cell>
          <cell r="M152">
            <v>23304</v>
          </cell>
          <cell r="N152">
            <v>23346</v>
          </cell>
          <cell r="O152">
            <v>23484</v>
          </cell>
          <cell r="P152">
            <v>23721</v>
          </cell>
          <cell r="Q152">
            <v>24051</v>
          </cell>
          <cell r="R152">
            <v>24439</v>
          </cell>
          <cell r="S152">
            <v>24836</v>
          </cell>
          <cell r="T152">
            <v>25198</v>
          </cell>
          <cell r="U152">
            <v>25524</v>
          </cell>
          <cell r="V152">
            <v>25809</v>
          </cell>
          <cell r="W152">
            <v>26087</v>
          </cell>
          <cell r="X152">
            <v>26394</v>
          </cell>
          <cell r="Y152">
            <v>26745</v>
          </cell>
          <cell r="Z152">
            <v>27162</v>
          </cell>
          <cell r="AA152">
            <v>27627</v>
          </cell>
          <cell r="AB152">
            <v>28097</v>
          </cell>
          <cell r="AC152">
            <v>28510</v>
          </cell>
          <cell r="AD152">
            <v>28832</v>
          </cell>
          <cell r="AE152">
            <v>29041</v>
          </cell>
          <cell r="AF152">
            <v>29168</v>
          </cell>
          <cell r="AG152">
            <v>29229</v>
          </cell>
          <cell r="AH152">
            <v>29305</v>
          </cell>
          <cell r="AI152">
            <v>29438</v>
          </cell>
          <cell r="AJ152">
            <v>29622</v>
          </cell>
          <cell r="AK152">
            <v>29865</v>
          </cell>
          <cell r="AL152">
            <v>30146</v>
          </cell>
          <cell r="AM152">
            <v>30435</v>
          </cell>
          <cell r="AN152">
            <v>30716</v>
          </cell>
          <cell r="AO152">
            <v>30995</v>
          </cell>
          <cell r="AP152">
            <v>31280</v>
          </cell>
          <cell r="AQ152">
            <v>31556</v>
          </cell>
          <cell r="AR152">
            <v>31844</v>
          </cell>
          <cell r="AS152">
            <v>32147</v>
          </cell>
          <cell r="AT152">
            <v>32470</v>
          </cell>
          <cell r="AU152">
            <v>32806</v>
          </cell>
          <cell r="AV152">
            <v>33153</v>
          </cell>
          <cell r="AW152">
            <v>33500</v>
          </cell>
          <cell r="AX152">
            <v>33843</v>
          </cell>
          <cell r="AY152">
            <v>34190</v>
          </cell>
          <cell r="AZ152">
            <v>34525</v>
          </cell>
          <cell r="BA152">
            <v>34872</v>
          </cell>
          <cell r="BB152">
            <v>35226</v>
          </cell>
          <cell r="BC152">
            <v>35612</v>
          </cell>
          <cell r="BD152">
            <v>36024</v>
          </cell>
          <cell r="BE152">
            <v>36460</v>
          </cell>
          <cell r="BF152">
            <v>36901</v>
          </cell>
          <cell r="BG152">
            <v>37322</v>
          </cell>
          <cell r="BH152">
            <v>37718</v>
          </cell>
          <cell r="BI152">
            <v>38070</v>
          </cell>
          <cell r="BJ152">
            <v>38392</v>
          </cell>
          <cell r="BK152">
            <v>38682</v>
          </cell>
        </row>
        <row r="153">
          <cell r="B153" t="str">
            <v>MDA</v>
          </cell>
          <cell r="C153" t="str">
            <v>Population, total</v>
          </cell>
          <cell r="D153" t="str">
            <v>SP.POP.TOTL</v>
          </cell>
          <cell r="E153">
            <v>2043664</v>
          </cell>
          <cell r="F153">
            <v>2092667</v>
          </cell>
          <cell r="G153">
            <v>2140063</v>
          </cell>
          <cell r="H153">
            <v>2185050</v>
          </cell>
          <cell r="I153">
            <v>2228429</v>
          </cell>
          <cell r="J153">
            <v>2269399</v>
          </cell>
          <cell r="K153">
            <v>2307959</v>
          </cell>
          <cell r="L153">
            <v>2344108</v>
          </cell>
          <cell r="M153">
            <v>2377848</v>
          </cell>
          <cell r="N153">
            <v>2411588</v>
          </cell>
          <cell r="O153">
            <v>2445328</v>
          </cell>
          <cell r="P153">
            <v>2479871</v>
          </cell>
          <cell r="Q153">
            <v>2515217</v>
          </cell>
          <cell r="R153">
            <v>2549760</v>
          </cell>
          <cell r="S153">
            <v>2582697</v>
          </cell>
          <cell r="T153">
            <v>2611616</v>
          </cell>
          <cell r="U153">
            <v>2638126</v>
          </cell>
          <cell r="V153">
            <v>2660619</v>
          </cell>
          <cell r="W153">
            <v>2682309</v>
          </cell>
          <cell r="X153">
            <v>2703999</v>
          </cell>
          <cell r="Y153">
            <v>2728099</v>
          </cell>
          <cell r="Z153">
            <v>2754609</v>
          </cell>
          <cell r="AA153">
            <v>2782725</v>
          </cell>
          <cell r="AB153">
            <v>2811645</v>
          </cell>
          <cell r="AC153">
            <v>2840565</v>
          </cell>
          <cell r="AD153">
            <v>2867878</v>
          </cell>
          <cell r="AE153">
            <v>2893584</v>
          </cell>
          <cell r="AF153">
            <v>2918487</v>
          </cell>
          <cell r="AG153">
            <v>2940177</v>
          </cell>
          <cell r="AH153">
            <v>2957047</v>
          </cell>
          <cell r="AI153">
            <v>2969097</v>
          </cell>
          <cell r="AJ153">
            <v>2975523</v>
          </cell>
          <cell r="AK153">
            <v>2977130</v>
          </cell>
          <cell r="AL153">
            <v>2973114</v>
          </cell>
          <cell r="AM153">
            <v>2964277</v>
          </cell>
          <cell r="AN153">
            <v>2952307</v>
          </cell>
          <cell r="AO153">
            <v>2946401</v>
          </cell>
          <cell r="AP153">
            <v>2935524</v>
          </cell>
          <cell r="AQ153">
            <v>2934339</v>
          </cell>
          <cell r="AR153">
            <v>2929735</v>
          </cell>
          <cell r="AS153">
            <v>2923783</v>
          </cell>
          <cell r="AT153">
            <v>2917252</v>
          </cell>
          <cell r="AU153">
            <v>2910504</v>
          </cell>
          <cell r="AV153">
            <v>2902320</v>
          </cell>
          <cell r="AW153">
            <v>2895147</v>
          </cell>
          <cell r="AX153">
            <v>2888111</v>
          </cell>
          <cell r="AY153">
            <v>2880095</v>
          </cell>
          <cell r="AZ153">
            <v>2873429</v>
          </cell>
          <cell r="BA153">
            <v>2867964</v>
          </cell>
          <cell r="BB153">
            <v>2864346</v>
          </cell>
          <cell r="BC153">
            <v>2861487</v>
          </cell>
          <cell r="BD153">
            <v>2859833</v>
          </cell>
          <cell r="BE153">
            <v>2859458</v>
          </cell>
          <cell r="BF153">
            <v>2858692</v>
          </cell>
          <cell r="BG153">
            <v>2856950</v>
          </cell>
          <cell r="BH153">
            <v>2834530</v>
          </cell>
          <cell r="BI153">
            <v>2802170</v>
          </cell>
          <cell r="BJ153">
            <v>2755158</v>
          </cell>
          <cell r="BK153">
            <v>2706049</v>
          </cell>
        </row>
        <row r="154">
          <cell r="B154" t="str">
            <v>MDG</v>
          </cell>
          <cell r="C154" t="str">
            <v>Population, total</v>
          </cell>
          <cell r="D154" t="str">
            <v>SP.POP.TOTL</v>
          </cell>
          <cell r="E154">
            <v>5099373</v>
          </cell>
          <cell r="F154">
            <v>5223568</v>
          </cell>
          <cell r="G154">
            <v>5352503</v>
          </cell>
          <cell r="H154">
            <v>5486319</v>
          </cell>
          <cell r="I154">
            <v>5625164</v>
          </cell>
          <cell r="J154">
            <v>5769218</v>
          </cell>
          <cell r="K154">
            <v>5918595</v>
          </cell>
          <cell r="L154">
            <v>6073526</v>
          </cell>
          <cell r="M154">
            <v>6234465</v>
          </cell>
          <cell r="N154">
            <v>6401921</v>
          </cell>
          <cell r="O154">
            <v>6576305</v>
          </cell>
          <cell r="P154">
            <v>6757850</v>
          </cell>
          <cell r="Q154">
            <v>6946620</v>
          </cell>
          <cell r="R154">
            <v>7142627</v>
          </cell>
          <cell r="S154">
            <v>7345780</v>
          </cell>
          <cell r="T154">
            <v>7556026</v>
          </cell>
          <cell r="U154">
            <v>7773449</v>
          </cell>
          <cell r="V154">
            <v>7998164</v>
          </cell>
          <cell r="W154">
            <v>8230218</v>
          </cell>
          <cell r="X154">
            <v>8469672</v>
          </cell>
          <cell r="Y154">
            <v>8716553</v>
          </cell>
          <cell r="Z154">
            <v>8971345</v>
          </cell>
          <cell r="AA154">
            <v>9234129</v>
          </cell>
          <cell r="AB154">
            <v>9504281</v>
          </cell>
          <cell r="AC154">
            <v>9780872</v>
          </cell>
          <cell r="AD154">
            <v>10063495</v>
          </cell>
          <cell r="AE154">
            <v>10352120</v>
          </cell>
          <cell r="AF154">
            <v>10647754</v>
          </cell>
          <cell r="AG154">
            <v>10952395</v>
          </cell>
          <cell r="AH154">
            <v>11268658</v>
          </cell>
          <cell r="AI154">
            <v>11598633</v>
          </cell>
          <cell r="AJ154">
            <v>11942819</v>
          </cell>
          <cell r="AK154">
            <v>12301336</v>
          </cell>
          <cell r="AL154">
            <v>12675460</v>
          </cell>
          <cell r="AM154">
            <v>13066543</v>
          </cell>
          <cell r="AN154">
            <v>13475400</v>
          </cell>
          <cell r="AO154">
            <v>13902688</v>
          </cell>
          <cell r="AP154">
            <v>14347854</v>
          </cell>
          <cell r="AQ154">
            <v>14808791</v>
          </cell>
          <cell r="AR154">
            <v>15282521</v>
          </cell>
          <cell r="AS154">
            <v>15766806</v>
          </cell>
          <cell r="AT154">
            <v>16260932</v>
          </cell>
          <cell r="AU154">
            <v>16765117</v>
          </cell>
          <cell r="AV154">
            <v>17279141</v>
          </cell>
          <cell r="AW154">
            <v>17802997</v>
          </cell>
          <cell r="AX154">
            <v>18336724</v>
          </cell>
          <cell r="AY154">
            <v>18880269</v>
          </cell>
          <cell r="AZ154">
            <v>19433530</v>
          </cell>
          <cell r="BA154">
            <v>19996473</v>
          </cell>
          <cell r="BB154">
            <v>20569117</v>
          </cell>
          <cell r="BC154">
            <v>21151640</v>
          </cell>
          <cell r="BD154">
            <v>21743967</v>
          </cell>
          <cell r="BE154">
            <v>22346641</v>
          </cell>
          <cell r="BF154">
            <v>22961253</v>
          </cell>
          <cell r="BG154">
            <v>23589887</v>
          </cell>
          <cell r="BH154">
            <v>24234088</v>
          </cell>
          <cell r="BI154">
            <v>24894380</v>
          </cell>
          <cell r="BJ154">
            <v>25570540</v>
          </cell>
          <cell r="BK154">
            <v>26262368</v>
          </cell>
        </row>
        <row r="155">
          <cell r="B155" t="str">
            <v>MDV</v>
          </cell>
          <cell r="C155" t="str">
            <v>Population, total</v>
          </cell>
          <cell r="D155" t="str">
            <v>SP.POP.TOTL</v>
          </cell>
          <cell r="E155">
            <v>89863</v>
          </cell>
          <cell r="F155">
            <v>92325</v>
          </cell>
          <cell r="G155">
            <v>94905</v>
          </cell>
          <cell r="H155">
            <v>97551</v>
          </cell>
          <cell r="I155">
            <v>100171</v>
          </cell>
          <cell r="J155">
            <v>102718</v>
          </cell>
          <cell r="K155">
            <v>105136</v>
          </cell>
          <cell r="L155">
            <v>107478</v>
          </cell>
          <cell r="M155">
            <v>109891</v>
          </cell>
          <cell r="N155">
            <v>112582</v>
          </cell>
          <cell r="O155">
            <v>115691</v>
          </cell>
          <cell r="P155">
            <v>119302</v>
          </cell>
          <cell r="Q155">
            <v>123354</v>
          </cell>
          <cell r="R155">
            <v>127701</v>
          </cell>
          <cell r="S155">
            <v>132104</v>
          </cell>
          <cell r="T155">
            <v>136417</v>
          </cell>
          <cell r="U155">
            <v>140563</v>
          </cell>
          <cell r="V155">
            <v>144631</v>
          </cell>
          <cell r="W155">
            <v>148780</v>
          </cell>
          <cell r="X155">
            <v>153276</v>
          </cell>
          <cell r="Y155">
            <v>158272</v>
          </cell>
          <cell r="Z155">
            <v>163824</v>
          </cell>
          <cell r="AA155">
            <v>169851</v>
          </cell>
          <cell r="AB155">
            <v>176244</v>
          </cell>
          <cell r="AC155">
            <v>182850</v>
          </cell>
          <cell r="AD155">
            <v>189537</v>
          </cell>
          <cell r="AE155">
            <v>196264</v>
          </cell>
          <cell r="AF155">
            <v>203028</v>
          </cell>
          <cell r="AG155">
            <v>209785</v>
          </cell>
          <cell r="AH155">
            <v>216510</v>
          </cell>
          <cell r="AI155">
            <v>223158</v>
          </cell>
          <cell r="AJ155">
            <v>229751</v>
          </cell>
          <cell r="AK155">
            <v>236265</v>
          </cell>
          <cell r="AL155">
            <v>242605</v>
          </cell>
          <cell r="AM155">
            <v>248588</v>
          </cell>
          <cell r="AN155">
            <v>254139</v>
          </cell>
          <cell r="AO155">
            <v>259183</v>
          </cell>
          <cell r="AP155">
            <v>263842</v>
          </cell>
          <cell r="AQ155">
            <v>268455</v>
          </cell>
          <cell r="AR155">
            <v>273527</v>
          </cell>
          <cell r="AS155">
            <v>279398</v>
          </cell>
          <cell r="AT155">
            <v>286306</v>
          </cell>
          <cell r="AU155">
            <v>294186</v>
          </cell>
          <cell r="AV155">
            <v>302683</v>
          </cell>
          <cell r="AW155">
            <v>311265</v>
          </cell>
          <cell r="AX155">
            <v>319608</v>
          </cell>
          <cell r="AY155">
            <v>327487</v>
          </cell>
          <cell r="AZ155">
            <v>335169</v>
          </cell>
          <cell r="BA155">
            <v>343452</v>
          </cell>
          <cell r="BB155">
            <v>353398</v>
          </cell>
          <cell r="BC155">
            <v>365734</v>
          </cell>
          <cell r="BD155">
            <v>380495</v>
          </cell>
          <cell r="BE155">
            <v>397237</v>
          </cell>
          <cell r="BF155">
            <v>415593</v>
          </cell>
          <cell r="BG155">
            <v>435015</v>
          </cell>
          <cell r="BH155">
            <v>454915</v>
          </cell>
          <cell r="BI155">
            <v>475513</v>
          </cell>
          <cell r="BJ155">
            <v>496402</v>
          </cell>
          <cell r="BK155">
            <v>515696</v>
          </cell>
        </row>
        <row r="156">
          <cell r="B156" t="str">
            <v>MEA</v>
          </cell>
          <cell r="C156" t="str">
            <v>Population, total</v>
          </cell>
          <cell r="D156" t="str">
            <v>SP.POP.TOTL</v>
          </cell>
          <cell r="E156">
            <v>105203269</v>
          </cell>
          <cell r="F156">
            <v>108061812</v>
          </cell>
          <cell r="G156">
            <v>111045434</v>
          </cell>
          <cell r="H156">
            <v>114101592</v>
          </cell>
          <cell r="I156">
            <v>117271166</v>
          </cell>
          <cell r="J156">
            <v>120541214</v>
          </cell>
          <cell r="K156">
            <v>123908159</v>
          </cell>
          <cell r="L156">
            <v>127444958</v>
          </cell>
          <cell r="M156">
            <v>131026912</v>
          </cell>
          <cell r="N156">
            <v>134704201</v>
          </cell>
          <cell r="O156">
            <v>138473064</v>
          </cell>
          <cell r="P156">
            <v>142307879</v>
          </cell>
          <cell r="Q156">
            <v>146213388</v>
          </cell>
          <cell r="R156">
            <v>150292291</v>
          </cell>
          <cell r="S156">
            <v>154509812</v>
          </cell>
          <cell r="T156">
            <v>158917328</v>
          </cell>
          <cell r="U156">
            <v>163532323</v>
          </cell>
          <cell r="V156">
            <v>168361100</v>
          </cell>
          <cell r="W156">
            <v>173447058</v>
          </cell>
          <cell r="X156">
            <v>178866341</v>
          </cell>
          <cell r="Y156">
            <v>184628605</v>
          </cell>
          <cell r="Z156">
            <v>190731422</v>
          </cell>
          <cell r="AA156">
            <v>197157159</v>
          </cell>
          <cell r="AB156">
            <v>203834190</v>
          </cell>
          <cell r="AC156">
            <v>210648811</v>
          </cell>
          <cell r="AD156">
            <v>217572788</v>
          </cell>
          <cell r="AE156">
            <v>224549844</v>
          </cell>
          <cell r="AF156">
            <v>231570113</v>
          </cell>
          <cell r="AG156">
            <v>238565130</v>
          </cell>
          <cell r="AH156">
            <v>245453259</v>
          </cell>
          <cell r="AI156">
            <v>254215138</v>
          </cell>
          <cell r="AJ156">
            <v>261046309</v>
          </cell>
          <cell r="AK156">
            <v>265656619</v>
          </cell>
          <cell r="AL156">
            <v>272107828</v>
          </cell>
          <cell r="AM156">
            <v>278384965</v>
          </cell>
          <cell r="AN156">
            <v>286096964</v>
          </cell>
          <cell r="AO156">
            <v>292041181</v>
          </cell>
          <cell r="AP156">
            <v>297891731</v>
          </cell>
          <cell r="AQ156">
            <v>303641740</v>
          </cell>
          <cell r="AR156">
            <v>309436741</v>
          </cell>
          <cell r="AS156">
            <v>315326801</v>
          </cell>
          <cell r="AT156">
            <v>321297208</v>
          </cell>
          <cell r="AU156">
            <v>327362252</v>
          </cell>
          <cell r="AV156">
            <v>333608779</v>
          </cell>
          <cell r="AW156">
            <v>340143481</v>
          </cell>
          <cell r="AX156">
            <v>347029874</v>
          </cell>
          <cell r="AY156">
            <v>354302463</v>
          </cell>
          <cell r="AZ156">
            <v>361929136</v>
          </cell>
          <cell r="BA156">
            <v>369823252</v>
          </cell>
          <cell r="BB156">
            <v>377883993</v>
          </cell>
          <cell r="BC156">
            <v>385917886</v>
          </cell>
          <cell r="BD156">
            <v>393944527</v>
          </cell>
          <cell r="BE156">
            <v>401974219</v>
          </cell>
          <cell r="BF156">
            <v>409977874</v>
          </cell>
          <cell r="BG156">
            <v>417932242</v>
          </cell>
          <cell r="BH156">
            <v>425821770</v>
          </cell>
          <cell r="BI156">
            <v>433597626</v>
          </cell>
          <cell r="BJ156">
            <v>441255234</v>
          </cell>
          <cell r="BK156">
            <v>448912859</v>
          </cell>
        </row>
        <row r="157">
          <cell r="B157" t="str">
            <v>MEX</v>
          </cell>
          <cell r="C157" t="str">
            <v>Population, total</v>
          </cell>
          <cell r="D157" t="str">
            <v>SP.POP.TOTL</v>
          </cell>
          <cell r="E157">
            <v>37771859</v>
          </cell>
          <cell r="F157">
            <v>38966056</v>
          </cell>
          <cell r="G157">
            <v>40195319</v>
          </cell>
          <cell r="H157">
            <v>41462369</v>
          </cell>
          <cell r="I157">
            <v>42771079</v>
          </cell>
          <cell r="J157">
            <v>44123853</v>
          </cell>
          <cell r="K157">
            <v>45519737</v>
          </cell>
          <cell r="L157">
            <v>46956208</v>
          </cell>
          <cell r="M157">
            <v>48431972</v>
          </cell>
          <cell r="N157">
            <v>49945279</v>
          </cell>
          <cell r="O157">
            <v>51493565</v>
          </cell>
          <cell r="P157">
            <v>53076373</v>
          </cell>
          <cell r="Q157">
            <v>54689943</v>
          </cell>
          <cell r="R157">
            <v>56324303</v>
          </cell>
          <cell r="S157">
            <v>57966804</v>
          </cell>
          <cell r="T157">
            <v>59607953</v>
          </cell>
          <cell r="U157">
            <v>61242190</v>
          </cell>
          <cell r="V157">
            <v>62869903</v>
          </cell>
          <cell r="W157">
            <v>64494869</v>
          </cell>
          <cell r="X157">
            <v>66123897</v>
          </cell>
          <cell r="Y157">
            <v>67761372</v>
          </cell>
          <cell r="Z157">
            <v>69407624</v>
          </cell>
          <cell r="AA157">
            <v>71058654</v>
          </cell>
          <cell r="AB157">
            <v>72709299</v>
          </cell>
          <cell r="AC157">
            <v>74352631</v>
          </cell>
          <cell r="AD157">
            <v>75983485</v>
          </cell>
          <cell r="AE157">
            <v>77599098</v>
          </cell>
          <cell r="AF157">
            <v>79200081</v>
          </cell>
          <cell r="AG157">
            <v>80788721</v>
          </cell>
          <cell r="AH157">
            <v>82368931</v>
          </cell>
          <cell r="AI157">
            <v>83943132</v>
          </cell>
          <cell r="AJ157">
            <v>85512623</v>
          </cell>
          <cell r="AK157">
            <v>87075138</v>
          </cell>
          <cell r="AL157">
            <v>88625440</v>
          </cell>
          <cell r="AM157">
            <v>90156400</v>
          </cell>
          <cell r="AN157">
            <v>91663285</v>
          </cell>
          <cell r="AO157">
            <v>93147044</v>
          </cell>
          <cell r="AP157">
            <v>94611002</v>
          </cell>
          <cell r="AQ157">
            <v>96056321</v>
          </cell>
          <cell r="AR157">
            <v>97484832</v>
          </cell>
          <cell r="AS157">
            <v>98899845</v>
          </cell>
          <cell r="AT157">
            <v>100298153</v>
          </cell>
          <cell r="AU157">
            <v>101684758</v>
          </cell>
          <cell r="AV157">
            <v>103081020</v>
          </cell>
          <cell r="AW157">
            <v>104514932</v>
          </cell>
          <cell r="AX157">
            <v>106005203</v>
          </cell>
          <cell r="AY157">
            <v>107560153</v>
          </cell>
          <cell r="AZ157">
            <v>109170502</v>
          </cell>
          <cell r="BA157">
            <v>110815271</v>
          </cell>
          <cell r="BB157">
            <v>112463887</v>
          </cell>
          <cell r="BC157">
            <v>114092963</v>
          </cell>
          <cell r="BD157">
            <v>115695473</v>
          </cell>
          <cell r="BE157">
            <v>117274155</v>
          </cell>
          <cell r="BF157">
            <v>118827161</v>
          </cell>
          <cell r="BG157">
            <v>120355128</v>
          </cell>
          <cell r="BH157">
            <v>121858258</v>
          </cell>
          <cell r="BI157">
            <v>123333376</v>
          </cell>
          <cell r="BJ157">
            <v>124777324</v>
          </cell>
          <cell r="BK157">
            <v>126190788</v>
          </cell>
        </row>
        <row r="158">
          <cell r="B158" t="str">
            <v>MHL</v>
          </cell>
          <cell r="C158" t="str">
            <v>Population, total</v>
          </cell>
          <cell r="D158" t="str">
            <v>SP.POP.TOTL</v>
          </cell>
          <cell r="E158">
            <v>14662</v>
          </cell>
          <cell r="F158">
            <v>15051</v>
          </cell>
          <cell r="G158">
            <v>15547</v>
          </cell>
          <cell r="H158">
            <v>16114</v>
          </cell>
          <cell r="I158">
            <v>16710</v>
          </cell>
          <cell r="J158">
            <v>17284</v>
          </cell>
          <cell r="K158">
            <v>17842</v>
          </cell>
          <cell r="L158">
            <v>18388</v>
          </cell>
          <cell r="M158">
            <v>18961</v>
          </cell>
          <cell r="N158">
            <v>19622</v>
          </cell>
          <cell r="O158">
            <v>20395</v>
          </cell>
          <cell r="P158">
            <v>21313</v>
          </cell>
          <cell r="Q158">
            <v>22341</v>
          </cell>
          <cell r="R158">
            <v>23439</v>
          </cell>
          <cell r="S158">
            <v>24531</v>
          </cell>
          <cell r="T158">
            <v>25576</v>
          </cell>
          <cell r="U158">
            <v>26552</v>
          </cell>
          <cell r="V158">
            <v>27470</v>
          </cell>
          <cell r="W158">
            <v>28406</v>
          </cell>
          <cell r="X158">
            <v>29416</v>
          </cell>
          <cell r="Y158">
            <v>30576</v>
          </cell>
          <cell r="Z158">
            <v>31893</v>
          </cell>
          <cell r="AA158">
            <v>33328</v>
          </cell>
          <cell r="AB158">
            <v>34889</v>
          </cell>
          <cell r="AC158">
            <v>36557</v>
          </cell>
          <cell r="AD158">
            <v>38333</v>
          </cell>
          <cell r="AE158">
            <v>40211</v>
          </cell>
          <cell r="AF158">
            <v>42173</v>
          </cell>
          <cell r="AG158">
            <v>44083</v>
          </cell>
          <cell r="AH158">
            <v>45820</v>
          </cell>
          <cell r="AI158">
            <v>47271</v>
          </cell>
          <cell r="AJ158">
            <v>48404</v>
          </cell>
          <cell r="AK158">
            <v>49245</v>
          </cell>
          <cell r="AL158">
            <v>49831</v>
          </cell>
          <cell r="AM158">
            <v>50215</v>
          </cell>
          <cell r="AN158">
            <v>50457</v>
          </cell>
          <cell r="AO158">
            <v>50533</v>
          </cell>
          <cell r="AP158">
            <v>50450</v>
          </cell>
          <cell r="AQ158">
            <v>50356</v>
          </cell>
          <cell r="AR158">
            <v>50423</v>
          </cell>
          <cell r="AS158">
            <v>50753</v>
          </cell>
          <cell r="AT158">
            <v>51422</v>
          </cell>
          <cell r="AU158">
            <v>52370</v>
          </cell>
          <cell r="AV158">
            <v>53456</v>
          </cell>
          <cell r="AW158">
            <v>54476</v>
          </cell>
          <cell r="AX158">
            <v>55258</v>
          </cell>
          <cell r="AY158">
            <v>55767</v>
          </cell>
          <cell r="AZ158">
            <v>56051</v>
          </cell>
          <cell r="BA158">
            <v>56174</v>
          </cell>
          <cell r="BB158">
            <v>56250</v>
          </cell>
          <cell r="BC158">
            <v>56366</v>
          </cell>
          <cell r="BD158">
            <v>56531</v>
          </cell>
          <cell r="BE158">
            <v>56717</v>
          </cell>
          <cell r="BF158">
            <v>56938</v>
          </cell>
          <cell r="BG158">
            <v>57179</v>
          </cell>
          <cell r="BH158">
            <v>57439</v>
          </cell>
          <cell r="BI158">
            <v>57735</v>
          </cell>
          <cell r="BJ158">
            <v>58058</v>
          </cell>
          <cell r="BK158">
            <v>58413</v>
          </cell>
        </row>
        <row r="159">
          <cell r="B159" t="str">
            <v>MIC</v>
          </cell>
          <cell r="C159" t="str">
            <v>Population, total</v>
          </cell>
          <cell r="D159" t="str">
            <v>SP.POP.TOTL</v>
          </cell>
          <cell r="E159">
            <v>2113046161</v>
          </cell>
          <cell r="F159">
            <v>2139270918</v>
          </cell>
          <cell r="G159">
            <v>2178677151</v>
          </cell>
          <cell r="H159">
            <v>2230155724</v>
          </cell>
          <cell r="I159">
            <v>2281940568</v>
          </cell>
          <cell r="J159">
            <v>2335282522</v>
          </cell>
          <cell r="K159">
            <v>2392150640</v>
          </cell>
          <cell r="L159">
            <v>2448834103</v>
          </cell>
          <cell r="M159">
            <v>2507048456</v>
          </cell>
          <cell r="N159">
            <v>2567556274</v>
          </cell>
          <cell r="O159">
            <v>2629663607</v>
          </cell>
          <cell r="P159">
            <v>2693087600</v>
          </cell>
          <cell r="Q159">
            <v>2755483444</v>
          </cell>
          <cell r="R159">
            <v>2817721676</v>
          </cell>
          <cell r="S159">
            <v>2879406369</v>
          </cell>
          <cell r="T159">
            <v>2939722049</v>
          </cell>
          <cell r="U159">
            <v>2999377867</v>
          </cell>
          <cell r="V159">
            <v>3058411125</v>
          </cell>
          <cell r="W159">
            <v>3118448554</v>
          </cell>
          <cell r="X159">
            <v>3179901379</v>
          </cell>
          <cell r="Y159">
            <v>3242255849</v>
          </cell>
          <cell r="Z159">
            <v>3306545022</v>
          </cell>
          <cell r="AA159">
            <v>3374067691</v>
          </cell>
          <cell r="AB159">
            <v>3442580262</v>
          </cell>
          <cell r="AC159">
            <v>3510913736</v>
          </cell>
          <cell r="AD159">
            <v>3580424967</v>
          </cell>
          <cell r="AE159">
            <v>3651813713</v>
          </cell>
          <cell r="AF159">
            <v>3725019071</v>
          </cell>
          <cell r="AG159">
            <v>3798643183</v>
          </cell>
          <cell r="AH159">
            <v>3871349043</v>
          </cell>
          <cell r="AI159">
            <v>3944840237</v>
          </cell>
          <cell r="AJ159">
            <v>4014647737</v>
          </cell>
          <cell r="AK159">
            <v>4082474773</v>
          </cell>
          <cell r="AL159">
            <v>4149075132</v>
          </cell>
          <cell r="AM159">
            <v>4214963232</v>
          </cell>
          <cell r="AN159">
            <v>4280338246</v>
          </cell>
          <cell r="AO159">
            <v>4345432484</v>
          </cell>
          <cell r="AP159">
            <v>4410389228</v>
          </cell>
          <cell r="AQ159">
            <v>4474447539</v>
          </cell>
          <cell r="AR159">
            <v>4536985402</v>
          </cell>
          <cell r="AS159">
            <v>4598469354</v>
          </cell>
          <cell r="AT159">
            <v>4658609413</v>
          </cell>
          <cell r="AU159">
            <v>4717766167</v>
          </cell>
          <cell r="AV159">
            <v>4776667150</v>
          </cell>
          <cell r="AW159">
            <v>4835321975</v>
          </cell>
          <cell r="AX159">
            <v>4893951980</v>
          </cell>
          <cell r="AY159">
            <v>4952303244</v>
          </cell>
          <cell r="AZ159">
            <v>5010312065</v>
          </cell>
          <cell r="BA159">
            <v>5068731828</v>
          </cell>
          <cell r="BB159">
            <v>5128024829</v>
          </cell>
          <cell r="BC159">
            <v>5187847044</v>
          </cell>
          <cell r="BD159">
            <v>5248583579</v>
          </cell>
          <cell r="BE159">
            <v>5309856949</v>
          </cell>
          <cell r="BF159">
            <v>5371870625</v>
          </cell>
          <cell r="BG159">
            <v>5433979884</v>
          </cell>
          <cell r="BH159">
            <v>5495816130</v>
          </cell>
          <cell r="BI159">
            <v>5557635482</v>
          </cell>
          <cell r="BJ159">
            <v>5619111361</v>
          </cell>
          <cell r="BK159">
            <v>5678540888</v>
          </cell>
        </row>
        <row r="160">
          <cell r="B160" t="str">
            <v>MKD</v>
          </cell>
          <cell r="C160" t="str">
            <v>Population, total</v>
          </cell>
          <cell r="D160" t="str">
            <v>SP.POP.TOTL</v>
          </cell>
          <cell r="E160">
            <v>1488667</v>
          </cell>
          <cell r="F160">
            <v>1507654</v>
          </cell>
          <cell r="G160">
            <v>1527111</v>
          </cell>
          <cell r="H160">
            <v>1547450</v>
          </cell>
          <cell r="I160">
            <v>1569142</v>
          </cell>
          <cell r="J160">
            <v>1592433</v>
          </cell>
          <cell r="K160">
            <v>1617795</v>
          </cell>
          <cell r="L160">
            <v>1644943</v>
          </cell>
          <cell r="M160">
            <v>1672399</v>
          </cell>
          <cell r="N160">
            <v>1698144</v>
          </cell>
          <cell r="O160">
            <v>1720800</v>
          </cell>
          <cell r="P160">
            <v>1739521</v>
          </cell>
          <cell r="Q160">
            <v>1754956</v>
          </cell>
          <cell r="R160">
            <v>1768991</v>
          </cell>
          <cell r="S160">
            <v>1784398</v>
          </cell>
          <cell r="T160">
            <v>1803010</v>
          </cell>
          <cell r="U160">
            <v>1825552</v>
          </cell>
          <cell r="V160">
            <v>1851069</v>
          </cell>
          <cell r="W160">
            <v>1877688</v>
          </cell>
          <cell r="X160">
            <v>1902719</v>
          </cell>
          <cell r="Y160">
            <v>1924197</v>
          </cell>
          <cell r="Z160">
            <v>1941530</v>
          </cell>
          <cell r="AA160">
            <v>1955243</v>
          </cell>
          <cell r="AB160">
            <v>1965895</v>
          </cell>
          <cell r="AC160">
            <v>1974415</v>
          </cell>
          <cell r="AD160">
            <v>1981534</v>
          </cell>
          <cell r="AE160">
            <v>1987538</v>
          </cell>
          <cell r="AF160">
            <v>1992274</v>
          </cell>
          <cell r="AG160">
            <v>1995513</v>
          </cell>
          <cell r="AH160">
            <v>1996870</v>
          </cell>
          <cell r="AI160">
            <v>1996228</v>
          </cell>
          <cell r="AJ160">
            <v>1993302</v>
          </cell>
          <cell r="AK160">
            <v>1988659</v>
          </cell>
          <cell r="AL160">
            <v>1984028</v>
          </cell>
          <cell r="AM160">
            <v>1981703</v>
          </cell>
          <cell r="AN160">
            <v>1983252</v>
          </cell>
          <cell r="AO160">
            <v>1989443</v>
          </cell>
          <cell r="AP160">
            <v>1999598</v>
          </cell>
          <cell r="AQ160">
            <v>2012057</v>
          </cell>
          <cell r="AR160">
            <v>2024394</v>
          </cell>
          <cell r="AS160">
            <v>2034819</v>
          </cell>
          <cell r="AT160">
            <v>2042842</v>
          </cell>
          <cell r="AU160">
            <v>2048928</v>
          </cell>
          <cell r="AV160">
            <v>2053426</v>
          </cell>
          <cell r="AW160">
            <v>2057048</v>
          </cell>
          <cell r="AX160">
            <v>2060273</v>
          </cell>
          <cell r="AY160">
            <v>2063131</v>
          </cell>
          <cell r="AZ160">
            <v>2065426</v>
          </cell>
          <cell r="BA160">
            <v>2067313</v>
          </cell>
          <cell r="BB160">
            <v>2069039</v>
          </cell>
          <cell r="BC160">
            <v>2070741</v>
          </cell>
          <cell r="BD160">
            <v>2072487</v>
          </cell>
          <cell r="BE160">
            <v>2074278</v>
          </cell>
          <cell r="BF160">
            <v>2076067</v>
          </cell>
          <cell r="BG160">
            <v>2077775</v>
          </cell>
          <cell r="BH160">
            <v>2079328</v>
          </cell>
          <cell r="BI160">
            <v>2080745</v>
          </cell>
          <cell r="BJ160">
            <v>2081996</v>
          </cell>
          <cell r="BK160">
            <v>2082958</v>
          </cell>
        </row>
        <row r="161">
          <cell r="B161" t="str">
            <v>MLI</v>
          </cell>
          <cell r="C161" t="str">
            <v>Population, total</v>
          </cell>
          <cell r="D161" t="str">
            <v>SP.POP.TOTL</v>
          </cell>
          <cell r="E161">
            <v>5263733</v>
          </cell>
          <cell r="F161">
            <v>5322266</v>
          </cell>
          <cell r="G161">
            <v>5381368</v>
          </cell>
          <cell r="H161">
            <v>5441613</v>
          </cell>
          <cell r="I161">
            <v>5503752</v>
          </cell>
          <cell r="J161">
            <v>5568484</v>
          </cell>
          <cell r="K161">
            <v>5635859</v>
          </cell>
          <cell r="L161">
            <v>5706199</v>
          </cell>
          <cell r="M161">
            <v>5780835</v>
          </cell>
          <cell r="N161">
            <v>5861412</v>
          </cell>
          <cell r="O161">
            <v>5949045</v>
          </cell>
          <cell r="P161">
            <v>6044530</v>
          </cell>
          <cell r="Q161">
            <v>6147458</v>
          </cell>
          <cell r="R161">
            <v>6256187</v>
          </cell>
          <cell r="S161">
            <v>6368348</v>
          </cell>
          <cell r="T161">
            <v>6482278</v>
          </cell>
          <cell r="U161">
            <v>6596728</v>
          </cell>
          <cell r="V161">
            <v>6712267</v>
          </cell>
          <cell r="W161">
            <v>6831085</v>
          </cell>
          <cell r="X161">
            <v>6956402</v>
          </cell>
          <cell r="Y161">
            <v>7090126</v>
          </cell>
          <cell r="Z161">
            <v>7234728</v>
          </cell>
          <cell r="AA161">
            <v>7388668</v>
          </cell>
          <cell r="AB161">
            <v>7545166</v>
          </cell>
          <cell r="AC161">
            <v>7694855</v>
          </cell>
          <cell r="AD161">
            <v>7831889</v>
          </cell>
          <cell r="AE161">
            <v>7952865</v>
          </cell>
          <cell r="AF161">
            <v>8062219</v>
          </cell>
          <cell r="AG161">
            <v>8171522</v>
          </cell>
          <cell r="AH161">
            <v>8296915</v>
          </cell>
          <cell r="AI161">
            <v>8449913</v>
          </cell>
          <cell r="AJ161">
            <v>8635527</v>
          </cell>
          <cell r="AK161">
            <v>8850334</v>
          </cell>
          <cell r="AL161">
            <v>9087176</v>
          </cell>
          <cell r="AM161">
            <v>9334880</v>
          </cell>
          <cell r="AN161">
            <v>9585653</v>
          </cell>
          <cell r="AO161">
            <v>9837571</v>
          </cell>
          <cell r="AP161">
            <v>10094368</v>
          </cell>
          <cell r="AQ161">
            <v>10360561</v>
          </cell>
          <cell r="AR161">
            <v>10642936</v>
          </cell>
          <cell r="AS161">
            <v>10946445</v>
          </cell>
          <cell r="AT161">
            <v>11271600</v>
          </cell>
          <cell r="AU161">
            <v>11616887</v>
          </cell>
          <cell r="AV161">
            <v>11982695</v>
          </cell>
          <cell r="AW161">
            <v>12369070</v>
          </cell>
          <cell r="AX161">
            <v>12775516</v>
          </cell>
          <cell r="AY161">
            <v>13203378</v>
          </cell>
          <cell r="AZ161">
            <v>13651464</v>
          </cell>
          <cell r="BA161">
            <v>14113577</v>
          </cell>
          <cell r="BB161">
            <v>14581429</v>
          </cell>
          <cell r="BC161">
            <v>15049353</v>
          </cell>
          <cell r="BD161">
            <v>15514591</v>
          </cell>
          <cell r="BE161">
            <v>15979499</v>
          </cell>
          <cell r="BF161">
            <v>16449864</v>
          </cell>
          <cell r="BG161">
            <v>16934220</v>
          </cell>
          <cell r="BH161">
            <v>17438778</v>
          </cell>
          <cell r="BI161">
            <v>17965429</v>
          </cell>
          <cell r="BJ161">
            <v>18512394</v>
          </cell>
          <cell r="BK161">
            <v>19077690</v>
          </cell>
        </row>
        <row r="162">
          <cell r="B162" t="str">
            <v>MLT</v>
          </cell>
          <cell r="C162" t="str">
            <v>Population, total</v>
          </cell>
          <cell r="D162" t="str">
            <v>SP.POP.TOTL</v>
          </cell>
          <cell r="E162">
            <v>326550</v>
          </cell>
          <cell r="F162">
            <v>325250</v>
          </cell>
          <cell r="G162">
            <v>323900</v>
          </cell>
          <cell r="H162">
            <v>322550</v>
          </cell>
          <cell r="I162">
            <v>321250</v>
          </cell>
          <cell r="J162">
            <v>318800</v>
          </cell>
          <cell r="K162">
            <v>315200</v>
          </cell>
          <cell r="L162">
            <v>311550</v>
          </cell>
          <cell r="M162">
            <v>307900</v>
          </cell>
          <cell r="N162">
            <v>304300</v>
          </cell>
          <cell r="O162">
            <v>302650</v>
          </cell>
          <cell r="P162">
            <v>302700</v>
          </cell>
          <cell r="Q162">
            <v>302450</v>
          </cell>
          <cell r="R162">
            <v>302200</v>
          </cell>
          <cell r="S162">
            <v>301996</v>
          </cell>
          <cell r="T162">
            <v>304222</v>
          </cell>
          <cell r="U162">
            <v>305774</v>
          </cell>
          <cell r="V162">
            <v>306970</v>
          </cell>
          <cell r="W162">
            <v>310182</v>
          </cell>
          <cell r="X162">
            <v>313342</v>
          </cell>
          <cell r="Y162">
            <v>316645</v>
          </cell>
          <cell r="Z162">
            <v>318982</v>
          </cell>
          <cell r="AA162">
            <v>325898</v>
          </cell>
          <cell r="AB162">
            <v>330524</v>
          </cell>
          <cell r="AC162">
            <v>330593</v>
          </cell>
          <cell r="AD162">
            <v>336452</v>
          </cell>
          <cell r="AE162">
            <v>342121</v>
          </cell>
          <cell r="AF162">
            <v>344485</v>
          </cell>
          <cell r="AG162">
            <v>347325</v>
          </cell>
          <cell r="AH162">
            <v>350722</v>
          </cell>
          <cell r="AI162">
            <v>354170</v>
          </cell>
          <cell r="AJ162">
            <v>363845</v>
          </cell>
          <cell r="AK162">
            <v>367618</v>
          </cell>
          <cell r="AL162">
            <v>371308</v>
          </cell>
          <cell r="AM162">
            <v>374797</v>
          </cell>
          <cell r="AN162">
            <v>377419</v>
          </cell>
          <cell r="AO162">
            <v>379905</v>
          </cell>
          <cell r="AP162">
            <v>382791</v>
          </cell>
          <cell r="AQ162">
            <v>385287</v>
          </cell>
          <cell r="AR162">
            <v>387578</v>
          </cell>
          <cell r="AS162">
            <v>390087</v>
          </cell>
          <cell r="AT162">
            <v>393028</v>
          </cell>
          <cell r="AU162">
            <v>395969</v>
          </cell>
          <cell r="AV162">
            <v>398582</v>
          </cell>
          <cell r="AW162">
            <v>401268</v>
          </cell>
          <cell r="AX162">
            <v>403834</v>
          </cell>
          <cell r="AY162">
            <v>405308</v>
          </cell>
          <cell r="AZ162">
            <v>406724</v>
          </cell>
          <cell r="BA162">
            <v>409379</v>
          </cell>
          <cell r="BB162">
            <v>412477</v>
          </cell>
          <cell r="BC162">
            <v>414508</v>
          </cell>
          <cell r="BD162">
            <v>416268</v>
          </cell>
          <cell r="BE162">
            <v>420028</v>
          </cell>
          <cell r="BF162">
            <v>425967</v>
          </cell>
          <cell r="BG162">
            <v>434558</v>
          </cell>
          <cell r="BH162">
            <v>445053</v>
          </cell>
          <cell r="BI162">
            <v>455356</v>
          </cell>
          <cell r="BJ162">
            <v>467999</v>
          </cell>
          <cell r="BK162">
            <v>484630</v>
          </cell>
        </row>
        <row r="163">
          <cell r="B163" t="str">
            <v>MMR</v>
          </cell>
          <cell r="C163" t="str">
            <v>Population, total</v>
          </cell>
          <cell r="D163" t="str">
            <v>SP.POP.TOTL</v>
          </cell>
          <cell r="E163">
            <v>21736942</v>
          </cell>
          <cell r="F163">
            <v>22211624</v>
          </cell>
          <cell r="G163">
            <v>22697667</v>
          </cell>
          <cell r="H163">
            <v>23198241</v>
          </cell>
          <cell r="I163">
            <v>23717788</v>
          </cell>
          <cell r="J163">
            <v>24259359</v>
          </cell>
          <cell r="K163">
            <v>24823940</v>
          </cell>
          <cell r="L163">
            <v>25410060</v>
          </cell>
          <cell r="M163">
            <v>26015248</v>
          </cell>
          <cell r="N163">
            <v>26635849</v>
          </cell>
          <cell r="O163">
            <v>27269069</v>
          </cell>
          <cell r="P163">
            <v>27913750</v>
          </cell>
          <cell r="Q163">
            <v>28570097</v>
          </cell>
          <cell r="R163">
            <v>29238168</v>
          </cell>
          <cell r="S163">
            <v>29918461</v>
          </cell>
          <cell r="T163">
            <v>30611095</v>
          </cell>
          <cell r="U163">
            <v>31314341</v>
          </cell>
          <cell r="V163">
            <v>32026742</v>
          </cell>
          <cell r="W163">
            <v>32748784</v>
          </cell>
          <cell r="X163">
            <v>33481396</v>
          </cell>
          <cell r="Y163">
            <v>34224313</v>
          </cell>
          <cell r="Z163">
            <v>34976462</v>
          </cell>
          <cell r="AA163">
            <v>35734272</v>
          </cell>
          <cell r="AB163">
            <v>36491800</v>
          </cell>
          <cell r="AC163">
            <v>37241527</v>
          </cell>
          <cell r="AD163">
            <v>37977086</v>
          </cell>
          <cell r="AE163">
            <v>38698482</v>
          </cell>
          <cell r="AF163">
            <v>39404335</v>
          </cell>
          <cell r="AG163">
            <v>40085651</v>
          </cell>
          <cell r="AH163">
            <v>40731426</v>
          </cell>
          <cell r="AI163">
            <v>41335199</v>
          </cell>
          <cell r="AJ163">
            <v>41890197</v>
          </cell>
          <cell r="AK163">
            <v>42401684</v>
          </cell>
          <cell r="AL163">
            <v>42890002</v>
          </cell>
          <cell r="AM163">
            <v>43383428</v>
          </cell>
          <cell r="AN163">
            <v>43901598</v>
          </cell>
          <cell r="AO163">
            <v>44452206</v>
          </cell>
          <cell r="AP163">
            <v>45027233</v>
          </cell>
          <cell r="AQ163">
            <v>45611220</v>
          </cell>
          <cell r="AR163">
            <v>46181077</v>
          </cell>
          <cell r="AS163">
            <v>46719701</v>
          </cell>
          <cell r="AT163">
            <v>47225120</v>
          </cell>
          <cell r="AU163">
            <v>47702171</v>
          </cell>
          <cell r="AV163">
            <v>48148902</v>
          </cell>
          <cell r="AW163">
            <v>48564484</v>
          </cell>
          <cell r="AX163">
            <v>48949924</v>
          </cell>
          <cell r="AY163">
            <v>49301050</v>
          </cell>
          <cell r="AZ163">
            <v>49621475</v>
          </cell>
          <cell r="BA163">
            <v>49929642</v>
          </cell>
          <cell r="BB163">
            <v>50250367</v>
          </cell>
          <cell r="BC163">
            <v>50600818</v>
          </cell>
          <cell r="BD163">
            <v>50990615</v>
          </cell>
          <cell r="BE163">
            <v>51413698</v>
          </cell>
          <cell r="BF163">
            <v>51852451</v>
          </cell>
          <cell r="BG163">
            <v>52280807</v>
          </cell>
          <cell r="BH163">
            <v>52680726</v>
          </cell>
          <cell r="BI163">
            <v>53045226</v>
          </cell>
          <cell r="BJ163">
            <v>53382581</v>
          </cell>
          <cell r="BK163">
            <v>53708395</v>
          </cell>
        </row>
        <row r="164">
          <cell r="B164" t="str">
            <v>MNA</v>
          </cell>
          <cell r="C164" t="str">
            <v>Population, total</v>
          </cell>
          <cell r="D164" t="str">
            <v>SP.POP.TOTL</v>
          </cell>
          <cell r="E164">
            <v>97553162</v>
          </cell>
          <cell r="F164">
            <v>100147129</v>
          </cell>
          <cell r="G164">
            <v>102808053</v>
          </cell>
          <cell r="H164">
            <v>105546273</v>
          </cell>
          <cell r="I164">
            <v>108376339</v>
          </cell>
          <cell r="J164">
            <v>111307812</v>
          </cell>
          <cell r="K164">
            <v>114351833</v>
          </cell>
          <cell r="L164">
            <v>117503859</v>
          </cell>
          <cell r="M164">
            <v>120739199</v>
          </cell>
          <cell r="N164">
            <v>124023257</v>
          </cell>
          <cell r="O164">
            <v>127335091</v>
          </cell>
          <cell r="P164">
            <v>130670746</v>
          </cell>
          <cell r="Q164">
            <v>134051043</v>
          </cell>
          <cell r="R164">
            <v>137511210</v>
          </cell>
          <cell r="S164">
            <v>141099581</v>
          </cell>
          <cell r="T164">
            <v>144855682</v>
          </cell>
          <cell r="U164">
            <v>148781931</v>
          </cell>
          <cell r="V164">
            <v>152881209</v>
          </cell>
          <cell r="W164">
            <v>157192233</v>
          </cell>
          <cell r="X164">
            <v>161761420</v>
          </cell>
          <cell r="Y164">
            <v>166616401</v>
          </cell>
          <cell r="Z164">
            <v>171766031</v>
          </cell>
          <cell r="AA164">
            <v>177185670</v>
          </cell>
          <cell r="AB164">
            <v>182825264</v>
          </cell>
          <cell r="AC164">
            <v>188614696</v>
          </cell>
          <cell r="AD164">
            <v>194494169</v>
          </cell>
          <cell r="AE164">
            <v>200443463</v>
          </cell>
          <cell r="AF164">
            <v>206447530</v>
          </cell>
          <cell r="AG164">
            <v>212456887</v>
          </cell>
          <cell r="AH164">
            <v>218415849</v>
          </cell>
          <cell r="AI164">
            <v>226259037</v>
          </cell>
          <cell r="AJ164">
            <v>232101440</v>
          </cell>
          <cell r="AK164">
            <v>237828663</v>
          </cell>
          <cell r="AL164">
            <v>243429290</v>
          </cell>
          <cell r="AM164">
            <v>248897270</v>
          </cell>
          <cell r="AN164">
            <v>254233351</v>
          </cell>
          <cell r="AO164">
            <v>259431597</v>
          </cell>
          <cell r="AP164">
            <v>264504166</v>
          </cell>
          <cell r="AQ164">
            <v>269440690</v>
          </cell>
          <cell r="AR164">
            <v>274350032</v>
          </cell>
          <cell r="AS164">
            <v>279279634</v>
          </cell>
          <cell r="AT164">
            <v>284249018</v>
          </cell>
          <cell r="AU164">
            <v>289264324</v>
          </cell>
          <cell r="AV164">
            <v>294343628</v>
          </cell>
          <cell r="AW164">
            <v>299502774</v>
          </cell>
          <cell r="AX164">
            <v>304755503</v>
          </cell>
          <cell r="AY164">
            <v>310109412</v>
          </cell>
          <cell r="AZ164">
            <v>315573347</v>
          </cell>
          <cell r="BA164">
            <v>321168767</v>
          </cell>
          <cell r="BB164">
            <v>326900984</v>
          </cell>
          <cell r="BC164">
            <v>332777824</v>
          </cell>
          <cell r="BD164">
            <v>338814807</v>
          </cell>
          <cell r="BE164">
            <v>345004009</v>
          </cell>
          <cell r="BF164">
            <v>351299193</v>
          </cell>
          <cell r="BG164">
            <v>357637340</v>
          </cell>
          <cell r="BH164">
            <v>363975550</v>
          </cell>
          <cell r="BI164">
            <v>370276461</v>
          </cell>
          <cell r="BJ164">
            <v>376546755</v>
          </cell>
          <cell r="BK164">
            <v>382896715</v>
          </cell>
        </row>
        <row r="165">
          <cell r="B165" t="str">
            <v>MNE</v>
          </cell>
          <cell r="C165" t="str">
            <v>Population, total</v>
          </cell>
          <cell r="D165" t="str">
            <v>SP.POP.TOTL</v>
          </cell>
          <cell r="E165">
            <v>480579</v>
          </cell>
          <cell r="F165">
            <v>491140</v>
          </cell>
          <cell r="G165">
            <v>502558</v>
          </cell>
          <cell r="H165">
            <v>513409</v>
          </cell>
          <cell r="I165">
            <v>521753</v>
          </cell>
          <cell r="J165">
            <v>526327</v>
          </cell>
          <cell r="K165">
            <v>526419</v>
          </cell>
          <cell r="L165">
            <v>522796</v>
          </cell>
          <cell r="M165">
            <v>517481</v>
          </cell>
          <cell r="N165">
            <v>513340</v>
          </cell>
          <cell r="O165">
            <v>512407</v>
          </cell>
          <cell r="P165">
            <v>515449</v>
          </cell>
          <cell r="Q165">
            <v>521785</v>
          </cell>
          <cell r="R165">
            <v>530220</v>
          </cell>
          <cell r="S165">
            <v>538902</v>
          </cell>
          <cell r="T165">
            <v>546487</v>
          </cell>
          <cell r="U165">
            <v>552562</v>
          </cell>
          <cell r="V165">
            <v>557576</v>
          </cell>
          <cell r="W165">
            <v>562065</v>
          </cell>
          <cell r="X165">
            <v>566888</v>
          </cell>
          <cell r="Y165">
            <v>572608</v>
          </cell>
          <cell r="Z165">
            <v>579445</v>
          </cell>
          <cell r="AA165">
            <v>587001</v>
          </cell>
          <cell r="AB165">
            <v>594506</v>
          </cell>
          <cell r="AC165">
            <v>600884</v>
          </cell>
          <cell r="AD165">
            <v>605398</v>
          </cell>
          <cell r="AE165">
            <v>607711</v>
          </cell>
          <cell r="AF165">
            <v>608144</v>
          </cell>
          <cell r="AG165">
            <v>607413</v>
          </cell>
          <cell r="AH165">
            <v>606571</v>
          </cell>
          <cell r="AI165">
            <v>606372</v>
          </cell>
          <cell r="AJ165">
            <v>607105</v>
          </cell>
          <cell r="AK165">
            <v>608516</v>
          </cell>
          <cell r="AL165">
            <v>610170</v>
          </cell>
          <cell r="AM165">
            <v>611389</v>
          </cell>
          <cell r="AN165">
            <v>611712</v>
          </cell>
          <cell r="AO165">
            <v>611003</v>
          </cell>
          <cell r="AP165">
            <v>609520</v>
          </cell>
          <cell r="AQ165">
            <v>607662</v>
          </cell>
          <cell r="AR165">
            <v>606001</v>
          </cell>
          <cell r="AS165">
            <v>604950</v>
          </cell>
          <cell r="AT165">
            <v>607389</v>
          </cell>
          <cell r="AU165">
            <v>609828</v>
          </cell>
          <cell r="AV165">
            <v>612267</v>
          </cell>
          <cell r="AW165">
            <v>613353</v>
          </cell>
          <cell r="AX165">
            <v>614261</v>
          </cell>
          <cell r="AY165">
            <v>615025</v>
          </cell>
          <cell r="AZ165">
            <v>615875</v>
          </cell>
          <cell r="BA165">
            <v>616969</v>
          </cell>
          <cell r="BB165">
            <v>618294</v>
          </cell>
          <cell r="BC165">
            <v>619428</v>
          </cell>
          <cell r="BD165">
            <v>620079</v>
          </cell>
          <cell r="BE165">
            <v>620601</v>
          </cell>
          <cell r="BF165">
            <v>621207</v>
          </cell>
          <cell r="BG165">
            <v>621810</v>
          </cell>
          <cell r="BH165">
            <v>622159</v>
          </cell>
          <cell r="BI165">
            <v>622303</v>
          </cell>
          <cell r="BJ165">
            <v>622373</v>
          </cell>
          <cell r="BK165">
            <v>622227</v>
          </cell>
        </row>
        <row r="166">
          <cell r="B166" t="str">
            <v>MNG</v>
          </cell>
          <cell r="C166" t="str">
            <v>Population, total</v>
          </cell>
          <cell r="D166" t="str">
            <v>SP.POP.TOTL</v>
          </cell>
          <cell r="E166">
            <v>955505</v>
          </cell>
          <cell r="F166">
            <v>982178</v>
          </cell>
          <cell r="G166">
            <v>1011324</v>
          </cell>
          <cell r="H166">
            <v>1042383</v>
          </cell>
          <cell r="I166">
            <v>1074514</v>
          </cell>
          <cell r="J166">
            <v>1107124</v>
          </cell>
          <cell r="K166">
            <v>1139961</v>
          </cell>
          <cell r="L166">
            <v>1173191</v>
          </cell>
          <cell r="M166">
            <v>1207104</v>
          </cell>
          <cell r="N166">
            <v>1242214</v>
          </cell>
          <cell r="O166">
            <v>1278825</v>
          </cell>
          <cell r="P166">
            <v>1317050</v>
          </cell>
          <cell r="Q166">
            <v>1356670</v>
          </cell>
          <cell r="R166">
            <v>1397304</v>
          </cell>
          <cell r="S166">
            <v>1438425</v>
          </cell>
          <cell r="T166">
            <v>1479651</v>
          </cell>
          <cell r="U166">
            <v>1520865</v>
          </cell>
          <cell r="V166">
            <v>1562209</v>
          </cell>
          <cell r="W166">
            <v>1603906</v>
          </cell>
          <cell r="X166">
            <v>1646291</v>
          </cell>
          <cell r="Y166">
            <v>1689622</v>
          </cell>
          <cell r="Z166">
            <v>1733475</v>
          </cell>
          <cell r="AA166">
            <v>1777727</v>
          </cell>
          <cell r="AB166">
            <v>1823216</v>
          </cell>
          <cell r="AC166">
            <v>1871090</v>
          </cell>
          <cell r="AD166">
            <v>1921881</v>
          </cell>
          <cell r="AE166">
            <v>1976310</v>
          </cell>
          <cell r="AF166">
            <v>2033344</v>
          </cell>
          <cell r="AG166">
            <v>2089715</v>
          </cell>
          <cell r="AH166">
            <v>2141011</v>
          </cell>
          <cell r="AI166">
            <v>2184145</v>
          </cell>
          <cell r="AJ166">
            <v>2217917</v>
          </cell>
          <cell r="AK166">
            <v>2243495</v>
          </cell>
          <cell r="AL166">
            <v>2263186</v>
          </cell>
          <cell r="AM166">
            <v>2280479</v>
          </cell>
          <cell r="AN166">
            <v>2298020</v>
          </cell>
          <cell r="AO166">
            <v>2316568</v>
          </cell>
          <cell r="AP166">
            <v>2335734</v>
          </cell>
          <cell r="AQ166">
            <v>2355664</v>
          </cell>
          <cell r="AR166">
            <v>2376225</v>
          </cell>
          <cell r="AS166">
            <v>2397418</v>
          </cell>
          <cell r="AT166">
            <v>2419588</v>
          </cell>
          <cell r="AU166">
            <v>2443271</v>
          </cell>
          <cell r="AV166">
            <v>2468762</v>
          </cell>
          <cell r="AW166">
            <v>2496391</v>
          </cell>
          <cell r="AX166">
            <v>2526424</v>
          </cell>
          <cell r="AY166">
            <v>2558856</v>
          </cell>
          <cell r="AZ166">
            <v>2593820</v>
          </cell>
          <cell r="BA166">
            <v>2631898</v>
          </cell>
          <cell r="BB166">
            <v>2673796</v>
          </cell>
          <cell r="BC166">
            <v>2719896</v>
          </cell>
          <cell r="BD166">
            <v>2770362</v>
          </cell>
          <cell r="BE166">
            <v>2824699</v>
          </cell>
          <cell r="BF166">
            <v>2881792</v>
          </cell>
          <cell r="BG166">
            <v>2940108</v>
          </cell>
          <cell r="BH166">
            <v>2998439</v>
          </cell>
          <cell r="BI166">
            <v>3056359</v>
          </cell>
          <cell r="BJ166">
            <v>3113779</v>
          </cell>
          <cell r="BK166">
            <v>3170208</v>
          </cell>
        </row>
        <row r="167">
          <cell r="B167" t="str">
            <v>MNP</v>
          </cell>
          <cell r="C167" t="str">
            <v>Population, total</v>
          </cell>
          <cell r="D167" t="str">
            <v>SP.POP.TOTL</v>
          </cell>
          <cell r="E167">
            <v>9979</v>
          </cell>
          <cell r="F167">
            <v>10245</v>
          </cell>
          <cell r="G167">
            <v>10436</v>
          </cell>
          <cell r="H167">
            <v>10590</v>
          </cell>
          <cell r="I167">
            <v>10783</v>
          </cell>
          <cell r="J167">
            <v>11022</v>
          </cell>
          <cell r="K167">
            <v>11344</v>
          </cell>
          <cell r="L167">
            <v>11721</v>
          </cell>
          <cell r="M167">
            <v>12140</v>
          </cell>
          <cell r="N167">
            <v>12574</v>
          </cell>
          <cell r="O167">
            <v>12994</v>
          </cell>
          <cell r="P167">
            <v>13429</v>
          </cell>
          <cell r="Q167">
            <v>13882</v>
          </cell>
          <cell r="R167">
            <v>14325</v>
          </cell>
          <cell r="S167">
            <v>14677</v>
          </cell>
          <cell r="T167">
            <v>14924</v>
          </cell>
          <cell r="U167">
            <v>15026</v>
          </cell>
          <cell r="V167">
            <v>15048</v>
          </cell>
          <cell r="W167">
            <v>15170</v>
          </cell>
          <cell r="X167">
            <v>15638</v>
          </cell>
          <cell r="Y167">
            <v>16633</v>
          </cell>
          <cell r="Z167">
            <v>18158</v>
          </cell>
          <cell r="AA167">
            <v>20167</v>
          </cell>
          <cell r="AB167">
            <v>22622</v>
          </cell>
          <cell r="AC167">
            <v>25500</v>
          </cell>
          <cell r="AD167">
            <v>28720</v>
          </cell>
          <cell r="AE167">
            <v>32370</v>
          </cell>
          <cell r="AF167">
            <v>36377</v>
          </cell>
          <cell r="AG167">
            <v>40288</v>
          </cell>
          <cell r="AH167">
            <v>43540</v>
          </cell>
          <cell r="AI167">
            <v>45752</v>
          </cell>
          <cell r="AJ167">
            <v>46666</v>
          </cell>
          <cell r="AK167">
            <v>46476</v>
          </cell>
          <cell r="AL167">
            <v>45758</v>
          </cell>
          <cell r="AM167">
            <v>45364</v>
          </cell>
          <cell r="AN167">
            <v>45870</v>
          </cell>
          <cell r="AO167">
            <v>47521</v>
          </cell>
          <cell r="AP167">
            <v>50056</v>
          </cell>
          <cell r="AQ167">
            <v>52997</v>
          </cell>
          <cell r="AR167">
            <v>55636</v>
          </cell>
          <cell r="AS167">
            <v>57453</v>
          </cell>
          <cell r="AT167">
            <v>58321</v>
          </cell>
          <cell r="AU167">
            <v>58420</v>
          </cell>
          <cell r="AV167">
            <v>57947</v>
          </cell>
          <cell r="AW167">
            <v>57246</v>
          </cell>
          <cell r="AX167">
            <v>56542</v>
          </cell>
          <cell r="AY167">
            <v>55882</v>
          </cell>
          <cell r="AZ167">
            <v>55219</v>
          </cell>
          <cell r="BA167">
            <v>54625</v>
          </cell>
          <cell r="BB167">
            <v>54193</v>
          </cell>
          <cell r="BC167">
            <v>53971</v>
          </cell>
          <cell r="BD167">
            <v>54012</v>
          </cell>
          <cell r="BE167">
            <v>54311</v>
          </cell>
          <cell r="BF167">
            <v>54784</v>
          </cell>
          <cell r="BG167">
            <v>55305</v>
          </cell>
          <cell r="BH167">
            <v>55780</v>
          </cell>
          <cell r="BI167">
            <v>56188</v>
          </cell>
          <cell r="BJ167">
            <v>56562</v>
          </cell>
          <cell r="BK167">
            <v>56882</v>
          </cell>
        </row>
        <row r="168">
          <cell r="B168" t="str">
            <v>MOZ</v>
          </cell>
          <cell r="C168" t="str">
            <v>Population, total</v>
          </cell>
          <cell r="D168" t="str">
            <v>SP.POP.TOTL</v>
          </cell>
          <cell r="E168">
            <v>7184869</v>
          </cell>
          <cell r="F168">
            <v>7342111</v>
          </cell>
          <cell r="G168">
            <v>7507303</v>
          </cell>
          <cell r="H168">
            <v>7679458</v>
          </cell>
          <cell r="I168">
            <v>7857104</v>
          </cell>
          <cell r="J168">
            <v>8039215</v>
          </cell>
          <cell r="K168">
            <v>8225921</v>
          </cell>
          <cell r="L168">
            <v>8417702</v>
          </cell>
          <cell r="M168">
            <v>8614447</v>
          </cell>
          <cell r="N168">
            <v>8816057</v>
          </cell>
          <cell r="O168">
            <v>9022741</v>
          </cell>
          <cell r="P168">
            <v>9232655</v>
          </cell>
          <cell r="Q168">
            <v>9446240</v>
          </cell>
          <cell r="R168">
            <v>9668657</v>
          </cell>
          <cell r="S168">
            <v>9906965</v>
          </cell>
          <cell r="T168">
            <v>10165215</v>
          </cell>
          <cell r="U168">
            <v>10443953</v>
          </cell>
          <cell r="V168">
            <v>10738533</v>
          </cell>
          <cell r="W168">
            <v>11041204</v>
          </cell>
          <cell r="X168">
            <v>11341402</v>
          </cell>
          <cell r="Y168">
            <v>11630194</v>
          </cell>
          <cell r="Z168">
            <v>11913088</v>
          </cell>
          <cell r="AA168">
            <v>12189824</v>
          </cell>
          <cell r="AB168">
            <v>12439762</v>
          </cell>
          <cell r="AC168">
            <v>12636116</v>
          </cell>
          <cell r="AD168">
            <v>12764387</v>
          </cell>
          <cell r="AE168">
            <v>12808558</v>
          </cell>
          <cell r="AF168">
            <v>12786349</v>
          </cell>
          <cell r="AG168">
            <v>12758008</v>
          </cell>
          <cell r="AH168">
            <v>12805946</v>
          </cell>
          <cell r="AI168">
            <v>12987292</v>
          </cell>
          <cell r="AJ168">
            <v>13328032</v>
          </cell>
          <cell r="AK168">
            <v>13806001</v>
          </cell>
          <cell r="AL168">
            <v>14370946</v>
          </cell>
          <cell r="AM168">
            <v>14948048</v>
          </cell>
          <cell r="AN168">
            <v>15483286</v>
          </cell>
          <cell r="AO168">
            <v>15960442</v>
          </cell>
          <cell r="AP168">
            <v>16397183</v>
          </cell>
          <cell r="AQ168">
            <v>16813949</v>
          </cell>
          <cell r="AR168">
            <v>17244188</v>
          </cell>
          <cell r="AS168">
            <v>17711927</v>
          </cell>
          <cell r="AT168">
            <v>18221888</v>
          </cell>
          <cell r="AU168">
            <v>18764155</v>
          </cell>
          <cell r="AV168">
            <v>19331100</v>
          </cell>
          <cell r="AW168">
            <v>19910552</v>
          </cell>
          <cell r="AX168">
            <v>20493925</v>
          </cell>
          <cell r="AY168">
            <v>21080110</v>
          </cell>
          <cell r="AZ168">
            <v>21673316</v>
          </cell>
          <cell r="BA168">
            <v>22276596</v>
          </cell>
          <cell r="BB168">
            <v>22894710</v>
          </cell>
          <cell r="BC168">
            <v>23531574</v>
          </cell>
          <cell r="BD168">
            <v>24187487</v>
          </cell>
          <cell r="BE168">
            <v>24862648</v>
          </cell>
          <cell r="BF168">
            <v>25560725</v>
          </cell>
          <cell r="BG168">
            <v>26286163</v>
          </cell>
          <cell r="BH168">
            <v>27042002</v>
          </cell>
          <cell r="BI168">
            <v>27829942</v>
          </cell>
          <cell r="BJ168">
            <v>28649007</v>
          </cell>
          <cell r="BK168">
            <v>29495962</v>
          </cell>
        </row>
        <row r="169">
          <cell r="B169" t="str">
            <v>MRT</v>
          </cell>
          <cell r="C169" t="str">
            <v>Population, total</v>
          </cell>
          <cell r="D169" t="str">
            <v>SP.POP.TOTL</v>
          </cell>
          <cell r="E169">
            <v>850384</v>
          </cell>
          <cell r="F169">
            <v>875581</v>
          </cell>
          <cell r="G169">
            <v>901686</v>
          </cell>
          <cell r="H169">
            <v>928734</v>
          </cell>
          <cell r="I169">
            <v>956799</v>
          </cell>
          <cell r="J169">
            <v>985910</v>
          </cell>
          <cell r="K169">
            <v>1016100</v>
          </cell>
          <cell r="L169">
            <v>1047344</v>
          </cell>
          <cell r="M169">
            <v>1079580</v>
          </cell>
          <cell r="N169">
            <v>1112745</v>
          </cell>
          <cell r="O169">
            <v>1146780</v>
          </cell>
          <cell r="P169">
            <v>1181674</v>
          </cell>
          <cell r="Q169">
            <v>1217446</v>
          </cell>
          <cell r="R169">
            <v>1254157</v>
          </cell>
          <cell r="S169">
            <v>1291855</v>
          </cell>
          <cell r="T169">
            <v>1330598</v>
          </cell>
          <cell r="U169">
            <v>1370357</v>
          </cell>
          <cell r="V169">
            <v>1411140</v>
          </cell>
          <cell r="W169">
            <v>1453032</v>
          </cell>
          <cell r="X169">
            <v>1496185</v>
          </cell>
          <cell r="Y169">
            <v>1540640</v>
          </cell>
          <cell r="Z169">
            <v>1586493</v>
          </cell>
          <cell r="AA169">
            <v>1633652</v>
          </cell>
          <cell r="AB169">
            <v>1681863</v>
          </cell>
          <cell r="AC169">
            <v>1730738</v>
          </cell>
          <cell r="AD169">
            <v>1780030</v>
          </cell>
          <cell r="AE169">
            <v>1829675</v>
          </cell>
          <cell r="AF169">
            <v>1879763</v>
          </cell>
          <cell r="AG169">
            <v>1930433</v>
          </cell>
          <cell r="AH169">
            <v>1981899</v>
          </cell>
          <cell r="AI169">
            <v>2034346</v>
          </cell>
          <cell r="AJ169">
            <v>2087912</v>
          </cell>
          <cell r="AK169">
            <v>2142645</v>
          </cell>
          <cell r="AL169">
            <v>2198532</v>
          </cell>
          <cell r="AM169">
            <v>2255516</v>
          </cell>
          <cell r="AN169">
            <v>2313630</v>
          </cell>
          <cell r="AO169">
            <v>2372901</v>
          </cell>
          <cell r="AP169">
            <v>2433563</v>
          </cell>
          <cell r="AQ169">
            <v>2496216</v>
          </cell>
          <cell r="AR169">
            <v>2561585</v>
          </cell>
          <cell r="AS169">
            <v>2630219</v>
          </cell>
          <cell r="AT169">
            <v>2702400</v>
          </cell>
          <cell r="AU169">
            <v>2778099</v>
          </cell>
          <cell r="AV169">
            <v>2857148</v>
          </cell>
          <cell r="AW169">
            <v>2939247</v>
          </cell>
          <cell r="AX169">
            <v>3024194</v>
          </cell>
          <cell r="AY169">
            <v>3111906</v>
          </cell>
          <cell r="AZ169">
            <v>3202517</v>
          </cell>
          <cell r="BA169">
            <v>3296238</v>
          </cell>
          <cell r="BB169">
            <v>3393409</v>
          </cell>
          <cell r="BC169">
            <v>3494195</v>
          </cell>
          <cell r="BD169">
            <v>3598648</v>
          </cell>
          <cell r="BE169">
            <v>3706554</v>
          </cell>
          <cell r="BF169">
            <v>3817494</v>
          </cell>
          <cell r="BG169">
            <v>3930896</v>
          </cell>
          <cell r="BH169">
            <v>4046301</v>
          </cell>
          <cell r="BI169">
            <v>4163534</v>
          </cell>
          <cell r="BJ169">
            <v>4282574</v>
          </cell>
          <cell r="BK169">
            <v>4403319</v>
          </cell>
        </row>
        <row r="170">
          <cell r="B170" t="str">
            <v>MUS</v>
          </cell>
          <cell r="C170" t="str">
            <v>Population, total</v>
          </cell>
          <cell r="D170" t="str">
            <v>SP.POP.TOTL</v>
          </cell>
          <cell r="E170">
            <v>659351</v>
          </cell>
          <cell r="F170">
            <v>680757</v>
          </cell>
          <cell r="G170">
            <v>700349</v>
          </cell>
          <cell r="H170">
            <v>718861</v>
          </cell>
          <cell r="I170">
            <v>736381</v>
          </cell>
          <cell r="J170">
            <v>753000</v>
          </cell>
          <cell r="K170">
            <v>768813</v>
          </cell>
          <cell r="L170">
            <v>783917</v>
          </cell>
          <cell r="M170">
            <v>798413</v>
          </cell>
          <cell r="N170">
            <v>812405</v>
          </cell>
          <cell r="O170">
            <v>826000</v>
          </cell>
          <cell r="P170">
            <v>839230</v>
          </cell>
          <cell r="Q170">
            <v>852053</v>
          </cell>
          <cell r="R170">
            <v>864819</v>
          </cell>
          <cell r="S170">
            <v>878042</v>
          </cell>
          <cell r="T170">
            <v>892000</v>
          </cell>
          <cell r="U170">
            <v>906507</v>
          </cell>
          <cell r="V170">
            <v>921379</v>
          </cell>
          <cell r="W170">
            <v>933499</v>
          </cell>
          <cell r="X170">
            <v>949888</v>
          </cell>
          <cell r="Y170">
            <v>966039</v>
          </cell>
          <cell r="Z170">
            <v>980462</v>
          </cell>
          <cell r="AA170">
            <v>992521</v>
          </cell>
          <cell r="AB170">
            <v>1001691</v>
          </cell>
          <cell r="AC170">
            <v>1012221</v>
          </cell>
          <cell r="AD170">
            <v>1020528</v>
          </cell>
          <cell r="AE170">
            <v>1028360</v>
          </cell>
          <cell r="AF170">
            <v>1036082</v>
          </cell>
          <cell r="AG170">
            <v>1043239</v>
          </cell>
          <cell r="AH170">
            <v>1051260</v>
          </cell>
          <cell r="AI170">
            <v>1058775</v>
          </cell>
          <cell r="AJ170">
            <v>1070266</v>
          </cell>
          <cell r="AK170">
            <v>1084441</v>
          </cell>
          <cell r="AL170">
            <v>1097374</v>
          </cell>
          <cell r="AM170">
            <v>1112846</v>
          </cell>
          <cell r="AN170">
            <v>1122457</v>
          </cell>
          <cell r="AO170">
            <v>1133996</v>
          </cell>
          <cell r="AP170">
            <v>1148284</v>
          </cell>
          <cell r="AQ170">
            <v>1160421</v>
          </cell>
          <cell r="AR170">
            <v>1175267</v>
          </cell>
          <cell r="AS170">
            <v>1186873</v>
          </cell>
          <cell r="AT170">
            <v>1196287</v>
          </cell>
          <cell r="AU170">
            <v>1204621</v>
          </cell>
          <cell r="AV170">
            <v>1213370</v>
          </cell>
          <cell r="AW170">
            <v>1221003</v>
          </cell>
          <cell r="AX170">
            <v>1228254</v>
          </cell>
          <cell r="AY170">
            <v>1233996</v>
          </cell>
          <cell r="AZ170">
            <v>1239630</v>
          </cell>
          <cell r="BA170">
            <v>1244121</v>
          </cell>
          <cell r="BB170">
            <v>1247429</v>
          </cell>
          <cell r="BC170">
            <v>1250400</v>
          </cell>
          <cell r="BD170">
            <v>1252404</v>
          </cell>
          <cell r="BE170">
            <v>1255882</v>
          </cell>
          <cell r="BF170">
            <v>1258653</v>
          </cell>
          <cell r="BG170">
            <v>1260934</v>
          </cell>
          <cell r="BH170">
            <v>1262605</v>
          </cell>
          <cell r="BI170">
            <v>1263473</v>
          </cell>
          <cell r="BJ170">
            <v>1264613</v>
          </cell>
          <cell r="BK170">
            <v>1265303</v>
          </cell>
        </row>
        <row r="171">
          <cell r="B171" t="str">
            <v>MWI</v>
          </cell>
          <cell r="C171" t="str">
            <v>Population, total</v>
          </cell>
          <cell r="D171" t="str">
            <v>SP.POP.TOTL</v>
          </cell>
          <cell r="E171">
            <v>3659984</v>
          </cell>
          <cell r="F171">
            <v>3747753</v>
          </cell>
          <cell r="G171">
            <v>3839043</v>
          </cell>
          <cell r="H171">
            <v>3933908</v>
          </cell>
          <cell r="I171">
            <v>4032371</v>
          </cell>
          <cell r="J171">
            <v>4134460</v>
          </cell>
          <cell r="K171">
            <v>4240429</v>
          </cell>
          <cell r="L171">
            <v>4350452</v>
          </cell>
          <cell r="M171">
            <v>4464423</v>
          </cell>
          <cell r="N171">
            <v>4582198</v>
          </cell>
          <cell r="O171">
            <v>4703782</v>
          </cell>
          <cell r="P171">
            <v>4829090</v>
          </cell>
          <cell r="Q171">
            <v>4958549</v>
          </cell>
          <cell r="R171">
            <v>5093363</v>
          </cell>
          <cell r="S171">
            <v>5235073</v>
          </cell>
          <cell r="T171">
            <v>5384795</v>
          </cell>
          <cell r="U171">
            <v>5545651</v>
          </cell>
          <cell r="V171">
            <v>5717953</v>
          </cell>
          <cell r="W171">
            <v>5896865</v>
          </cell>
          <cell r="X171">
            <v>6075495</v>
          </cell>
          <cell r="Y171">
            <v>6250440</v>
          </cell>
          <cell r="Z171">
            <v>6412384</v>
          </cell>
          <cell r="AA171">
            <v>6565985</v>
          </cell>
          <cell r="AB171">
            <v>6737924</v>
          </cell>
          <cell r="AC171">
            <v>6964607</v>
          </cell>
          <cell r="AD171">
            <v>7268267</v>
          </cell>
          <cell r="AE171">
            <v>7666391</v>
          </cell>
          <cell r="AF171">
            <v>8141146</v>
          </cell>
          <cell r="AG171">
            <v>8636690</v>
          </cell>
          <cell r="AH171">
            <v>9075572</v>
          </cell>
          <cell r="AI171">
            <v>9404500</v>
          </cell>
          <cell r="AJ171">
            <v>9600355</v>
          </cell>
          <cell r="AK171">
            <v>9685973</v>
          </cell>
          <cell r="AL171">
            <v>9710331</v>
          </cell>
          <cell r="AM171">
            <v>9745690</v>
          </cell>
          <cell r="AN171">
            <v>9844415</v>
          </cell>
          <cell r="AO171">
            <v>10022789</v>
          </cell>
          <cell r="AP171">
            <v>10264906</v>
          </cell>
          <cell r="AQ171">
            <v>10552338</v>
          </cell>
          <cell r="AR171">
            <v>10854322</v>
          </cell>
          <cell r="AS171">
            <v>11148758</v>
          </cell>
          <cell r="AT171">
            <v>11432000</v>
          </cell>
          <cell r="AU171">
            <v>11713664</v>
          </cell>
          <cell r="AV171">
            <v>12000181</v>
          </cell>
          <cell r="AW171">
            <v>12301838</v>
          </cell>
          <cell r="AX171">
            <v>12625952</v>
          </cell>
          <cell r="AY171">
            <v>12973699</v>
          </cell>
          <cell r="AZ171">
            <v>13341806</v>
          </cell>
          <cell r="BA171">
            <v>13727890</v>
          </cell>
          <cell r="BB171">
            <v>14128155</v>
          </cell>
          <cell r="BC171">
            <v>14539612</v>
          </cell>
          <cell r="BD171">
            <v>14962112</v>
          </cell>
          <cell r="BE171">
            <v>15396005</v>
          </cell>
          <cell r="BF171">
            <v>15839269</v>
          </cell>
          <cell r="BG171">
            <v>16289540</v>
          </cell>
          <cell r="BH171">
            <v>16745303</v>
          </cell>
          <cell r="BI171">
            <v>17205289</v>
          </cell>
          <cell r="BJ171">
            <v>17670260</v>
          </cell>
          <cell r="BK171">
            <v>18143315</v>
          </cell>
        </row>
        <row r="172">
          <cell r="B172" t="str">
            <v>MYS</v>
          </cell>
          <cell r="C172" t="str">
            <v>Population, total</v>
          </cell>
          <cell r="D172" t="str">
            <v>SP.POP.TOTL</v>
          </cell>
          <cell r="E172">
            <v>8156347</v>
          </cell>
          <cell r="F172">
            <v>8417824</v>
          </cell>
          <cell r="G172">
            <v>8692342</v>
          </cell>
          <cell r="H172">
            <v>8973788</v>
          </cell>
          <cell r="I172">
            <v>9253842</v>
          </cell>
          <cell r="J172">
            <v>9526558</v>
          </cell>
          <cell r="K172">
            <v>9790084</v>
          </cell>
          <cell r="L172">
            <v>10046325</v>
          </cell>
          <cell r="M172">
            <v>10297983</v>
          </cell>
          <cell r="N172">
            <v>10549399</v>
          </cell>
          <cell r="O172">
            <v>10804131</v>
          </cell>
          <cell r="P172">
            <v>11062433</v>
          </cell>
          <cell r="Q172">
            <v>11324277</v>
          </cell>
          <cell r="R172">
            <v>11592638</v>
          </cell>
          <cell r="S172">
            <v>11871104</v>
          </cell>
          <cell r="T172">
            <v>12162187</v>
          </cell>
          <cell r="U172">
            <v>12468689</v>
          </cell>
          <cell r="V172">
            <v>12790312</v>
          </cell>
          <cell r="W172">
            <v>13122839</v>
          </cell>
          <cell r="X172">
            <v>13460031</v>
          </cell>
          <cell r="Y172">
            <v>13798085</v>
          </cell>
          <cell r="Z172">
            <v>14134058</v>
          </cell>
          <cell r="AA172">
            <v>14471211</v>
          </cell>
          <cell r="AB172">
            <v>14819424</v>
          </cell>
          <cell r="AC172">
            <v>15192298</v>
          </cell>
          <cell r="AD172">
            <v>15598927</v>
          </cell>
          <cell r="AE172">
            <v>16043731</v>
          </cell>
          <cell r="AF172">
            <v>16522000</v>
          </cell>
          <cell r="AG172">
            <v>17022465</v>
          </cell>
          <cell r="AH172">
            <v>17528961</v>
          </cell>
          <cell r="AI172">
            <v>18029824</v>
          </cell>
          <cell r="AJ172">
            <v>18519937</v>
          </cell>
          <cell r="AK172">
            <v>19002656</v>
          </cell>
          <cell r="AL172">
            <v>19484898</v>
          </cell>
          <cell r="AM172">
            <v>19977500</v>
          </cell>
          <cell r="AN172">
            <v>20487607</v>
          </cell>
          <cell r="AO172">
            <v>21017613</v>
          </cell>
          <cell r="AP172">
            <v>21562793</v>
          </cell>
          <cell r="AQ172">
            <v>22114654</v>
          </cell>
          <cell r="AR172">
            <v>22661298</v>
          </cell>
          <cell r="AS172">
            <v>23194257</v>
          </cell>
          <cell r="AT172">
            <v>23709119</v>
          </cell>
          <cell r="AU172">
            <v>24208391</v>
          </cell>
          <cell r="AV172">
            <v>24698819</v>
          </cell>
          <cell r="AW172">
            <v>25190652</v>
          </cell>
          <cell r="AX172">
            <v>25690611</v>
          </cell>
          <cell r="AY172">
            <v>26201961</v>
          </cell>
          <cell r="AZ172">
            <v>26720370</v>
          </cell>
          <cell r="BA172">
            <v>27236006</v>
          </cell>
          <cell r="BB172">
            <v>27735040</v>
          </cell>
          <cell r="BC172">
            <v>28208035</v>
          </cell>
          <cell r="BD172">
            <v>28650955</v>
          </cell>
          <cell r="BE172">
            <v>29068159</v>
          </cell>
          <cell r="BF172">
            <v>29468872</v>
          </cell>
          <cell r="BG172">
            <v>29866559</v>
          </cell>
          <cell r="BH172">
            <v>30270962</v>
          </cell>
          <cell r="BI172">
            <v>30684804</v>
          </cell>
          <cell r="BJ172">
            <v>31105028</v>
          </cell>
          <cell r="BK172">
            <v>31528585</v>
          </cell>
        </row>
        <row r="173">
          <cell r="B173" t="str">
            <v>NAC</v>
          </cell>
          <cell r="C173" t="str">
            <v>Population, total</v>
          </cell>
          <cell r="D173" t="str">
            <v>SP.POP.TOTL</v>
          </cell>
          <cell r="E173">
            <v>198624409</v>
          </cell>
          <cell r="F173">
            <v>202007500</v>
          </cell>
          <cell r="G173">
            <v>205198600</v>
          </cell>
          <cell r="H173">
            <v>208253700</v>
          </cell>
          <cell r="I173">
            <v>211262900</v>
          </cell>
          <cell r="J173">
            <v>214031100</v>
          </cell>
          <cell r="K173">
            <v>216659000</v>
          </cell>
          <cell r="L173">
            <v>219176000</v>
          </cell>
          <cell r="M173">
            <v>221503000</v>
          </cell>
          <cell r="N173">
            <v>223759000</v>
          </cell>
          <cell r="O173">
            <v>226431000</v>
          </cell>
          <cell r="P173">
            <v>229677632</v>
          </cell>
          <cell r="Q173">
            <v>232168663</v>
          </cell>
          <cell r="R173">
            <v>234454577</v>
          </cell>
          <cell r="S173">
            <v>236715369</v>
          </cell>
          <cell r="T173">
            <v>239169275</v>
          </cell>
          <cell r="U173">
            <v>241538008</v>
          </cell>
          <cell r="V173">
            <v>244018243</v>
          </cell>
          <cell r="W173">
            <v>246601803</v>
          </cell>
          <cell r="X173">
            <v>249310344</v>
          </cell>
          <cell r="Y173">
            <v>251795337</v>
          </cell>
          <cell r="Z173">
            <v>254340965</v>
          </cell>
          <cell r="AA173">
            <v>256836391</v>
          </cell>
          <cell r="AB173">
            <v>259214381</v>
          </cell>
          <cell r="AC173">
            <v>261488476</v>
          </cell>
          <cell r="AD173">
            <v>263823014</v>
          </cell>
          <cell r="AE173">
            <v>266290660</v>
          </cell>
          <cell r="AF173">
            <v>268793450</v>
          </cell>
          <cell r="AG173">
            <v>271349094</v>
          </cell>
          <cell r="AH173">
            <v>274154622</v>
          </cell>
          <cell r="AI173">
            <v>277373464</v>
          </cell>
          <cell r="AJ173">
            <v>281077441</v>
          </cell>
          <cell r="AK173">
            <v>284943859</v>
          </cell>
          <cell r="AL173">
            <v>288662674</v>
          </cell>
          <cell r="AM173">
            <v>292185983</v>
          </cell>
          <cell r="AN173">
            <v>295640057</v>
          </cell>
          <cell r="AO173">
            <v>299064347</v>
          </cell>
          <cell r="AP173">
            <v>302623445</v>
          </cell>
          <cell r="AQ173">
            <v>306070116</v>
          </cell>
          <cell r="AR173">
            <v>309502571</v>
          </cell>
          <cell r="AS173">
            <v>312909974</v>
          </cell>
          <cell r="AT173">
            <v>316052361</v>
          </cell>
          <cell r="AU173">
            <v>319048184</v>
          </cell>
          <cell r="AV173">
            <v>321815286</v>
          </cell>
          <cell r="AW173">
            <v>324809693</v>
          </cell>
          <cell r="AX173">
            <v>327824506</v>
          </cell>
          <cell r="AY173">
            <v>331015609</v>
          </cell>
          <cell r="AZ173">
            <v>334185120</v>
          </cell>
          <cell r="BA173">
            <v>337406357</v>
          </cell>
          <cell r="BB173">
            <v>340466060</v>
          </cell>
          <cell r="BC173">
            <v>343396098</v>
          </cell>
          <cell r="BD173">
            <v>345983901</v>
          </cell>
          <cell r="BE173">
            <v>348653238</v>
          </cell>
          <cell r="BF173">
            <v>351205682</v>
          </cell>
          <cell r="BG173">
            <v>353888995</v>
          </cell>
          <cell r="BH173">
            <v>356510820</v>
          </cell>
          <cell r="BI173">
            <v>359245384</v>
          </cell>
          <cell r="BJ173">
            <v>361751263</v>
          </cell>
          <cell r="BK173">
            <v>364290258</v>
          </cell>
        </row>
        <row r="174">
          <cell r="B174" t="str">
            <v>NAM</v>
          </cell>
          <cell r="C174" t="str">
            <v>Population, total</v>
          </cell>
          <cell r="D174" t="str">
            <v>SP.POP.TOTL</v>
          </cell>
          <cell r="E174">
            <v>634142</v>
          </cell>
          <cell r="F174">
            <v>649279</v>
          </cell>
          <cell r="G174">
            <v>665115</v>
          </cell>
          <cell r="H174">
            <v>681637</v>
          </cell>
          <cell r="I174">
            <v>698796</v>
          </cell>
          <cell r="J174">
            <v>716584</v>
          </cell>
          <cell r="K174">
            <v>734867</v>
          </cell>
          <cell r="L174">
            <v>753688</v>
          </cell>
          <cell r="M174">
            <v>773422</v>
          </cell>
          <cell r="N174">
            <v>794588</v>
          </cell>
          <cell r="O174">
            <v>817469</v>
          </cell>
          <cell r="P174">
            <v>842354</v>
          </cell>
          <cell r="Q174">
            <v>868958</v>
          </cell>
          <cell r="R174">
            <v>896266</v>
          </cell>
          <cell r="S174">
            <v>922903</v>
          </cell>
          <cell r="T174">
            <v>947921</v>
          </cell>
          <cell r="U174">
            <v>971121</v>
          </cell>
          <cell r="V174">
            <v>992956</v>
          </cell>
          <cell r="W174">
            <v>1014057</v>
          </cell>
          <cell r="X174">
            <v>1035381</v>
          </cell>
          <cell r="Y174">
            <v>1057727</v>
          </cell>
          <cell r="Z174">
            <v>1080941</v>
          </cell>
          <cell r="AA174">
            <v>1105104</v>
          </cell>
          <cell r="AB174">
            <v>1131632</v>
          </cell>
          <cell r="AC174">
            <v>1162279</v>
          </cell>
          <cell r="AD174">
            <v>1198148</v>
          </cell>
          <cell r="AE174">
            <v>1239928</v>
          </cell>
          <cell r="AF174">
            <v>1286797</v>
          </cell>
          <cell r="AG174">
            <v>1336536</v>
          </cell>
          <cell r="AH174">
            <v>1386010</v>
          </cell>
          <cell r="AI174">
            <v>1432905</v>
          </cell>
          <cell r="AJ174">
            <v>1476388</v>
          </cell>
          <cell r="AK174">
            <v>1516958</v>
          </cell>
          <cell r="AL174">
            <v>1555101</v>
          </cell>
          <cell r="AM174">
            <v>1591822</v>
          </cell>
          <cell r="AN174">
            <v>1627865</v>
          </cell>
          <cell r="AO174">
            <v>1663378</v>
          </cell>
          <cell r="AP174">
            <v>1698032</v>
          </cell>
          <cell r="AQ174">
            <v>1731639</v>
          </cell>
          <cell r="AR174">
            <v>1763859</v>
          </cell>
          <cell r="AS174">
            <v>1794571</v>
          </cell>
          <cell r="AT174">
            <v>1823672</v>
          </cell>
          <cell r="AU174">
            <v>1851523</v>
          </cell>
          <cell r="AV174">
            <v>1879117</v>
          </cell>
          <cell r="AW174">
            <v>1907745</v>
          </cell>
          <cell r="AX174">
            <v>1938320</v>
          </cell>
          <cell r="AY174">
            <v>1971317</v>
          </cell>
          <cell r="AZ174">
            <v>2006514</v>
          </cell>
          <cell r="BA174">
            <v>2043394</v>
          </cell>
          <cell r="BB174">
            <v>2081044</v>
          </cell>
          <cell r="BC174">
            <v>2118874</v>
          </cell>
          <cell r="BD174">
            <v>2156701</v>
          </cell>
          <cell r="BE174">
            <v>2194784</v>
          </cell>
          <cell r="BF174">
            <v>2233510</v>
          </cell>
          <cell r="BG174">
            <v>2273430</v>
          </cell>
          <cell r="BH174">
            <v>2314904</v>
          </cell>
          <cell r="BI174">
            <v>2358041</v>
          </cell>
          <cell r="BJ174">
            <v>2402603</v>
          </cell>
          <cell r="BK174">
            <v>2448255</v>
          </cell>
        </row>
        <row r="175">
          <cell r="B175" t="str">
            <v>NCL</v>
          </cell>
          <cell r="C175" t="str">
            <v>Population, total</v>
          </cell>
          <cell r="D175" t="str">
            <v>SP.POP.TOTL</v>
          </cell>
          <cell r="E175">
            <v>79000</v>
          </cell>
          <cell r="F175">
            <v>81200</v>
          </cell>
          <cell r="G175">
            <v>83400</v>
          </cell>
          <cell r="H175">
            <v>85700</v>
          </cell>
          <cell r="I175">
            <v>88100</v>
          </cell>
          <cell r="J175">
            <v>90500</v>
          </cell>
          <cell r="K175">
            <v>93500</v>
          </cell>
          <cell r="L175">
            <v>96500</v>
          </cell>
          <cell r="M175">
            <v>99500</v>
          </cell>
          <cell r="N175">
            <v>104000</v>
          </cell>
          <cell r="O175">
            <v>112000</v>
          </cell>
          <cell r="P175">
            <v>120000</v>
          </cell>
          <cell r="Q175">
            <v>125500</v>
          </cell>
          <cell r="R175">
            <v>128500</v>
          </cell>
          <cell r="S175">
            <v>131000</v>
          </cell>
          <cell r="T175">
            <v>132500</v>
          </cell>
          <cell r="U175">
            <v>134000</v>
          </cell>
          <cell r="V175">
            <v>136000</v>
          </cell>
          <cell r="W175">
            <v>137500</v>
          </cell>
          <cell r="X175">
            <v>138500</v>
          </cell>
          <cell r="Y175">
            <v>140050</v>
          </cell>
          <cell r="Z175">
            <v>142650</v>
          </cell>
          <cell r="AA175">
            <v>145700</v>
          </cell>
          <cell r="AB175">
            <v>148700</v>
          </cell>
          <cell r="AC175">
            <v>151650</v>
          </cell>
          <cell r="AD175">
            <v>154450</v>
          </cell>
          <cell r="AE175">
            <v>157350</v>
          </cell>
          <cell r="AF175">
            <v>160500</v>
          </cell>
          <cell r="AG175">
            <v>163650</v>
          </cell>
          <cell r="AH175">
            <v>166898</v>
          </cell>
          <cell r="AI175">
            <v>170899</v>
          </cell>
          <cell r="AJ175">
            <v>175362</v>
          </cell>
          <cell r="AK175">
            <v>179799</v>
          </cell>
          <cell r="AL175">
            <v>184496</v>
          </cell>
          <cell r="AM175">
            <v>189482</v>
          </cell>
          <cell r="AN175">
            <v>193816</v>
          </cell>
          <cell r="AO175">
            <v>197564</v>
          </cell>
          <cell r="AP175">
            <v>201418</v>
          </cell>
          <cell r="AQ175">
            <v>205279</v>
          </cell>
          <cell r="AR175">
            <v>209214</v>
          </cell>
          <cell r="AS175">
            <v>213230</v>
          </cell>
          <cell r="AT175">
            <v>217324</v>
          </cell>
          <cell r="AU175">
            <v>221490</v>
          </cell>
          <cell r="AV175">
            <v>225296</v>
          </cell>
          <cell r="AW175">
            <v>228750</v>
          </cell>
          <cell r="AX175">
            <v>232250</v>
          </cell>
          <cell r="AY175">
            <v>235750</v>
          </cell>
          <cell r="AZ175">
            <v>239250</v>
          </cell>
          <cell r="BA175">
            <v>242750</v>
          </cell>
          <cell r="BB175">
            <v>245950</v>
          </cell>
          <cell r="BC175">
            <v>249750</v>
          </cell>
          <cell r="BD175">
            <v>254350</v>
          </cell>
          <cell r="BE175">
            <v>259000</v>
          </cell>
          <cell r="BF175">
            <v>263650</v>
          </cell>
          <cell r="BG175">
            <v>268050</v>
          </cell>
          <cell r="BH175">
            <v>272400</v>
          </cell>
          <cell r="BI175">
            <v>276550</v>
          </cell>
          <cell r="BJ175">
            <v>280350</v>
          </cell>
          <cell r="BK175">
            <v>284060</v>
          </cell>
        </row>
        <row r="176">
          <cell r="B176" t="str">
            <v>NER</v>
          </cell>
          <cell r="C176" t="str">
            <v>Population, total</v>
          </cell>
          <cell r="D176" t="str">
            <v>SP.POP.TOTL</v>
          </cell>
          <cell r="E176">
            <v>3388764</v>
          </cell>
          <cell r="F176">
            <v>3486326</v>
          </cell>
          <cell r="G176">
            <v>3588228</v>
          </cell>
          <cell r="H176">
            <v>3693980</v>
          </cell>
          <cell r="I176">
            <v>3802803</v>
          </cell>
          <cell r="J176">
            <v>3914117</v>
          </cell>
          <cell r="K176">
            <v>4027963</v>
          </cell>
          <cell r="L176">
            <v>4144592</v>
          </cell>
          <cell r="M176">
            <v>4263927</v>
          </cell>
          <cell r="N176">
            <v>4385927</v>
          </cell>
          <cell r="O176">
            <v>4510644</v>
          </cell>
          <cell r="P176">
            <v>4637988</v>
          </cell>
          <cell r="Q176">
            <v>4768227</v>
          </cell>
          <cell r="R176">
            <v>4902151</v>
          </cell>
          <cell r="S176">
            <v>5040798</v>
          </cell>
          <cell r="T176">
            <v>5184941</v>
          </cell>
          <cell r="U176">
            <v>5335085</v>
          </cell>
          <cell r="V176">
            <v>5491153</v>
          </cell>
          <cell r="W176">
            <v>5652652</v>
          </cell>
          <cell r="X176">
            <v>5818763</v>
          </cell>
          <cell r="Y176">
            <v>5989004</v>
          </cell>
          <cell r="Z176">
            <v>6163705</v>
          </cell>
          <cell r="AA176">
            <v>6343523</v>
          </cell>
          <cell r="AB176">
            <v>6528641</v>
          </cell>
          <cell r="AC176">
            <v>6719309</v>
          </cell>
          <cell r="AD176">
            <v>6915997</v>
          </cell>
          <cell r="AE176">
            <v>7118883</v>
          </cell>
          <cell r="AF176">
            <v>7328943</v>
          </cell>
          <cell r="AG176">
            <v>7548433</v>
          </cell>
          <cell r="AH176">
            <v>7780245</v>
          </cell>
          <cell r="AI176">
            <v>8026591</v>
          </cell>
          <cell r="AJ176">
            <v>8288735</v>
          </cell>
          <cell r="AK176">
            <v>8566770</v>
          </cell>
          <cell r="AL176">
            <v>8860287</v>
          </cell>
          <cell r="AM176">
            <v>9168312</v>
          </cell>
          <cell r="AN176">
            <v>9490288</v>
          </cell>
          <cell r="AO176">
            <v>9826598</v>
          </cell>
          <cell r="AP176">
            <v>10178201</v>
          </cell>
          <cell r="AQ176">
            <v>10545716</v>
          </cell>
          <cell r="AR176">
            <v>10929918</v>
          </cell>
          <cell r="AS176">
            <v>11331557</v>
          </cell>
          <cell r="AT176">
            <v>11751365</v>
          </cell>
          <cell r="AU176">
            <v>12189983</v>
          </cell>
          <cell r="AV176">
            <v>12647984</v>
          </cell>
          <cell r="AW176">
            <v>13125916</v>
          </cell>
          <cell r="AX176">
            <v>13624467</v>
          </cell>
          <cell r="AY176">
            <v>14143971</v>
          </cell>
          <cell r="AZ176">
            <v>14685399</v>
          </cell>
          <cell r="BA176">
            <v>15250908</v>
          </cell>
          <cell r="BB176">
            <v>15843133</v>
          </cell>
          <cell r="BC176">
            <v>16464025</v>
          </cell>
          <cell r="BD176">
            <v>17114761</v>
          </cell>
          <cell r="BE176">
            <v>17795191</v>
          </cell>
          <cell r="BF176">
            <v>18504255</v>
          </cell>
          <cell r="BG176">
            <v>19240157</v>
          </cell>
          <cell r="BH176">
            <v>20001663</v>
          </cell>
          <cell r="BI176">
            <v>20788838</v>
          </cell>
          <cell r="BJ176">
            <v>21602472</v>
          </cell>
          <cell r="BK176">
            <v>22442948</v>
          </cell>
        </row>
        <row r="177">
          <cell r="B177" t="str">
            <v>NGA</v>
          </cell>
          <cell r="C177" t="str">
            <v>Population, total</v>
          </cell>
          <cell r="D177" t="str">
            <v>SP.POP.TOTL</v>
          </cell>
          <cell r="E177">
            <v>45138458</v>
          </cell>
          <cell r="F177">
            <v>46063563</v>
          </cell>
          <cell r="G177">
            <v>47029822</v>
          </cell>
          <cell r="H177">
            <v>48032934</v>
          </cell>
          <cell r="I177">
            <v>49066760</v>
          </cell>
          <cell r="J177">
            <v>50127921</v>
          </cell>
          <cell r="K177">
            <v>51217973</v>
          </cell>
          <cell r="L177">
            <v>52342233</v>
          </cell>
          <cell r="M177">
            <v>53506196</v>
          </cell>
          <cell r="N177">
            <v>54717039</v>
          </cell>
          <cell r="O177">
            <v>55982144</v>
          </cell>
          <cell r="P177">
            <v>57296983</v>
          </cell>
          <cell r="Q177">
            <v>58665808</v>
          </cell>
          <cell r="R177">
            <v>60114625</v>
          </cell>
          <cell r="S177">
            <v>61677177</v>
          </cell>
          <cell r="T177">
            <v>63374298</v>
          </cell>
          <cell r="U177">
            <v>65221378</v>
          </cell>
          <cell r="V177">
            <v>67203128</v>
          </cell>
          <cell r="W177">
            <v>69271917</v>
          </cell>
          <cell r="X177">
            <v>71361131</v>
          </cell>
          <cell r="Y177">
            <v>73423633</v>
          </cell>
          <cell r="Z177">
            <v>75440502</v>
          </cell>
          <cell r="AA177">
            <v>77427546</v>
          </cell>
          <cell r="AB177">
            <v>79414840</v>
          </cell>
          <cell r="AC177">
            <v>81448755</v>
          </cell>
          <cell r="AD177">
            <v>83562785</v>
          </cell>
          <cell r="AE177">
            <v>85766399</v>
          </cell>
          <cell r="AF177">
            <v>88048032</v>
          </cell>
          <cell r="AG177">
            <v>90395271</v>
          </cell>
          <cell r="AH177">
            <v>92788027</v>
          </cell>
          <cell r="AI177">
            <v>95212450</v>
          </cell>
          <cell r="AJ177">
            <v>97667632</v>
          </cell>
          <cell r="AK177">
            <v>100161710</v>
          </cell>
          <cell r="AL177">
            <v>102700753</v>
          </cell>
          <cell r="AM177">
            <v>105293700</v>
          </cell>
          <cell r="AN177">
            <v>107948335</v>
          </cell>
          <cell r="AO177">
            <v>110668794</v>
          </cell>
          <cell r="AP177">
            <v>113457663</v>
          </cell>
          <cell r="AQ177">
            <v>116319759</v>
          </cell>
          <cell r="AR177">
            <v>119260063</v>
          </cell>
          <cell r="AS177">
            <v>122283850</v>
          </cell>
          <cell r="AT177">
            <v>125394046</v>
          </cell>
          <cell r="AU177">
            <v>128596076</v>
          </cell>
          <cell r="AV177">
            <v>131900631</v>
          </cell>
          <cell r="AW177">
            <v>135320422</v>
          </cell>
          <cell r="AX177">
            <v>138865016</v>
          </cell>
          <cell r="AY177">
            <v>142538308</v>
          </cell>
          <cell r="AZ177">
            <v>146339977</v>
          </cell>
          <cell r="BA177">
            <v>150269623</v>
          </cell>
          <cell r="BB177">
            <v>154324933</v>
          </cell>
          <cell r="BC177">
            <v>158503197</v>
          </cell>
          <cell r="BD177">
            <v>162805071</v>
          </cell>
          <cell r="BE177">
            <v>167228767</v>
          </cell>
          <cell r="BF177">
            <v>171765769</v>
          </cell>
          <cell r="BG177">
            <v>176404902</v>
          </cell>
          <cell r="BH177">
            <v>181137448</v>
          </cell>
          <cell r="BI177">
            <v>185960289</v>
          </cell>
          <cell r="BJ177">
            <v>190873311</v>
          </cell>
          <cell r="BK177">
            <v>195874740</v>
          </cell>
        </row>
        <row r="178">
          <cell r="B178" t="str">
            <v>NIC</v>
          </cell>
          <cell r="C178" t="str">
            <v>Population, total</v>
          </cell>
          <cell r="D178" t="str">
            <v>SP.POP.TOTL</v>
          </cell>
          <cell r="E178">
            <v>1773129</v>
          </cell>
          <cell r="F178">
            <v>1829778</v>
          </cell>
          <cell r="G178">
            <v>1887425</v>
          </cell>
          <cell r="H178">
            <v>1946234</v>
          </cell>
          <cell r="I178">
            <v>2006481</v>
          </cell>
          <cell r="J178">
            <v>2068381</v>
          </cell>
          <cell r="K178">
            <v>2131976</v>
          </cell>
          <cell r="L178">
            <v>2197298</v>
          </cell>
          <cell r="M178">
            <v>2264623</v>
          </cell>
          <cell r="N178">
            <v>2334279</v>
          </cell>
          <cell r="O178">
            <v>2406513</v>
          </cell>
          <cell r="P178">
            <v>2481341</v>
          </cell>
          <cell r="Q178">
            <v>2558699</v>
          </cell>
          <cell r="R178">
            <v>2638699</v>
          </cell>
          <cell r="S178">
            <v>2721415</v>
          </cell>
          <cell r="T178">
            <v>2806857</v>
          </cell>
          <cell r="U178">
            <v>2894972</v>
          </cell>
          <cell r="V178">
            <v>2985489</v>
          </cell>
          <cell r="W178">
            <v>3077866</v>
          </cell>
          <cell r="X178">
            <v>3171408</v>
          </cell>
          <cell r="Y178">
            <v>3265519</v>
          </cell>
          <cell r="Z178">
            <v>3360140</v>
          </cell>
          <cell r="AA178">
            <v>3455123</v>
          </cell>
          <cell r="AB178">
            <v>3549711</v>
          </cell>
          <cell r="AC178">
            <v>3642976</v>
          </cell>
          <cell r="AD178">
            <v>3734341</v>
          </cell>
          <cell r="AE178">
            <v>3823130</v>
          </cell>
          <cell r="AF178">
            <v>3909671</v>
          </cell>
          <cell r="AG178">
            <v>3995533</v>
          </cell>
          <cell r="AH178">
            <v>4082958</v>
          </cell>
          <cell r="AI178">
            <v>4173434</v>
          </cell>
          <cell r="AJ178">
            <v>4267568</v>
          </cell>
          <cell r="AK178">
            <v>4364512</v>
          </cell>
          <cell r="AL178">
            <v>4462497</v>
          </cell>
          <cell r="AM178">
            <v>4559006</v>
          </cell>
          <cell r="AN178">
            <v>4652185</v>
          </cell>
          <cell r="AO178">
            <v>4741578</v>
          </cell>
          <cell r="AP178">
            <v>4827661</v>
          </cell>
          <cell r="AQ178">
            <v>4910647</v>
          </cell>
          <cell r="AR178">
            <v>4991040</v>
          </cell>
          <cell r="AS178">
            <v>5069302</v>
          </cell>
          <cell r="AT178">
            <v>5145366</v>
          </cell>
          <cell r="AU178">
            <v>5219328</v>
          </cell>
          <cell r="AV178">
            <v>5292118</v>
          </cell>
          <cell r="AW178">
            <v>5364935</v>
          </cell>
          <cell r="AX178">
            <v>5438690</v>
          </cell>
          <cell r="AY178">
            <v>5513763</v>
          </cell>
          <cell r="AZ178">
            <v>5590055</v>
          </cell>
          <cell r="BA178">
            <v>5667432</v>
          </cell>
          <cell r="BB178">
            <v>5745526</v>
          </cell>
          <cell r="BC178">
            <v>5824065</v>
          </cell>
          <cell r="BD178">
            <v>5903039</v>
          </cell>
          <cell r="BE178">
            <v>5982526</v>
          </cell>
          <cell r="BF178">
            <v>6062454</v>
          </cell>
          <cell r="BG178">
            <v>6142733</v>
          </cell>
          <cell r="BH178">
            <v>6223240</v>
          </cell>
          <cell r="BI178">
            <v>6303974</v>
          </cell>
          <cell r="BJ178">
            <v>6384855</v>
          </cell>
          <cell r="BK178">
            <v>6465513</v>
          </cell>
        </row>
        <row r="179">
          <cell r="B179" t="str">
            <v>NLD</v>
          </cell>
          <cell r="C179" t="str">
            <v>Population, total</v>
          </cell>
          <cell r="D179" t="str">
            <v>SP.POP.TOTL</v>
          </cell>
          <cell r="E179">
            <v>11486631</v>
          </cell>
          <cell r="F179">
            <v>11638712</v>
          </cell>
          <cell r="G179">
            <v>11805689</v>
          </cell>
          <cell r="H179">
            <v>11965966</v>
          </cell>
          <cell r="I179">
            <v>12127120</v>
          </cell>
          <cell r="J179">
            <v>12294732</v>
          </cell>
          <cell r="K179">
            <v>12456251</v>
          </cell>
          <cell r="L179">
            <v>12598201</v>
          </cell>
          <cell r="M179">
            <v>12729721</v>
          </cell>
          <cell r="N179">
            <v>12877984</v>
          </cell>
          <cell r="O179">
            <v>13038526</v>
          </cell>
          <cell r="P179">
            <v>13194497</v>
          </cell>
          <cell r="Q179">
            <v>13328593</v>
          </cell>
          <cell r="R179">
            <v>13439322</v>
          </cell>
          <cell r="S179">
            <v>13545056</v>
          </cell>
          <cell r="T179">
            <v>13666335</v>
          </cell>
          <cell r="U179">
            <v>13774037</v>
          </cell>
          <cell r="V179">
            <v>13856185</v>
          </cell>
          <cell r="W179">
            <v>13941700</v>
          </cell>
          <cell r="X179">
            <v>14038270</v>
          </cell>
          <cell r="Y179">
            <v>14149800</v>
          </cell>
          <cell r="Z179">
            <v>14247208</v>
          </cell>
          <cell r="AA179">
            <v>14312690</v>
          </cell>
          <cell r="AB179">
            <v>14367070</v>
          </cell>
          <cell r="AC179">
            <v>14424211</v>
          </cell>
          <cell r="AD179">
            <v>14491632</v>
          </cell>
          <cell r="AE179">
            <v>14572278</v>
          </cell>
          <cell r="AF179">
            <v>14665037</v>
          </cell>
          <cell r="AG179">
            <v>14760094</v>
          </cell>
          <cell r="AH179">
            <v>14848907</v>
          </cell>
          <cell r="AI179">
            <v>14951510</v>
          </cell>
          <cell r="AJ179">
            <v>15069798</v>
          </cell>
          <cell r="AK179">
            <v>15184166</v>
          </cell>
          <cell r="AL179">
            <v>15290368</v>
          </cell>
          <cell r="AM179">
            <v>15382838</v>
          </cell>
          <cell r="AN179">
            <v>15459006</v>
          </cell>
          <cell r="AO179">
            <v>15530498</v>
          </cell>
          <cell r="AP179">
            <v>15610650</v>
          </cell>
          <cell r="AQ179">
            <v>15707209</v>
          </cell>
          <cell r="AR179">
            <v>15812088</v>
          </cell>
          <cell r="AS179">
            <v>15925513</v>
          </cell>
          <cell r="AT179">
            <v>16046180</v>
          </cell>
          <cell r="AU179">
            <v>16148929</v>
          </cell>
          <cell r="AV179">
            <v>16225302</v>
          </cell>
          <cell r="AW179">
            <v>16281779</v>
          </cell>
          <cell r="AX179">
            <v>16319868</v>
          </cell>
          <cell r="AY179">
            <v>16346101</v>
          </cell>
          <cell r="AZ179">
            <v>16381696</v>
          </cell>
          <cell r="BA179">
            <v>16445593</v>
          </cell>
          <cell r="BB179">
            <v>16530388</v>
          </cell>
          <cell r="BC179">
            <v>16615394</v>
          </cell>
          <cell r="BD179">
            <v>16693074</v>
          </cell>
          <cell r="BE179">
            <v>16754962</v>
          </cell>
          <cell r="BF179">
            <v>16804432</v>
          </cell>
          <cell r="BG179">
            <v>16865008</v>
          </cell>
          <cell r="BH179">
            <v>16939923</v>
          </cell>
          <cell r="BI179">
            <v>17030314</v>
          </cell>
          <cell r="BJ179">
            <v>17131296</v>
          </cell>
          <cell r="BK179">
            <v>17231624</v>
          </cell>
        </row>
        <row r="180">
          <cell r="B180" t="str">
            <v>NOR</v>
          </cell>
          <cell r="C180" t="str">
            <v>Population, total</v>
          </cell>
          <cell r="D180" t="str">
            <v>SP.POP.TOTL</v>
          </cell>
          <cell r="E180">
            <v>3581239</v>
          </cell>
          <cell r="F180">
            <v>3609800</v>
          </cell>
          <cell r="G180">
            <v>3638918</v>
          </cell>
          <cell r="H180">
            <v>3666537</v>
          </cell>
          <cell r="I180">
            <v>3694339</v>
          </cell>
          <cell r="J180">
            <v>3723168</v>
          </cell>
          <cell r="K180">
            <v>3753012</v>
          </cell>
          <cell r="L180">
            <v>3784539</v>
          </cell>
          <cell r="M180">
            <v>3816486</v>
          </cell>
          <cell r="N180">
            <v>3847707</v>
          </cell>
          <cell r="O180">
            <v>3875763</v>
          </cell>
          <cell r="P180">
            <v>3903039</v>
          </cell>
          <cell r="Q180">
            <v>3933004</v>
          </cell>
          <cell r="R180">
            <v>3960612</v>
          </cell>
          <cell r="S180">
            <v>3985258</v>
          </cell>
          <cell r="T180">
            <v>4007313</v>
          </cell>
          <cell r="U180">
            <v>4026152</v>
          </cell>
          <cell r="V180">
            <v>4043205</v>
          </cell>
          <cell r="W180">
            <v>4058671</v>
          </cell>
          <cell r="X180">
            <v>4072517</v>
          </cell>
          <cell r="Y180">
            <v>4085620</v>
          </cell>
          <cell r="Z180">
            <v>4099702</v>
          </cell>
          <cell r="AA180">
            <v>4114787</v>
          </cell>
          <cell r="AB180">
            <v>4128432</v>
          </cell>
          <cell r="AC180">
            <v>4140099</v>
          </cell>
          <cell r="AD180">
            <v>4152516</v>
          </cell>
          <cell r="AE180">
            <v>4167354</v>
          </cell>
          <cell r="AF180">
            <v>4186905</v>
          </cell>
          <cell r="AG180">
            <v>4209488</v>
          </cell>
          <cell r="AH180">
            <v>4226901</v>
          </cell>
          <cell r="AI180">
            <v>4241473</v>
          </cell>
          <cell r="AJ180">
            <v>4261732</v>
          </cell>
          <cell r="AK180">
            <v>4286401</v>
          </cell>
          <cell r="AL180">
            <v>4311991</v>
          </cell>
          <cell r="AM180">
            <v>4336613</v>
          </cell>
          <cell r="AN180">
            <v>4359184</v>
          </cell>
          <cell r="AO180">
            <v>4381336</v>
          </cell>
          <cell r="AP180">
            <v>4405157</v>
          </cell>
          <cell r="AQ180">
            <v>4431464</v>
          </cell>
          <cell r="AR180">
            <v>4461913</v>
          </cell>
          <cell r="AS180">
            <v>4490967</v>
          </cell>
          <cell r="AT180">
            <v>4513751</v>
          </cell>
          <cell r="AU180">
            <v>4538159</v>
          </cell>
          <cell r="AV180">
            <v>4564855</v>
          </cell>
          <cell r="AW180">
            <v>4591910</v>
          </cell>
          <cell r="AX180">
            <v>4623291</v>
          </cell>
          <cell r="AY180">
            <v>4660677</v>
          </cell>
          <cell r="AZ180">
            <v>4709153</v>
          </cell>
          <cell r="BA180">
            <v>4768212</v>
          </cell>
          <cell r="BB180">
            <v>4828726</v>
          </cell>
          <cell r="BC180">
            <v>4889252</v>
          </cell>
          <cell r="BD180">
            <v>4953088</v>
          </cell>
          <cell r="BE180">
            <v>5018573</v>
          </cell>
          <cell r="BF180">
            <v>5079623</v>
          </cell>
          <cell r="BG180">
            <v>5137232</v>
          </cell>
          <cell r="BH180">
            <v>5188607</v>
          </cell>
          <cell r="BI180">
            <v>5234519</v>
          </cell>
          <cell r="BJ180">
            <v>5276968</v>
          </cell>
          <cell r="BK180">
            <v>5311916</v>
          </cell>
        </row>
        <row r="181">
          <cell r="B181" t="str">
            <v>NPL</v>
          </cell>
          <cell r="C181" t="str">
            <v>Population, total</v>
          </cell>
          <cell r="D181" t="str">
            <v>SP.POP.TOTL</v>
          </cell>
          <cell r="E181">
            <v>10105050</v>
          </cell>
          <cell r="F181">
            <v>10267264</v>
          </cell>
          <cell r="G181">
            <v>10433145</v>
          </cell>
          <cell r="H181">
            <v>10604621</v>
          </cell>
          <cell r="I181">
            <v>10783967</v>
          </cell>
          <cell r="J181">
            <v>10972912</v>
          </cell>
          <cell r="K181">
            <v>11172529</v>
          </cell>
          <cell r="L181">
            <v>11382967</v>
          </cell>
          <cell r="M181">
            <v>11603928</v>
          </cell>
          <cell r="N181">
            <v>11834654</v>
          </cell>
          <cell r="O181">
            <v>12074626</v>
          </cell>
          <cell r="P181">
            <v>12323982</v>
          </cell>
          <cell r="Q181">
            <v>12583140</v>
          </cell>
          <cell r="R181">
            <v>12852206</v>
          </cell>
          <cell r="S181">
            <v>13131260</v>
          </cell>
          <cell r="T181">
            <v>13420369</v>
          </cell>
          <cell r="U181">
            <v>13719471</v>
          </cell>
          <cell r="V181">
            <v>14028536</v>
          </cell>
          <cell r="W181">
            <v>14347641</v>
          </cell>
          <cell r="X181">
            <v>14676929</v>
          </cell>
          <cell r="Y181">
            <v>15016402</v>
          </cell>
          <cell r="Z181">
            <v>15367230</v>
          </cell>
          <cell r="AA181">
            <v>15729431</v>
          </cell>
          <cell r="AB181">
            <v>16100617</v>
          </cell>
          <cell r="AC181">
            <v>16477473</v>
          </cell>
          <cell r="AD181">
            <v>16858310</v>
          </cell>
          <cell r="AE181">
            <v>17239673</v>
          </cell>
          <cell r="AF181">
            <v>17623693</v>
          </cell>
          <cell r="AG181">
            <v>18020753</v>
          </cell>
          <cell r="AH181">
            <v>18445028</v>
          </cell>
          <cell r="AI181">
            <v>18905478</v>
          </cell>
          <cell r="AJ181">
            <v>19405504</v>
          </cell>
          <cell r="AK181">
            <v>19938320</v>
          </cell>
          <cell r="AL181">
            <v>20489975</v>
          </cell>
          <cell r="AM181">
            <v>21040904</v>
          </cell>
          <cell r="AN181">
            <v>21576071</v>
          </cell>
          <cell r="AO181">
            <v>22090352</v>
          </cell>
          <cell r="AP181">
            <v>22584775</v>
          </cell>
          <cell r="AQ181">
            <v>23057883</v>
          </cell>
          <cell r="AR181">
            <v>23509964</v>
          </cell>
          <cell r="AS181">
            <v>23941110</v>
          </cell>
          <cell r="AT181">
            <v>24347106</v>
          </cell>
          <cell r="AU181">
            <v>24725627</v>
          </cell>
          <cell r="AV181">
            <v>25080872</v>
          </cell>
          <cell r="AW181">
            <v>25419344</v>
          </cell>
          <cell r="AX181">
            <v>25744500</v>
          </cell>
          <cell r="AY181">
            <v>26066693</v>
          </cell>
          <cell r="AZ181">
            <v>26382581</v>
          </cell>
          <cell r="BA181">
            <v>26666576</v>
          </cell>
          <cell r="BB181">
            <v>26883535</v>
          </cell>
          <cell r="BC181">
            <v>27013212</v>
          </cell>
          <cell r="BD181">
            <v>27041437</v>
          </cell>
          <cell r="BE181">
            <v>26989862</v>
          </cell>
          <cell r="BF181">
            <v>26917906</v>
          </cell>
          <cell r="BG181">
            <v>26906926</v>
          </cell>
          <cell r="BH181">
            <v>27015031</v>
          </cell>
          <cell r="BI181">
            <v>27261131</v>
          </cell>
          <cell r="BJ181">
            <v>27627124</v>
          </cell>
          <cell r="BK181">
            <v>28087871</v>
          </cell>
        </row>
        <row r="182">
          <cell r="B182" t="str">
            <v>NRU</v>
          </cell>
          <cell r="C182" t="str">
            <v>Population, total</v>
          </cell>
          <cell r="D182" t="str">
            <v>SP.POP.TOTL</v>
          </cell>
          <cell r="E182">
            <v>4375</v>
          </cell>
          <cell r="F182">
            <v>4632</v>
          </cell>
          <cell r="G182">
            <v>4944</v>
          </cell>
          <cell r="H182">
            <v>5275</v>
          </cell>
          <cell r="I182">
            <v>5592</v>
          </cell>
          <cell r="J182">
            <v>5856</v>
          </cell>
          <cell r="K182">
            <v>6067</v>
          </cell>
          <cell r="L182">
            <v>6223</v>
          </cell>
          <cell r="M182">
            <v>6337</v>
          </cell>
          <cell r="N182">
            <v>6441</v>
          </cell>
          <cell r="O182">
            <v>6552</v>
          </cell>
          <cell r="P182">
            <v>6678</v>
          </cell>
          <cell r="Q182">
            <v>6803</v>
          </cell>
          <cell r="R182">
            <v>6928</v>
          </cell>
          <cell r="S182">
            <v>7058</v>
          </cell>
          <cell r="T182">
            <v>7175</v>
          </cell>
          <cell r="U182">
            <v>7286</v>
          </cell>
          <cell r="V182">
            <v>7399</v>
          </cell>
          <cell r="W182">
            <v>7503</v>
          </cell>
          <cell r="X182">
            <v>7616</v>
          </cell>
          <cell r="Y182">
            <v>7741</v>
          </cell>
          <cell r="Z182">
            <v>7875</v>
          </cell>
          <cell r="AA182">
            <v>8018</v>
          </cell>
          <cell r="AB182">
            <v>8171</v>
          </cell>
          <cell r="AC182">
            <v>8328</v>
          </cell>
          <cell r="AD182">
            <v>8501</v>
          </cell>
          <cell r="AE182">
            <v>8683</v>
          </cell>
          <cell r="AF182">
            <v>8865</v>
          </cell>
          <cell r="AG182">
            <v>9062</v>
          </cell>
          <cell r="AH182">
            <v>9278</v>
          </cell>
          <cell r="AI182">
            <v>9505</v>
          </cell>
          <cell r="AJ182">
            <v>9764</v>
          </cell>
          <cell r="AK182">
            <v>10030</v>
          </cell>
          <cell r="AL182">
            <v>10287</v>
          </cell>
          <cell r="AM182">
            <v>10498</v>
          </cell>
          <cell r="AN182">
            <v>10628</v>
          </cell>
          <cell r="AO182">
            <v>10672</v>
          </cell>
          <cell r="AP182">
            <v>10647</v>
          </cell>
          <cell r="AQ182">
            <v>10565</v>
          </cell>
          <cell r="AR182">
            <v>10449</v>
          </cell>
          <cell r="AS182">
            <v>10337</v>
          </cell>
          <cell r="AT182">
            <v>10215</v>
          </cell>
          <cell r="AU182">
            <v>10102</v>
          </cell>
          <cell r="AV182">
            <v>9994</v>
          </cell>
          <cell r="AW182">
            <v>9902</v>
          </cell>
          <cell r="AX182">
            <v>9849</v>
          </cell>
          <cell r="AY182">
            <v>9828</v>
          </cell>
          <cell r="AZ182">
            <v>9842</v>
          </cell>
          <cell r="BA182">
            <v>9891</v>
          </cell>
          <cell r="BB182">
            <v>9939</v>
          </cell>
          <cell r="BC182">
            <v>10005</v>
          </cell>
          <cell r="BD182">
            <v>10057</v>
          </cell>
          <cell r="BE182">
            <v>10279</v>
          </cell>
          <cell r="BF182">
            <v>10821</v>
          </cell>
          <cell r="BG182">
            <v>11853</v>
          </cell>
          <cell r="BH182">
            <v>12475</v>
          </cell>
          <cell r="BI182">
            <v>13049</v>
          </cell>
          <cell r="BJ182">
            <v>12876</v>
          </cell>
          <cell r="BK182">
            <v>12704</v>
          </cell>
        </row>
        <row r="183">
          <cell r="B183" t="str">
            <v>NZL</v>
          </cell>
          <cell r="C183" t="str">
            <v>Population, total</v>
          </cell>
          <cell r="D183" t="str">
            <v>SP.POP.TOTL</v>
          </cell>
          <cell r="E183">
            <v>2371800</v>
          </cell>
          <cell r="F183">
            <v>2419700</v>
          </cell>
          <cell r="G183">
            <v>2482000</v>
          </cell>
          <cell r="H183">
            <v>2531800</v>
          </cell>
          <cell r="I183">
            <v>2585400</v>
          </cell>
          <cell r="J183">
            <v>2628400</v>
          </cell>
          <cell r="K183">
            <v>2675900</v>
          </cell>
          <cell r="L183">
            <v>2724100</v>
          </cell>
          <cell r="M183">
            <v>2748100</v>
          </cell>
          <cell r="N183">
            <v>2772800</v>
          </cell>
          <cell r="O183">
            <v>2810700</v>
          </cell>
          <cell r="P183">
            <v>2853000</v>
          </cell>
          <cell r="Q183">
            <v>2903900</v>
          </cell>
          <cell r="R183">
            <v>2961300</v>
          </cell>
          <cell r="S183">
            <v>3023700</v>
          </cell>
          <cell r="T183">
            <v>3083100</v>
          </cell>
          <cell r="U183">
            <v>3110500</v>
          </cell>
          <cell r="V183">
            <v>3120200</v>
          </cell>
          <cell r="W183">
            <v>3121200</v>
          </cell>
          <cell r="X183">
            <v>3109000</v>
          </cell>
          <cell r="Y183">
            <v>3112900</v>
          </cell>
          <cell r="Z183">
            <v>3124900</v>
          </cell>
          <cell r="AA183">
            <v>3156100</v>
          </cell>
          <cell r="AB183">
            <v>3199300</v>
          </cell>
          <cell r="AC183">
            <v>3227100</v>
          </cell>
          <cell r="AD183">
            <v>3247100</v>
          </cell>
          <cell r="AE183">
            <v>3246300</v>
          </cell>
          <cell r="AF183">
            <v>3274400</v>
          </cell>
          <cell r="AG183">
            <v>3283400</v>
          </cell>
          <cell r="AH183">
            <v>3299200</v>
          </cell>
          <cell r="AI183">
            <v>3329800</v>
          </cell>
          <cell r="AJ183">
            <v>3495100</v>
          </cell>
          <cell r="AK183">
            <v>3531700</v>
          </cell>
          <cell r="AL183">
            <v>3572200</v>
          </cell>
          <cell r="AM183">
            <v>3620000</v>
          </cell>
          <cell r="AN183">
            <v>3673400</v>
          </cell>
          <cell r="AO183">
            <v>3732000</v>
          </cell>
          <cell r="AP183">
            <v>3781300</v>
          </cell>
          <cell r="AQ183">
            <v>3815000</v>
          </cell>
          <cell r="AR183">
            <v>3835100</v>
          </cell>
          <cell r="AS183">
            <v>3857700</v>
          </cell>
          <cell r="AT183">
            <v>3880500</v>
          </cell>
          <cell r="AU183">
            <v>3948500</v>
          </cell>
          <cell r="AV183">
            <v>4027200</v>
          </cell>
          <cell r="AW183">
            <v>4087500</v>
          </cell>
          <cell r="AX183">
            <v>4133900</v>
          </cell>
          <cell r="AY183">
            <v>4184600</v>
          </cell>
          <cell r="AZ183">
            <v>4223800</v>
          </cell>
          <cell r="BA183">
            <v>4259800</v>
          </cell>
          <cell r="BB183">
            <v>4302600</v>
          </cell>
          <cell r="BC183">
            <v>4350700</v>
          </cell>
          <cell r="BD183">
            <v>4384000</v>
          </cell>
          <cell r="BE183">
            <v>4408100</v>
          </cell>
          <cell r="BF183">
            <v>4442100</v>
          </cell>
          <cell r="BG183">
            <v>4509700</v>
          </cell>
          <cell r="BH183">
            <v>4595700</v>
          </cell>
          <cell r="BI183">
            <v>4693200</v>
          </cell>
          <cell r="BJ183">
            <v>4793900</v>
          </cell>
          <cell r="BK183">
            <v>4841000</v>
          </cell>
        </row>
        <row r="184">
          <cell r="B184" t="str">
            <v>OED</v>
          </cell>
          <cell r="C184" t="str">
            <v>Population, total</v>
          </cell>
          <cell r="D184" t="str">
            <v>SP.POP.TOTL</v>
          </cell>
          <cell r="E184">
            <v>791309222</v>
          </cell>
          <cell r="F184">
            <v>803629386</v>
          </cell>
          <cell r="G184">
            <v>814576858</v>
          </cell>
          <cell r="H184">
            <v>825495463</v>
          </cell>
          <cell r="I184">
            <v>836395330</v>
          </cell>
          <cell r="J184">
            <v>846970817</v>
          </cell>
          <cell r="K184">
            <v>857049045</v>
          </cell>
          <cell r="L184">
            <v>866745021</v>
          </cell>
          <cell r="M184">
            <v>875528057</v>
          </cell>
          <cell r="N184">
            <v>886061016</v>
          </cell>
          <cell r="O184">
            <v>895585273</v>
          </cell>
          <cell r="P184">
            <v>906059367</v>
          </cell>
          <cell r="Q184">
            <v>916286623</v>
          </cell>
          <cell r="R184">
            <v>925600118</v>
          </cell>
          <cell r="S184">
            <v>935983893</v>
          </cell>
          <cell r="T184">
            <v>945871539</v>
          </cell>
          <cell r="U184">
            <v>954394265</v>
          </cell>
          <cell r="V184">
            <v>963138632</v>
          </cell>
          <cell r="W184">
            <v>971910822</v>
          </cell>
          <cell r="X184">
            <v>980829495</v>
          </cell>
          <cell r="Y184">
            <v>989638618</v>
          </cell>
          <cell r="Z184">
            <v>998349556</v>
          </cell>
          <cell r="AA184">
            <v>1006653522</v>
          </cell>
          <cell r="AB184">
            <v>1014600264</v>
          </cell>
          <cell r="AC184">
            <v>1022196070</v>
          </cell>
          <cell r="AD184">
            <v>1029842555</v>
          </cell>
          <cell r="AE184">
            <v>1037777618</v>
          </cell>
          <cell r="AF184">
            <v>1045652901</v>
          </cell>
          <cell r="AG184">
            <v>1053638658</v>
          </cell>
          <cell r="AH184">
            <v>1062081668</v>
          </cell>
          <cell r="AI184">
            <v>1071033942</v>
          </cell>
          <cell r="AJ184">
            <v>1080817111</v>
          </cell>
          <cell r="AK184">
            <v>1090444452</v>
          </cell>
          <cell r="AL184">
            <v>1099606388</v>
          </cell>
          <cell r="AM184">
            <v>1108313712</v>
          </cell>
          <cell r="AN184">
            <v>1116879852</v>
          </cell>
          <cell r="AO184">
            <v>1125172255</v>
          </cell>
          <cell r="AP184">
            <v>1133422874</v>
          </cell>
          <cell r="AQ184">
            <v>1141378668</v>
          </cell>
          <cell r="AR184">
            <v>1149382451</v>
          </cell>
          <cell r="AS184">
            <v>1157244082</v>
          </cell>
          <cell r="AT184">
            <v>1165497846</v>
          </cell>
          <cell r="AU184">
            <v>1173879536</v>
          </cell>
          <cell r="AV184">
            <v>1182206361</v>
          </cell>
          <cell r="AW184">
            <v>1190571071</v>
          </cell>
          <cell r="AX184">
            <v>1198888103</v>
          </cell>
          <cell r="AY184">
            <v>1207587551</v>
          </cell>
          <cell r="AZ184">
            <v>1216472640</v>
          </cell>
          <cell r="BA184">
            <v>1225804612</v>
          </cell>
          <cell r="BB184">
            <v>1234364086</v>
          </cell>
          <cell r="BC184">
            <v>1242309585</v>
          </cell>
          <cell r="BD184">
            <v>1248424526</v>
          </cell>
          <cell r="BE184">
            <v>1256042703</v>
          </cell>
          <cell r="BF184">
            <v>1263987635</v>
          </cell>
          <cell r="BG184">
            <v>1272282569</v>
          </cell>
          <cell r="BH184">
            <v>1280466626</v>
          </cell>
          <cell r="BI184">
            <v>1288747101</v>
          </cell>
          <cell r="BJ184">
            <v>1296225760</v>
          </cell>
          <cell r="BK184">
            <v>1303529456</v>
          </cell>
        </row>
        <row r="185">
          <cell r="B185" t="str">
            <v>OMN</v>
          </cell>
          <cell r="C185" t="str">
            <v>Population, total</v>
          </cell>
          <cell r="D185" t="str">
            <v>SP.POP.TOTL</v>
          </cell>
          <cell r="E185">
            <v>551740</v>
          </cell>
          <cell r="F185">
            <v>564893</v>
          </cell>
          <cell r="G185">
            <v>578823</v>
          </cell>
          <cell r="H185">
            <v>593504</v>
          </cell>
          <cell r="I185">
            <v>608889</v>
          </cell>
          <cell r="J185">
            <v>625009</v>
          </cell>
          <cell r="K185">
            <v>642001</v>
          </cell>
          <cell r="L185">
            <v>660114</v>
          </cell>
          <cell r="M185">
            <v>679595</v>
          </cell>
          <cell r="N185">
            <v>700729</v>
          </cell>
          <cell r="O185">
            <v>723851</v>
          </cell>
          <cell r="P185">
            <v>748968</v>
          </cell>
          <cell r="Q185">
            <v>776380</v>
          </cell>
          <cell r="R185">
            <v>806986</v>
          </cell>
          <cell r="S185">
            <v>841950</v>
          </cell>
          <cell r="T185">
            <v>882047</v>
          </cell>
          <cell r="U185">
            <v>927436</v>
          </cell>
          <cell r="V185">
            <v>977804</v>
          </cell>
          <cell r="W185">
            <v>1032799</v>
          </cell>
          <cell r="X185">
            <v>1091852</v>
          </cell>
          <cell r="Y185">
            <v>1154377</v>
          </cell>
          <cell r="Z185">
            <v>1220585</v>
          </cell>
          <cell r="AA185">
            <v>1290111</v>
          </cell>
          <cell r="AB185">
            <v>1361087</v>
          </cell>
          <cell r="AC185">
            <v>1431070</v>
          </cell>
          <cell r="AD185">
            <v>1498418</v>
          </cell>
          <cell r="AE185">
            <v>1561185</v>
          </cell>
          <cell r="AF185">
            <v>1619863</v>
          </cell>
          <cell r="AG185">
            <v>1678110</v>
          </cell>
          <cell r="AH185">
            <v>1741156</v>
          </cell>
          <cell r="AI185">
            <v>1812161</v>
          </cell>
          <cell r="AJ185">
            <v>1893768</v>
          </cell>
          <cell r="AK185">
            <v>1983275</v>
          </cell>
          <cell r="AL185">
            <v>2072104</v>
          </cell>
          <cell r="AM185">
            <v>2148419</v>
          </cell>
          <cell r="AN185">
            <v>2204277</v>
          </cell>
          <cell r="AO185">
            <v>2236654</v>
          </cell>
          <cell r="AP185">
            <v>2249762</v>
          </cell>
          <cell r="AQ185">
            <v>2251864</v>
          </cell>
          <cell r="AR185">
            <v>2254904</v>
          </cell>
          <cell r="AS185">
            <v>2267973</v>
          </cell>
          <cell r="AT185">
            <v>2294962</v>
          </cell>
          <cell r="AU185">
            <v>2334858</v>
          </cell>
          <cell r="AV185">
            <v>2386166</v>
          </cell>
          <cell r="AW185">
            <v>2445517</v>
          </cell>
          <cell r="AX185">
            <v>2511251</v>
          </cell>
          <cell r="AY185">
            <v>2580758</v>
          </cell>
          <cell r="AZ185">
            <v>2657158</v>
          </cell>
          <cell r="BA185">
            <v>2750963</v>
          </cell>
          <cell r="BB185">
            <v>2876186</v>
          </cell>
          <cell r="BC185">
            <v>3041434</v>
          </cell>
          <cell r="BD185">
            <v>3251108</v>
          </cell>
          <cell r="BE185">
            <v>3498029</v>
          </cell>
          <cell r="BF185">
            <v>3764805</v>
          </cell>
          <cell r="BG185">
            <v>4027260</v>
          </cell>
          <cell r="BH185">
            <v>4267348</v>
          </cell>
          <cell r="BI185">
            <v>4479219</v>
          </cell>
          <cell r="BJ185">
            <v>4665935</v>
          </cell>
          <cell r="BK185">
            <v>4829483</v>
          </cell>
        </row>
        <row r="186">
          <cell r="B186" t="str">
            <v>OSS</v>
          </cell>
          <cell r="C186" t="str">
            <v>Population, total</v>
          </cell>
          <cell r="D186" t="str">
            <v>SP.POP.TOTL</v>
          </cell>
          <cell r="E186">
            <v>9151857</v>
          </cell>
          <cell r="F186">
            <v>9315842</v>
          </cell>
          <cell r="G186">
            <v>9485204</v>
          </cell>
          <cell r="H186">
            <v>9659445</v>
          </cell>
          <cell r="I186">
            <v>9840384</v>
          </cell>
          <cell r="J186">
            <v>10026016</v>
          </cell>
          <cell r="K186">
            <v>10214279</v>
          </cell>
          <cell r="L186">
            <v>10406026</v>
          </cell>
          <cell r="M186">
            <v>10606249</v>
          </cell>
          <cell r="N186">
            <v>10813743</v>
          </cell>
          <cell r="O186">
            <v>11029142</v>
          </cell>
          <cell r="P186">
            <v>11255183</v>
          </cell>
          <cell r="Q186">
            <v>11488089</v>
          </cell>
          <cell r="R186">
            <v>11725327</v>
          </cell>
          <cell r="S186">
            <v>11968103</v>
          </cell>
          <cell r="T186">
            <v>12219436</v>
          </cell>
          <cell r="U186">
            <v>12475022</v>
          </cell>
          <cell r="V186">
            <v>12737735</v>
          </cell>
          <cell r="W186">
            <v>13008031</v>
          </cell>
          <cell r="X186">
            <v>13294830</v>
          </cell>
          <cell r="Y186">
            <v>13598543</v>
          </cell>
          <cell r="Z186">
            <v>13917162</v>
          </cell>
          <cell r="AA186">
            <v>14253289</v>
          </cell>
          <cell r="AB186">
            <v>14600203</v>
          </cell>
          <cell r="AC186">
            <v>14962381</v>
          </cell>
          <cell r="AD186">
            <v>15347583</v>
          </cell>
          <cell r="AE186">
            <v>15754507</v>
          </cell>
          <cell r="AF186">
            <v>16180181</v>
          </cell>
          <cell r="AG186">
            <v>16610017</v>
          </cell>
          <cell r="AH186">
            <v>17031547</v>
          </cell>
          <cell r="AI186">
            <v>17430779</v>
          </cell>
          <cell r="AJ186">
            <v>17813831</v>
          </cell>
          <cell r="AK186">
            <v>18156566</v>
          </cell>
          <cell r="AL186">
            <v>18476081</v>
          </cell>
          <cell r="AM186">
            <v>18801065</v>
          </cell>
          <cell r="AN186">
            <v>19125016</v>
          </cell>
          <cell r="AO186">
            <v>19460594</v>
          </cell>
          <cell r="AP186">
            <v>19809624</v>
          </cell>
          <cell r="AQ186">
            <v>20163885</v>
          </cell>
          <cell r="AR186">
            <v>20540138</v>
          </cell>
          <cell r="AS186">
            <v>20917092</v>
          </cell>
          <cell r="AT186">
            <v>21276743</v>
          </cell>
          <cell r="AU186">
            <v>21639132</v>
          </cell>
          <cell r="AV186">
            <v>22018494</v>
          </cell>
          <cell r="AW186">
            <v>22442101</v>
          </cell>
          <cell r="AX186">
            <v>22929109</v>
          </cell>
          <cell r="AY186">
            <v>23486218</v>
          </cell>
          <cell r="AZ186">
            <v>24104670</v>
          </cell>
          <cell r="BA186">
            <v>24762406</v>
          </cell>
          <cell r="BB186">
            <v>25417830</v>
          </cell>
          <cell r="BC186">
            <v>26050942</v>
          </cell>
          <cell r="BD186">
            <v>26647962</v>
          </cell>
          <cell r="BE186">
            <v>27227319</v>
          </cell>
          <cell r="BF186">
            <v>27794595</v>
          </cell>
          <cell r="BG186">
            <v>28364410</v>
          </cell>
          <cell r="BH186">
            <v>28948869</v>
          </cell>
          <cell r="BI186">
            <v>29542879</v>
          </cell>
          <cell r="BJ186">
            <v>30148800</v>
          </cell>
          <cell r="BK186">
            <v>30758989</v>
          </cell>
        </row>
        <row r="187">
          <cell r="B187" t="str">
            <v>PAK</v>
          </cell>
          <cell r="C187" t="str">
            <v>Population, total</v>
          </cell>
          <cell r="D187" t="str">
            <v>SP.POP.TOTL</v>
          </cell>
          <cell r="E187">
            <v>44988690</v>
          </cell>
          <cell r="F187">
            <v>46065231</v>
          </cell>
          <cell r="G187">
            <v>47198878</v>
          </cell>
          <cell r="H187">
            <v>48387301</v>
          </cell>
          <cell r="I187">
            <v>49627623</v>
          </cell>
          <cell r="J187">
            <v>50917975</v>
          </cell>
          <cell r="K187">
            <v>52260189</v>
          </cell>
          <cell r="L187">
            <v>53655789</v>
          </cell>
          <cell r="M187">
            <v>55102684</v>
          </cell>
          <cell r="N187">
            <v>56598144</v>
          </cell>
          <cell r="O187">
            <v>58142060</v>
          </cell>
          <cell r="P187">
            <v>59734481</v>
          </cell>
          <cell r="Q187">
            <v>61381987</v>
          </cell>
          <cell r="R187">
            <v>63099406</v>
          </cell>
          <cell r="S187">
            <v>64905998</v>
          </cell>
          <cell r="T187">
            <v>66816877</v>
          </cell>
          <cell r="U187">
            <v>68834326</v>
          </cell>
          <cell r="V187">
            <v>70958169</v>
          </cell>
          <cell r="W187">
            <v>73197258</v>
          </cell>
          <cell r="X187">
            <v>75561131</v>
          </cell>
          <cell r="Y187">
            <v>78054343</v>
          </cell>
          <cell r="Z187">
            <v>80680459</v>
          </cell>
          <cell r="AA187">
            <v>83431605</v>
          </cell>
          <cell r="AB187">
            <v>86285935</v>
          </cell>
          <cell r="AC187">
            <v>89213706</v>
          </cell>
          <cell r="AD187">
            <v>92191510</v>
          </cell>
          <cell r="AE187">
            <v>95215378</v>
          </cell>
          <cell r="AF187">
            <v>98285755</v>
          </cell>
          <cell r="AG187">
            <v>101389603</v>
          </cell>
          <cell r="AH187">
            <v>104512881</v>
          </cell>
          <cell r="AI187">
            <v>107647921</v>
          </cell>
          <cell r="AJ187">
            <v>110778648</v>
          </cell>
          <cell r="AK187">
            <v>113911126</v>
          </cell>
          <cell r="AL187">
            <v>117086685</v>
          </cell>
          <cell r="AM187">
            <v>120362762</v>
          </cell>
          <cell r="AN187">
            <v>123776839</v>
          </cell>
          <cell r="AO187">
            <v>127349290</v>
          </cell>
          <cell r="AP187">
            <v>131057431</v>
          </cell>
          <cell r="AQ187">
            <v>134843233</v>
          </cell>
          <cell r="AR187">
            <v>138624621</v>
          </cell>
          <cell r="AS187">
            <v>142343578</v>
          </cell>
          <cell r="AT187">
            <v>145978402</v>
          </cell>
          <cell r="AU187">
            <v>149549700</v>
          </cell>
          <cell r="AV187">
            <v>153093373</v>
          </cell>
          <cell r="AW187">
            <v>156664697</v>
          </cell>
          <cell r="AX187">
            <v>160304008</v>
          </cell>
          <cell r="AY187">
            <v>164022627</v>
          </cell>
          <cell r="AZ187">
            <v>167808105</v>
          </cell>
          <cell r="BA187">
            <v>171648986</v>
          </cell>
          <cell r="BB187">
            <v>175525609</v>
          </cell>
          <cell r="BC187">
            <v>179424641</v>
          </cell>
          <cell r="BD187">
            <v>183340592</v>
          </cell>
          <cell r="BE187">
            <v>187281475</v>
          </cell>
          <cell r="BF187">
            <v>191262919</v>
          </cell>
          <cell r="BG187">
            <v>195306825</v>
          </cell>
          <cell r="BH187">
            <v>199426964</v>
          </cell>
          <cell r="BI187">
            <v>203627284</v>
          </cell>
          <cell r="BJ187">
            <v>207896686</v>
          </cell>
          <cell r="BK187">
            <v>212215030</v>
          </cell>
        </row>
        <row r="188">
          <cell r="B188" t="str">
            <v>PAN</v>
          </cell>
          <cell r="C188" t="str">
            <v>Population, total</v>
          </cell>
          <cell r="D188" t="str">
            <v>SP.POP.TOTL</v>
          </cell>
          <cell r="E188">
            <v>1132997</v>
          </cell>
          <cell r="F188">
            <v>1167113</v>
          </cell>
          <cell r="G188">
            <v>1202449</v>
          </cell>
          <cell r="H188">
            <v>1238889</v>
          </cell>
          <cell r="I188">
            <v>1276331</v>
          </cell>
          <cell r="J188">
            <v>1314677</v>
          </cell>
          <cell r="K188">
            <v>1353842</v>
          </cell>
          <cell r="L188">
            <v>1393825</v>
          </cell>
          <cell r="M188">
            <v>1434669</v>
          </cell>
          <cell r="N188">
            <v>1476481</v>
          </cell>
          <cell r="O188">
            <v>1519285</v>
          </cell>
          <cell r="P188">
            <v>1563093</v>
          </cell>
          <cell r="Q188">
            <v>1607796</v>
          </cell>
          <cell r="R188">
            <v>1653212</v>
          </cell>
          <cell r="S188">
            <v>1699054</v>
          </cell>
          <cell r="T188">
            <v>1745138</v>
          </cell>
          <cell r="U188">
            <v>1791380</v>
          </cell>
          <cell r="V188">
            <v>1837800</v>
          </cell>
          <cell r="W188">
            <v>1884424</v>
          </cell>
          <cell r="X188">
            <v>1931304</v>
          </cell>
          <cell r="Y188">
            <v>1978487</v>
          </cell>
          <cell r="Z188">
            <v>2025971</v>
          </cell>
          <cell r="AA188">
            <v>2073757</v>
          </cell>
          <cell r="AB188">
            <v>2121860</v>
          </cell>
          <cell r="AC188">
            <v>2170325</v>
          </cell>
          <cell r="AD188">
            <v>2219201</v>
          </cell>
          <cell r="AE188">
            <v>2268500</v>
          </cell>
          <cell r="AF188">
            <v>2318264</v>
          </cell>
          <cell r="AG188">
            <v>2368551</v>
          </cell>
          <cell r="AH188">
            <v>2419426</v>
          </cell>
          <cell r="AI188">
            <v>2470947</v>
          </cell>
          <cell r="AJ188">
            <v>2523118</v>
          </cell>
          <cell r="AK188">
            <v>2575954</v>
          </cell>
          <cell r="AL188">
            <v>2629580</v>
          </cell>
          <cell r="AM188">
            <v>2684116</v>
          </cell>
          <cell r="AN188">
            <v>2739668</v>
          </cell>
          <cell r="AO188">
            <v>2796291</v>
          </cell>
          <cell r="AP188">
            <v>2853913</v>
          </cell>
          <cell r="AQ188">
            <v>2912316</v>
          </cell>
          <cell r="AR188">
            <v>2971196</v>
          </cell>
          <cell r="AS188">
            <v>3030328</v>
          </cell>
          <cell r="AT188">
            <v>3089648</v>
          </cell>
          <cell r="AU188">
            <v>3149188</v>
          </cell>
          <cell r="AV188">
            <v>3209048</v>
          </cell>
          <cell r="AW188">
            <v>3269356</v>
          </cell>
          <cell r="AX188">
            <v>3330217</v>
          </cell>
          <cell r="AY188">
            <v>3391666</v>
          </cell>
          <cell r="AZ188">
            <v>3453675</v>
          </cell>
          <cell r="BA188">
            <v>3516204</v>
          </cell>
          <cell r="BB188">
            <v>3579215</v>
          </cell>
          <cell r="BC188">
            <v>3642687</v>
          </cell>
          <cell r="BD188">
            <v>3706483</v>
          </cell>
          <cell r="BE188">
            <v>3770624</v>
          </cell>
          <cell r="BF188">
            <v>3835437</v>
          </cell>
          <cell r="BG188">
            <v>3901315</v>
          </cell>
          <cell r="BH188">
            <v>3968487</v>
          </cell>
          <cell r="BI188">
            <v>4037078</v>
          </cell>
          <cell r="BJ188">
            <v>4106771</v>
          </cell>
          <cell r="BK188">
            <v>4176873</v>
          </cell>
        </row>
        <row r="189">
          <cell r="B189" t="str">
            <v>PER</v>
          </cell>
          <cell r="C189" t="str">
            <v>Population, total</v>
          </cell>
          <cell r="D189" t="str">
            <v>SP.POP.TOTL</v>
          </cell>
          <cell r="E189">
            <v>10155015</v>
          </cell>
          <cell r="F189">
            <v>10446620</v>
          </cell>
          <cell r="G189">
            <v>10749466</v>
          </cell>
          <cell r="H189">
            <v>11062300</v>
          </cell>
          <cell r="I189">
            <v>11383373</v>
          </cell>
          <cell r="J189">
            <v>11711392</v>
          </cell>
          <cell r="K189">
            <v>12045787</v>
          </cell>
          <cell r="L189">
            <v>12386879</v>
          </cell>
          <cell r="M189">
            <v>12735486</v>
          </cell>
          <cell r="N189">
            <v>13092852</v>
          </cell>
          <cell r="O189">
            <v>13459794</v>
          </cell>
          <cell r="P189">
            <v>13836367</v>
          </cell>
          <cell r="Q189">
            <v>14221961</v>
          </cell>
          <cell r="R189">
            <v>14615845</v>
          </cell>
          <cell r="S189">
            <v>15017055</v>
          </cell>
          <cell r="T189">
            <v>15424744</v>
          </cell>
          <cell r="U189">
            <v>15838572</v>
          </cell>
          <cell r="V189">
            <v>16258321</v>
          </cell>
          <cell r="W189">
            <v>16683456</v>
          </cell>
          <cell r="X189">
            <v>17113388</v>
          </cell>
          <cell r="Y189">
            <v>17547610</v>
          </cell>
          <cell r="Z189">
            <v>17985393</v>
          </cell>
          <cell r="AA189">
            <v>18426415</v>
          </cell>
          <cell r="AB189">
            <v>18870993</v>
          </cell>
          <cell r="AC189">
            <v>19319746</v>
          </cell>
          <cell r="AD189">
            <v>19772872</v>
          </cell>
          <cell r="AE189">
            <v>20230384</v>
          </cell>
          <cell r="AF189">
            <v>20691283</v>
          </cell>
          <cell r="AG189">
            <v>21153459</v>
          </cell>
          <cell r="AH189">
            <v>21614193</v>
          </cell>
          <cell r="AI189">
            <v>22071433</v>
          </cell>
          <cell r="AJ189">
            <v>22522378</v>
          </cell>
          <cell r="AK189">
            <v>22966818</v>
          </cell>
          <cell r="AL189">
            <v>23408131</v>
          </cell>
          <cell r="AM189">
            <v>23851408</v>
          </cell>
          <cell r="AN189">
            <v>24299160</v>
          </cell>
          <cell r="AO189">
            <v>24753824</v>
          </cell>
          <cell r="AP189">
            <v>25210954</v>
          </cell>
          <cell r="AQ189">
            <v>25658062</v>
          </cell>
          <cell r="AR189">
            <v>26078293</v>
          </cell>
          <cell r="AS189">
            <v>26459944</v>
          </cell>
          <cell r="AT189">
            <v>26799285</v>
          </cell>
          <cell r="AU189">
            <v>27100968</v>
          </cell>
          <cell r="AV189">
            <v>27372226</v>
          </cell>
          <cell r="AW189">
            <v>27624213</v>
          </cell>
          <cell r="AX189">
            <v>27866145</v>
          </cell>
          <cell r="AY189">
            <v>28102056</v>
          </cell>
          <cell r="AZ189">
            <v>28333052</v>
          </cell>
          <cell r="BA189">
            <v>28562317</v>
          </cell>
          <cell r="BB189">
            <v>28792655</v>
          </cell>
          <cell r="BC189">
            <v>29027674</v>
          </cell>
          <cell r="BD189">
            <v>29264318</v>
          </cell>
          <cell r="BE189">
            <v>29506788</v>
          </cell>
          <cell r="BF189">
            <v>29773987</v>
          </cell>
          <cell r="BG189">
            <v>30090359</v>
          </cell>
          <cell r="BH189">
            <v>30470734</v>
          </cell>
          <cell r="BI189">
            <v>30926032</v>
          </cell>
          <cell r="BJ189">
            <v>31444297</v>
          </cell>
          <cell r="BK189">
            <v>31989256</v>
          </cell>
        </row>
        <row r="190">
          <cell r="B190" t="str">
            <v>PHL</v>
          </cell>
          <cell r="C190" t="str">
            <v>Population, total</v>
          </cell>
          <cell r="D190" t="str">
            <v>SP.POP.TOTL</v>
          </cell>
          <cell r="E190">
            <v>26269734</v>
          </cell>
          <cell r="F190">
            <v>27161047</v>
          </cell>
          <cell r="G190">
            <v>28077339</v>
          </cell>
          <cell r="H190">
            <v>29012625</v>
          </cell>
          <cell r="I190">
            <v>29958688</v>
          </cell>
          <cell r="J190">
            <v>30909988</v>
          </cell>
          <cell r="K190">
            <v>31864182</v>
          </cell>
          <cell r="L190">
            <v>32823968</v>
          </cell>
          <cell r="M190">
            <v>33795194</v>
          </cell>
          <cell r="N190">
            <v>34786305</v>
          </cell>
          <cell r="O190">
            <v>35803594</v>
          </cell>
          <cell r="P190">
            <v>36849675</v>
          </cell>
          <cell r="Q190">
            <v>37923396</v>
          </cell>
          <cell r="R190">
            <v>39022767</v>
          </cell>
          <cell r="S190">
            <v>40144248</v>
          </cell>
          <cell r="T190">
            <v>41285742</v>
          </cell>
          <cell r="U190">
            <v>42446653</v>
          </cell>
          <cell r="V190">
            <v>43629412</v>
          </cell>
          <cell r="W190">
            <v>44838483</v>
          </cell>
          <cell r="X190">
            <v>46079850</v>
          </cell>
          <cell r="Y190">
            <v>47357743</v>
          </cell>
          <cell r="Z190">
            <v>48672838</v>
          </cell>
          <cell r="AA190">
            <v>50023563</v>
          </cell>
          <cell r="AB190">
            <v>51408912</v>
          </cell>
          <cell r="AC190">
            <v>52827040</v>
          </cell>
          <cell r="AD190">
            <v>54275822</v>
          </cell>
          <cell r="AE190">
            <v>55755355</v>
          </cell>
          <cell r="AF190">
            <v>57263836</v>
          </cell>
          <cell r="AG190">
            <v>58795001</v>
          </cell>
          <cell r="AH190">
            <v>60340767</v>
          </cell>
          <cell r="AI190">
            <v>61895160</v>
          </cell>
          <cell r="AJ190">
            <v>63454786</v>
          </cell>
          <cell r="AK190">
            <v>65020116</v>
          </cell>
          <cell r="AL190">
            <v>66593904</v>
          </cell>
          <cell r="AM190">
            <v>68180859</v>
          </cell>
          <cell r="AN190">
            <v>69784088</v>
          </cell>
          <cell r="AO190">
            <v>71401749</v>
          </cell>
          <cell r="AP190">
            <v>73030884</v>
          </cell>
          <cell r="AQ190">
            <v>74672014</v>
          </cell>
          <cell r="AR190">
            <v>76325927</v>
          </cell>
          <cell r="AS190">
            <v>77991755</v>
          </cell>
          <cell r="AT190">
            <v>79672873</v>
          </cell>
          <cell r="AU190">
            <v>81365258</v>
          </cell>
          <cell r="AV190">
            <v>83051971</v>
          </cell>
          <cell r="AW190">
            <v>84710542</v>
          </cell>
          <cell r="AX190">
            <v>86326250</v>
          </cell>
          <cell r="AY190">
            <v>87888675</v>
          </cell>
          <cell r="AZ190">
            <v>89405482</v>
          </cell>
          <cell r="BA190">
            <v>90901965</v>
          </cell>
          <cell r="BB190">
            <v>92414158</v>
          </cell>
          <cell r="BC190">
            <v>93966780</v>
          </cell>
          <cell r="BD190">
            <v>95570047</v>
          </cell>
          <cell r="BE190">
            <v>97212638</v>
          </cell>
          <cell r="BF190">
            <v>98871552</v>
          </cell>
          <cell r="BG190">
            <v>100513138</v>
          </cell>
          <cell r="BH190">
            <v>102113212</v>
          </cell>
          <cell r="BI190">
            <v>103663927</v>
          </cell>
          <cell r="BJ190">
            <v>105173264</v>
          </cell>
          <cell r="BK190">
            <v>106651922</v>
          </cell>
        </row>
        <row r="191">
          <cell r="B191" t="str">
            <v>PLW</v>
          </cell>
          <cell r="C191" t="str">
            <v>Population, total</v>
          </cell>
          <cell r="D191" t="str">
            <v>SP.POP.TOTL</v>
          </cell>
          <cell r="E191">
            <v>9771</v>
          </cell>
          <cell r="F191">
            <v>10049</v>
          </cell>
          <cell r="G191">
            <v>10317</v>
          </cell>
          <cell r="H191">
            <v>10569</v>
          </cell>
          <cell r="I191">
            <v>10799</v>
          </cell>
          <cell r="J191">
            <v>11003</v>
          </cell>
          <cell r="K191">
            <v>11179</v>
          </cell>
          <cell r="L191">
            <v>11326</v>
          </cell>
          <cell r="M191">
            <v>11464</v>
          </cell>
          <cell r="N191">
            <v>11618</v>
          </cell>
          <cell r="O191">
            <v>11811</v>
          </cell>
          <cell r="P191">
            <v>12053</v>
          </cell>
          <cell r="Q191">
            <v>12340</v>
          </cell>
          <cell r="R191">
            <v>12628</v>
          </cell>
          <cell r="S191">
            <v>12831</v>
          </cell>
          <cell r="T191">
            <v>12904</v>
          </cell>
          <cell r="U191">
            <v>12837</v>
          </cell>
          <cell r="V191">
            <v>12646</v>
          </cell>
          <cell r="W191">
            <v>12403</v>
          </cell>
          <cell r="X191">
            <v>12229</v>
          </cell>
          <cell r="Y191">
            <v>12179</v>
          </cell>
          <cell r="Z191">
            <v>12279</v>
          </cell>
          <cell r="AA191">
            <v>12516</v>
          </cell>
          <cell r="AB191">
            <v>12843</v>
          </cell>
          <cell r="AC191">
            <v>13195</v>
          </cell>
          <cell r="AD191">
            <v>13528</v>
          </cell>
          <cell r="AE191">
            <v>13831</v>
          </cell>
          <cell r="AF191">
            <v>14123</v>
          </cell>
          <cell r="AG191">
            <v>14402</v>
          </cell>
          <cell r="AH191">
            <v>14709</v>
          </cell>
          <cell r="AI191">
            <v>15058</v>
          </cell>
          <cell r="AJ191">
            <v>15441</v>
          </cell>
          <cell r="AK191">
            <v>15856</v>
          </cell>
          <cell r="AL191">
            <v>16290</v>
          </cell>
          <cell r="AM191">
            <v>16717</v>
          </cell>
          <cell r="AN191">
            <v>17164</v>
          </cell>
          <cell r="AO191">
            <v>17593</v>
          </cell>
          <cell r="AP191">
            <v>18014</v>
          </cell>
          <cell r="AQ191">
            <v>18410</v>
          </cell>
          <cell r="AR191">
            <v>18776</v>
          </cell>
          <cell r="AS191">
            <v>19105</v>
          </cell>
          <cell r="AT191">
            <v>19386</v>
          </cell>
          <cell r="AU191">
            <v>19637</v>
          </cell>
          <cell r="AV191">
            <v>19809</v>
          </cell>
          <cell r="AW191">
            <v>19867</v>
          </cell>
          <cell r="AX191">
            <v>19781</v>
          </cell>
          <cell r="AY191">
            <v>19540</v>
          </cell>
          <cell r="AZ191">
            <v>19158</v>
          </cell>
          <cell r="BA191">
            <v>18704</v>
          </cell>
          <cell r="BB191">
            <v>18285</v>
          </cell>
          <cell r="BC191">
            <v>17955</v>
          </cell>
          <cell r="BD191">
            <v>17745</v>
          </cell>
          <cell r="BE191">
            <v>17640</v>
          </cell>
          <cell r="BF191">
            <v>17606</v>
          </cell>
          <cell r="BG191">
            <v>17626</v>
          </cell>
          <cell r="BH191">
            <v>17665</v>
          </cell>
          <cell r="BI191">
            <v>17725</v>
          </cell>
          <cell r="BJ191">
            <v>17808</v>
          </cell>
          <cell r="BK191">
            <v>17907</v>
          </cell>
        </row>
        <row r="192">
          <cell r="B192" t="str">
            <v>PNG</v>
          </cell>
          <cell r="C192" t="str">
            <v>Population, total</v>
          </cell>
          <cell r="D192" t="str">
            <v>SP.POP.TOTL</v>
          </cell>
          <cell r="E192">
            <v>2255859</v>
          </cell>
          <cell r="F192">
            <v>2297059</v>
          </cell>
          <cell r="G192">
            <v>2340352</v>
          </cell>
          <cell r="H192">
            <v>2385946</v>
          </cell>
          <cell r="I192">
            <v>2434223</v>
          </cell>
          <cell r="J192">
            <v>2485437</v>
          </cell>
          <cell r="K192">
            <v>2539674</v>
          </cell>
          <cell r="L192">
            <v>2596820</v>
          </cell>
          <cell r="M192">
            <v>2656633</v>
          </cell>
          <cell r="N192">
            <v>2718811</v>
          </cell>
          <cell r="O192">
            <v>2783121</v>
          </cell>
          <cell r="P192">
            <v>2849532</v>
          </cell>
          <cell r="Q192">
            <v>2918139</v>
          </cell>
          <cell r="R192">
            <v>2989202</v>
          </cell>
          <cell r="S192">
            <v>3063049</v>
          </cell>
          <cell r="T192">
            <v>3139945</v>
          </cell>
          <cell r="U192">
            <v>3219829</v>
          </cell>
          <cell r="V192">
            <v>3302633</v>
          </cell>
          <cell r="W192">
            <v>3388618</v>
          </cell>
          <cell r="X192">
            <v>3478100</v>
          </cell>
          <cell r="Y192">
            <v>3571205</v>
          </cell>
          <cell r="Z192">
            <v>3668104</v>
          </cell>
          <cell r="AA192">
            <v>3768483</v>
          </cell>
          <cell r="AB192">
            <v>3871492</v>
          </cell>
          <cell r="AC192">
            <v>3975956</v>
          </cell>
          <cell r="AD192">
            <v>4081030</v>
          </cell>
          <cell r="AE192">
            <v>4186499</v>
          </cell>
          <cell r="AF192">
            <v>4292563</v>
          </cell>
          <cell r="AG192">
            <v>4399324</v>
          </cell>
          <cell r="AH192">
            <v>4506991</v>
          </cell>
          <cell r="AI192">
            <v>4615839</v>
          </cell>
          <cell r="AJ192">
            <v>4725547</v>
          </cell>
          <cell r="AK192">
            <v>4836217</v>
          </cell>
          <cell r="AL192">
            <v>4949051</v>
          </cell>
          <cell r="AM192">
            <v>5065661</v>
          </cell>
          <cell r="AN192">
            <v>5187060</v>
          </cell>
          <cell r="AO192">
            <v>5314248</v>
          </cell>
          <cell r="AP192">
            <v>5446641</v>
          </cell>
          <cell r="AQ192">
            <v>5581762</v>
          </cell>
          <cell r="AR192">
            <v>5716161</v>
          </cell>
          <cell r="AS192">
            <v>5847586</v>
          </cell>
          <cell r="AT192">
            <v>5974629</v>
          </cell>
          <cell r="AU192">
            <v>6098621</v>
          </cell>
          <cell r="AV192">
            <v>6223377</v>
          </cell>
          <cell r="AW192">
            <v>6354245</v>
          </cell>
          <cell r="AX192">
            <v>6494903</v>
          </cell>
          <cell r="AY192">
            <v>6646895</v>
          </cell>
          <cell r="AZ192">
            <v>6808514</v>
          </cell>
          <cell r="BA192">
            <v>6976201</v>
          </cell>
          <cell r="BB192">
            <v>7144776</v>
          </cell>
          <cell r="BC192">
            <v>7310507</v>
          </cell>
          <cell r="BD192">
            <v>7472200</v>
          </cell>
          <cell r="BE192">
            <v>7631002</v>
          </cell>
          <cell r="BF192">
            <v>7788379</v>
          </cell>
          <cell r="BG192">
            <v>7946731</v>
          </cell>
          <cell r="BH192">
            <v>8107775</v>
          </cell>
          <cell r="BI192">
            <v>8271760</v>
          </cell>
          <cell r="BJ192">
            <v>8438029</v>
          </cell>
          <cell r="BK192">
            <v>8606316</v>
          </cell>
        </row>
        <row r="193">
          <cell r="B193" t="str">
            <v>POL</v>
          </cell>
          <cell r="C193" t="str">
            <v>Population, total</v>
          </cell>
          <cell r="D193" t="str">
            <v>SP.POP.TOTL</v>
          </cell>
          <cell r="E193">
            <v>29637450</v>
          </cell>
          <cell r="F193">
            <v>29964000</v>
          </cell>
          <cell r="G193">
            <v>30308500</v>
          </cell>
          <cell r="H193">
            <v>30712000</v>
          </cell>
          <cell r="I193">
            <v>31139450</v>
          </cell>
          <cell r="J193">
            <v>31444950</v>
          </cell>
          <cell r="K193">
            <v>31681000</v>
          </cell>
          <cell r="L193">
            <v>31987155</v>
          </cell>
          <cell r="M193">
            <v>32294655</v>
          </cell>
          <cell r="N193">
            <v>32548300</v>
          </cell>
          <cell r="O193">
            <v>32664300</v>
          </cell>
          <cell r="P193">
            <v>32783500</v>
          </cell>
          <cell r="Q193">
            <v>33055650</v>
          </cell>
          <cell r="R193">
            <v>33357200</v>
          </cell>
          <cell r="S193">
            <v>33678899</v>
          </cell>
          <cell r="T193">
            <v>34015199</v>
          </cell>
          <cell r="U193">
            <v>34356300</v>
          </cell>
          <cell r="V193">
            <v>34689050</v>
          </cell>
          <cell r="W193">
            <v>34965600</v>
          </cell>
          <cell r="X193">
            <v>35247217</v>
          </cell>
          <cell r="Y193">
            <v>35574150</v>
          </cell>
          <cell r="Z193">
            <v>35898587</v>
          </cell>
          <cell r="AA193">
            <v>36230481</v>
          </cell>
          <cell r="AB193">
            <v>36571808</v>
          </cell>
          <cell r="AC193">
            <v>36904134</v>
          </cell>
          <cell r="AD193">
            <v>37201885</v>
          </cell>
          <cell r="AE193">
            <v>37456119</v>
          </cell>
          <cell r="AF193">
            <v>37668045</v>
          </cell>
          <cell r="AG193">
            <v>37824487</v>
          </cell>
          <cell r="AH193">
            <v>37961529</v>
          </cell>
          <cell r="AI193">
            <v>38110782</v>
          </cell>
          <cell r="AJ193">
            <v>38246193</v>
          </cell>
          <cell r="AK193">
            <v>38363667</v>
          </cell>
          <cell r="AL193">
            <v>38461408</v>
          </cell>
          <cell r="AM193">
            <v>38542652</v>
          </cell>
          <cell r="AN193">
            <v>38594998</v>
          </cell>
          <cell r="AO193">
            <v>38624370</v>
          </cell>
          <cell r="AP193">
            <v>38649660</v>
          </cell>
          <cell r="AQ193">
            <v>38663481</v>
          </cell>
          <cell r="AR193">
            <v>38660271</v>
          </cell>
          <cell r="AS193">
            <v>38258629</v>
          </cell>
          <cell r="AT193">
            <v>38248076</v>
          </cell>
          <cell r="AU193">
            <v>38230364</v>
          </cell>
          <cell r="AV193">
            <v>38204570</v>
          </cell>
          <cell r="AW193">
            <v>38182222</v>
          </cell>
          <cell r="AX193">
            <v>38165445</v>
          </cell>
          <cell r="AY193">
            <v>38141267</v>
          </cell>
          <cell r="AZ193">
            <v>38120560</v>
          </cell>
          <cell r="BA193">
            <v>38125759</v>
          </cell>
          <cell r="BB193">
            <v>38151603</v>
          </cell>
          <cell r="BC193">
            <v>38042794</v>
          </cell>
          <cell r="BD193">
            <v>38063255</v>
          </cell>
          <cell r="BE193">
            <v>38063164</v>
          </cell>
          <cell r="BF193">
            <v>38040196</v>
          </cell>
          <cell r="BG193">
            <v>38011735</v>
          </cell>
          <cell r="BH193">
            <v>37986412</v>
          </cell>
          <cell r="BI193">
            <v>37970087</v>
          </cell>
          <cell r="BJ193">
            <v>37974826</v>
          </cell>
          <cell r="BK193">
            <v>37974750</v>
          </cell>
        </row>
        <row r="194">
          <cell r="B194" t="str">
            <v>PRE</v>
          </cell>
          <cell r="C194" t="str">
            <v>Population, total</v>
          </cell>
          <cell r="D194" t="str">
            <v>SP.POP.TOTL</v>
          </cell>
          <cell r="E194">
            <v>187617091</v>
          </cell>
          <cell r="F194">
            <v>191889701</v>
          </cell>
          <cell r="G194">
            <v>196349224</v>
          </cell>
          <cell r="H194">
            <v>200997724</v>
          </cell>
          <cell r="I194">
            <v>205835453</v>
          </cell>
          <cell r="J194">
            <v>210864985</v>
          </cell>
          <cell r="K194">
            <v>216096098</v>
          </cell>
          <cell r="L194">
            <v>221539671</v>
          </cell>
          <cell r="M194">
            <v>227201434</v>
          </cell>
          <cell r="N194">
            <v>233086769</v>
          </cell>
          <cell r="O194">
            <v>239204902</v>
          </cell>
          <cell r="P194">
            <v>245537549</v>
          </cell>
          <cell r="Q194">
            <v>252097524</v>
          </cell>
          <cell r="R194">
            <v>258953043</v>
          </cell>
          <cell r="S194">
            <v>266195005</v>
          </cell>
          <cell r="T194">
            <v>273877851</v>
          </cell>
          <cell r="U194">
            <v>282049515</v>
          </cell>
          <cell r="V194">
            <v>290664899</v>
          </cell>
          <cell r="W194">
            <v>299569965</v>
          </cell>
          <cell r="X194">
            <v>308551448</v>
          </cell>
          <cell r="Y194">
            <v>317462492</v>
          </cell>
          <cell r="Z194">
            <v>326257657</v>
          </cell>
          <cell r="AA194">
            <v>335003787</v>
          </cell>
          <cell r="AB194">
            <v>343806020</v>
          </cell>
          <cell r="AC194">
            <v>352822108</v>
          </cell>
          <cell r="AD194">
            <v>362177640</v>
          </cell>
          <cell r="AE194">
            <v>371878676</v>
          </cell>
          <cell r="AF194">
            <v>381918512</v>
          </cell>
          <cell r="AG194">
            <v>392393097</v>
          </cell>
          <cell r="AH194">
            <v>403416160</v>
          </cell>
          <cell r="AI194">
            <v>415057375</v>
          </cell>
          <cell r="AJ194">
            <v>427398511</v>
          </cell>
          <cell r="AK194">
            <v>440397767</v>
          </cell>
          <cell r="AL194">
            <v>453849633</v>
          </cell>
          <cell r="AM194">
            <v>467465199</v>
          </cell>
          <cell r="AN194">
            <v>481049511</v>
          </cell>
          <cell r="AO194">
            <v>494517676</v>
          </cell>
          <cell r="AP194">
            <v>507968946</v>
          </cell>
          <cell r="AQ194">
            <v>521617674</v>
          </cell>
          <cell r="AR194">
            <v>535773390</v>
          </cell>
          <cell r="AS194">
            <v>550660001</v>
          </cell>
          <cell r="AT194">
            <v>566366102</v>
          </cell>
          <cell r="AU194">
            <v>582828705</v>
          </cell>
          <cell r="AV194">
            <v>599938109</v>
          </cell>
          <cell r="AW194">
            <v>617518671</v>
          </cell>
          <cell r="AX194">
            <v>635451653</v>
          </cell>
          <cell r="AY194">
            <v>653695022</v>
          </cell>
          <cell r="AZ194">
            <v>672318833</v>
          </cell>
          <cell r="BA194">
            <v>691447610</v>
          </cell>
          <cell r="BB194">
            <v>711257522</v>
          </cell>
          <cell r="BC194">
            <v>731868772</v>
          </cell>
          <cell r="BD194">
            <v>753326798</v>
          </cell>
          <cell r="BE194">
            <v>775573001</v>
          </cell>
          <cell r="BF194">
            <v>798495530</v>
          </cell>
          <cell r="BG194">
            <v>821931240</v>
          </cell>
          <cell r="BH194">
            <v>845759344</v>
          </cell>
          <cell r="BI194">
            <v>869943914</v>
          </cell>
          <cell r="BJ194">
            <v>894512725</v>
          </cell>
          <cell r="BK194">
            <v>919485393</v>
          </cell>
        </row>
        <row r="195">
          <cell r="B195" t="str">
            <v>PRI</v>
          </cell>
          <cell r="C195" t="str">
            <v>Population, total</v>
          </cell>
          <cell r="D195" t="str">
            <v>SP.POP.TOTL</v>
          </cell>
          <cell r="E195">
            <v>2358000</v>
          </cell>
          <cell r="F195">
            <v>2399722</v>
          </cell>
          <cell r="G195">
            <v>2450322</v>
          </cell>
          <cell r="H195">
            <v>2504530</v>
          </cell>
          <cell r="I195">
            <v>2554066</v>
          </cell>
          <cell r="J195">
            <v>2594000</v>
          </cell>
          <cell r="K195">
            <v>2624995</v>
          </cell>
          <cell r="L195">
            <v>2645674</v>
          </cell>
          <cell r="M195">
            <v>2662064</v>
          </cell>
          <cell r="N195">
            <v>2684150</v>
          </cell>
          <cell r="O195">
            <v>2718000</v>
          </cell>
          <cell r="P195">
            <v>2762190</v>
          </cell>
          <cell r="Q195">
            <v>2817256</v>
          </cell>
          <cell r="R195">
            <v>2878786</v>
          </cell>
          <cell r="S195">
            <v>2939299</v>
          </cell>
          <cell r="T195">
            <v>2994000</v>
          </cell>
          <cell r="U195">
            <v>3043854</v>
          </cell>
          <cell r="V195">
            <v>3088690</v>
          </cell>
          <cell r="W195">
            <v>3129421</v>
          </cell>
          <cell r="X195">
            <v>3168088</v>
          </cell>
          <cell r="Y195">
            <v>3206000</v>
          </cell>
          <cell r="Z195">
            <v>3242552</v>
          </cell>
          <cell r="AA195">
            <v>3277453</v>
          </cell>
          <cell r="AB195">
            <v>3311138</v>
          </cell>
          <cell r="AC195">
            <v>3344190</v>
          </cell>
          <cell r="AD195">
            <v>3377000</v>
          </cell>
          <cell r="AE195">
            <v>3409554</v>
          </cell>
          <cell r="AF195">
            <v>3441850</v>
          </cell>
          <cell r="AG195">
            <v>3473898</v>
          </cell>
          <cell r="AH195">
            <v>3505650</v>
          </cell>
          <cell r="AI195">
            <v>3537000</v>
          </cell>
          <cell r="AJ195">
            <v>3562110</v>
          </cell>
          <cell r="AK195">
            <v>3585176</v>
          </cell>
          <cell r="AL195">
            <v>3615497</v>
          </cell>
          <cell r="AM195">
            <v>3649237</v>
          </cell>
          <cell r="AN195">
            <v>3683103</v>
          </cell>
          <cell r="AO195">
            <v>3724655</v>
          </cell>
          <cell r="AP195">
            <v>3759430</v>
          </cell>
          <cell r="AQ195">
            <v>3781101</v>
          </cell>
          <cell r="AR195">
            <v>3800081</v>
          </cell>
          <cell r="AS195">
            <v>3810605</v>
          </cell>
          <cell r="AT195">
            <v>3818774</v>
          </cell>
          <cell r="AU195">
            <v>3823701</v>
          </cell>
          <cell r="AV195">
            <v>3826095</v>
          </cell>
          <cell r="AW195">
            <v>3826878</v>
          </cell>
          <cell r="AX195">
            <v>3821362</v>
          </cell>
          <cell r="AY195">
            <v>3805214</v>
          </cell>
          <cell r="AZ195">
            <v>3782995</v>
          </cell>
          <cell r="BA195">
            <v>3760866</v>
          </cell>
          <cell r="BB195">
            <v>3740410</v>
          </cell>
          <cell r="BC195">
            <v>3721525</v>
          </cell>
          <cell r="BD195">
            <v>3678732</v>
          </cell>
          <cell r="BE195">
            <v>3634488</v>
          </cell>
          <cell r="BF195">
            <v>3593077</v>
          </cell>
          <cell r="BG195">
            <v>3534874</v>
          </cell>
          <cell r="BH195">
            <v>3473166</v>
          </cell>
          <cell r="BI195">
            <v>3406495</v>
          </cell>
          <cell r="BJ195">
            <v>3325001</v>
          </cell>
          <cell r="BK195">
            <v>3195153</v>
          </cell>
        </row>
        <row r="196">
          <cell r="B196" t="str">
            <v>PRK</v>
          </cell>
          <cell r="C196" t="str">
            <v>Population, total</v>
          </cell>
          <cell r="D196" t="str">
            <v>SP.POP.TOTL</v>
          </cell>
          <cell r="E196">
            <v>11424176</v>
          </cell>
          <cell r="F196">
            <v>11665595</v>
          </cell>
          <cell r="G196">
            <v>11871712</v>
          </cell>
          <cell r="H196">
            <v>12065468</v>
          </cell>
          <cell r="I196">
            <v>12282419</v>
          </cell>
          <cell r="J196">
            <v>12547525</v>
          </cell>
          <cell r="K196">
            <v>12864954</v>
          </cell>
          <cell r="L196">
            <v>13222694</v>
          </cell>
          <cell r="M196">
            <v>13609982</v>
          </cell>
          <cell r="N196">
            <v>14010339</v>
          </cell>
          <cell r="O196">
            <v>14410400</v>
          </cell>
          <cell r="P196">
            <v>14809521</v>
          </cell>
          <cell r="Q196">
            <v>15207771</v>
          </cell>
          <cell r="R196">
            <v>15593351</v>
          </cell>
          <cell r="S196">
            <v>15952078</v>
          </cell>
          <cell r="T196">
            <v>16274740</v>
          </cell>
          <cell r="U196">
            <v>16554746</v>
          </cell>
          <cell r="V196">
            <v>16796578</v>
          </cell>
          <cell r="W196">
            <v>17015983</v>
          </cell>
          <cell r="X196">
            <v>17235666</v>
          </cell>
          <cell r="Y196">
            <v>17472140</v>
          </cell>
          <cell r="Z196">
            <v>17731230</v>
          </cell>
          <cell r="AA196">
            <v>18008564</v>
          </cell>
          <cell r="AB196">
            <v>18298214</v>
          </cell>
          <cell r="AC196">
            <v>18590138</v>
          </cell>
          <cell r="AD196">
            <v>18877238</v>
          </cell>
          <cell r="AE196">
            <v>19156795</v>
          </cell>
          <cell r="AF196">
            <v>19431986</v>
          </cell>
          <cell r="AG196">
            <v>19708323</v>
          </cell>
          <cell r="AH196">
            <v>19993755</v>
          </cell>
          <cell r="AI196">
            <v>20293054</v>
          </cell>
          <cell r="AJ196">
            <v>20609150</v>
          </cell>
          <cell r="AK196">
            <v>20937404</v>
          </cell>
          <cell r="AL196">
            <v>21265834</v>
          </cell>
          <cell r="AM196">
            <v>21577982</v>
          </cell>
          <cell r="AN196">
            <v>21862299</v>
          </cell>
          <cell r="AO196">
            <v>22113438</v>
          </cell>
          <cell r="AP196">
            <v>22335267</v>
          </cell>
          <cell r="AQ196">
            <v>22536753</v>
          </cell>
          <cell r="AR196">
            <v>22731482</v>
          </cell>
          <cell r="AS196">
            <v>22929075</v>
          </cell>
          <cell r="AT196">
            <v>23132980</v>
          </cell>
          <cell r="AU196">
            <v>23339453</v>
          </cell>
          <cell r="AV196">
            <v>23542426</v>
          </cell>
          <cell r="AW196">
            <v>23732731</v>
          </cell>
          <cell r="AX196">
            <v>23904167</v>
          </cell>
          <cell r="AY196">
            <v>24054864</v>
          </cell>
          <cell r="AZ196">
            <v>24188331</v>
          </cell>
          <cell r="BA196">
            <v>24310142</v>
          </cell>
          <cell r="BB196">
            <v>24428341</v>
          </cell>
          <cell r="BC196">
            <v>24548836</v>
          </cell>
          <cell r="BD196">
            <v>24673385</v>
          </cell>
          <cell r="BE196">
            <v>24800612</v>
          </cell>
          <cell r="BF196">
            <v>24929452</v>
          </cell>
          <cell r="BG196">
            <v>25057752</v>
          </cell>
          <cell r="BH196">
            <v>25183833</v>
          </cell>
          <cell r="BI196">
            <v>25307744</v>
          </cell>
          <cell r="BJ196">
            <v>25429985</v>
          </cell>
          <cell r="BK196">
            <v>25549819</v>
          </cell>
        </row>
        <row r="197">
          <cell r="B197" t="str">
            <v>PRT</v>
          </cell>
          <cell r="C197" t="str">
            <v>Population, total</v>
          </cell>
          <cell r="D197" t="str">
            <v>SP.POP.TOTL</v>
          </cell>
          <cell r="E197">
            <v>8857716</v>
          </cell>
          <cell r="F197">
            <v>8929316</v>
          </cell>
          <cell r="G197">
            <v>8993985</v>
          </cell>
          <cell r="H197">
            <v>9030355</v>
          </cell>
          <cell r="I197">
            <v>9035365</v>
          </cell>
          <cell r="J197">
            <v>8998595</v>
          </cell>
          <cell r="K197">
            <v>8930990</v>
          </cell>
          <cell r="L197">
            <v>8874520</v>
          </cell>
          <cell r="M197">
            <v>8836650</v>
          </cell>
          <cell r="N197">
            <v>8757705</v>
          </cell>
          <cell r="O197">
            <v>8680431</v>
          </cell>
          <cell r="P197">
            <v>8643756</v>
          </cell>
          <cell r="Q197">
            <v>8630430</v>
          </cell>
          <cell r="R197">
            <v>8633100</v>
          </cell>
          <cell r="S197">
            <v>8754365</v>
          </cell>
          <cell r="T197">
            <v>9093470</v>
          </cell>
          <cell r="U197">
            <v>9355810</v>
          </cell>
          <cell r="V197">
            <v>9455675</v>
          </cell>
          <cell r="W197">
            <v>9558250</v>
          </cell>
          <cell r="X197">
            <v>9661265</v>
          </cell>
          <cell r="Y197">
            <v>9766312</v>
          </cell>
          <cell r="Z197">
            <v>9851362</v>
          </cell>
          <cell r="AA197">
            <v>9911771</v>
          </cell>
          <cell r="AB197">
            <v>9957865</v>
          </cell>
          <cell r="AC197">
            <v>9996232</v>
          </cell>
          <cell r="AD197">
            <v>10023613</v>
          </cell>
          <cell r="AE197">
            <v>10032734</v>
          </cell>
          <cell r="AF197">
            <v>10030031</v>
          </cell>
          <cell r="AG197">
            <v>10019610</v>
          </cell>
          <cell r="AH197">
            <v>10005000</v>
          </cell>
          <cell r="AI197">
            <v>9983218</v>
          </cell>
          <cell r="AJ197">
            <v>9960235</v>
          </cell>
          <cell r="AK197">
            <v>9952494</v>
          </cell>
          <cell r="AL197">
            <v>9964675</v>
          </cell>
          <cell r="AM197">
            <v>9991525</v>
          </cell>
          <cell r="AN197">
            <v>10026176</v>
          </cell>
          <cell r="AO197">
            <v>10063945</v>
          </cell>
          <cell r="AP197">
            <v>10108977</v>
          </cell>
          <cell r="AQ197">
            <v>10160196</v>
          </cell>
          <cell r="AR197">
            <v>10217828</v>
          </cell>
          <cell r="AS197">
            <v>10289898</v>
          </cell>
          <cell r="AT197">
            <v>10362722</v>
          </cell>
          <cell r="AU197">
            <v>10419631</v>
          </cell>
          <cell r="AV197">
            <v>10458821</v>
          </cell>
          <cell r="AW197">
            <v>10483861</v>
          </cell>
          <cell r="AX197">
            <v>10503330</v>
          </cell>
          <cell r="AY197">
            <v>10522288</v>
          </cell>
          <cell r="AZ197">
            <v>10542964</v>
          </cell>
          <cell r="BA197">
            <v>10558177</v>
          </cell>
          <cell r="BB197">
            <v>10568247</v>
          </cell>
          <cell r="BC197">
            <v>10573100</v>
          </cell>
          <cell r="BD197">
            <v>10557560</v>
          </cell>
          <cell r="BE197">
            <v>10514844</v>
          </cell>
          <cell r="BF197">
            <v>10457295</v>
          </cell>
          <cell r="BG197">
            <v>10401062</v>
          </cell>
          <cell r="BH197">
            <v>10358076</v>
          </cell>
          <cell r="BI197">
            <v>10325452</v>
          </cell>
          <cell r="BJ197">
            <v>10300300</v>
          </cell>
          <cell r="BK197">
            <v>10283822</v>
          </cell>
        </row>
        <row r="198">
          <cell r="B198" t="str">
            <v>PRY</v>
          </cell>
          <cell r="C198" t="str">
            <v>Population, total</v>
          </cell>
          <cell r="D198" t="str">
            <v>SP.POP.TOTL</v>
          </cell>
          <cell r="E198">
            <v>1903982</v>
          </cell>
          <cell r="F198">
            <v>1954548</v>
          </cell>
          <cell r="G198">
            <v>2006670</v>
          </cell>
          <cell r="H198">
            <v>2060339</v>
          </cell>
          <cell r="I198">
            <v>2115567</v>
          </cell>
          <cell r="J198">
            <v>2172306</v>
          </cell>
          <cell r="K198">
            <v>2230741</v>
          </cell>
          <cell r="L198">
            <v>2290798</v>
          </cell>
          <cell r="M198">
            <v>2351925</v>
          </cell>
          <cell r="N198">
            <v>2413396</v>
          </cell>
          <cell r="O198">
            <v>2474763</v>
          </cell>
          <cell r="P198">
            <v>2535873</v>
          </cell>
          <cell r="Q198">
            <v>2597154</v>
          </cell>
          <cell r="R198">
            <v>2659421</v>
          </cell>
          <cell r="S198">
            <v>2723812</v>
          </cell>
          <cell r="T198">
            <v>2791241</v>
          </cell>
          <cell r="U198">
            <v>2861867</v>
          </cell>
          <cell r="V198">
            <v>2935712</v>
          </cell>
          <cell r="W198">
            <v>3013282</v>
          </cell>
          <cell r="X198">
            <v>3095145</v>
          </cell>
          <cell r="Y198">
            <v>3181625</v>
          </cell>
          <cell r="Z198">
            <v>3272912</v>
          </cell>
          <cell r="AA198">
            <v>3368773</v>
          </cell>
          <cell r="AB198">
            <v>3468535</v>
          </cell>
          <cell r="AC198">
            <v>3571272</v>
          </cell>
          <cell r="AD198">
            <v>3676210</v>
          </cell>
          <cell r="AE198">
            <v>3783074</v>
          </cell>
          <cell r="AF198">
            <v>3891734</v>
          </cell>
          <cell r="AG198">
            <v>4001681</v>
          </cell>
          <cell r="AH198">
            <v>4112386</v>
          </cell>
          <cell r="AI198">
            <v>4223415</v>
          </cell>
          <cell r="AJ198">
            <v>4334345</v>
          </cell>
          <cell r="AK198">
            <v>4445016</v>
          </cell>
          <cell r="AL198">
            <v>4555521</v>
          </cell>
          <cell r="AM198">
            <v>4666094</v>
          </cell>
          <cell r="AN198">
            <v>4776843</v>
          </cell>
          <cell r="AO198">
            <v>4887632</v>
          </cell>
          <cell r="AP198">
            <v>4998100</v>
          </cell>
          <cell r="AQ198">
            <v>5107839</v>
          </cell>
          <cell r="AR198">
            <v>5216349</v>
          </cell>
          <cell r="AS198">
            <v>5323201</v>
          </cell>
          <cell r="AT198">
            <v>5428444</v>
          </cell>
          <cell r="AU198">
            <v>5531962</v>
          </cell>
          <cell r="AV198">
            <v>5632983</v>
          </cell>
          <cell r="AW198">
            <v>5730549</v>
          </cell>
          <cell r="AX198">
            <v>5824096</v>
          </cell>
          <cell r="AY198">
            <v>5913209</v>
          </cell>
          <cell r="AZ198">
            <v>5998427</v>
          </cell>
          <cell r="BA198">
            <v>6081296</v>
          </cell>
          <cell r="BB198">
            <v>6163972</v>
          </cell>
          <cell r="BC198">
            <v>6248020</v>
          </cell>
          <cell r="BD198">
            <v>6333976</v>
          </cell>
          <cell r="BE198">
            <v>6421512</v>
          </cell>
          <cell r="BF198">
            <v>6510276</v>
          </cell>
          <cell r="BG198">
            <v>6599526</v>
          </cell>
          <cell r="BH198">
            <v>6688746</v>
          </cell>
          <cell r="BI198">
            <v>6777872</v>
          </cell>
          <cell r="BJ198">
            <v>6867062</v>
          </cell>
          <cell r="BK198">
            <v>6956071</v>
          </cell>
        </row>
        <row r="199">
          <cell r="B199" t="str">
            <v>PSE</v>
          </cell>
          <cell r="C199" t="str">
            <v>Population, total</v>
          </cell>
          <cell r="D199" t="str">
            <v>SP.POP.TOTL</v>
          </cell>
          <cell r="AI199">
            <v>1978248</v>
          </cell>
          <cell r="AJ199">
            <v>2068845</v>
          </cell>
          <cell r="AK199">
            <v>2163591</v>
          </cell>
          <cell r="AL199">
            <v>2262676</v>
          </cell>
          <cell r="AM199">
            <v>2366298</v>
          </cell>
          <cell r="AN199">
            <v>2474666</v>
          </cell>
          <cell r="AO199">
            <v>2587997</v>
          </cell>
          <cell r="AP199">
            <v>2706518</v>
          </cell>
          <cell r="AQ199">
            <v>2776568</v>
          </cell>
          <cell r="AR199">
            <v>2848431</v>
          </cell>
          <cell r="AS199">
            <v>2922153</v>
          </cell>
          <cell r="AT199">
            <v>2997784</v>
          </cell>
          <cell r="AU199">
            <v>3075373</v>
          </cell>
          <cell r="AV199">
            <v>3154969</v>
          </cell>
          <cell r="AW199">
            <v>3236626</v>
          </cell>
          <cell r="AX199">
            <v>3320396</v>
          </cell>
          <cell r="AY199">
            <v>3406334</v>
          </cell>
          <cell r="AZ199">
            <v>3494496</v>
          </cell>
          <cell r="BA199">
            <v>3591977</v>
          </cell>
          <cell r="BB199">
            <v>3689099</v>
          </cell>
          <cell r="BC199">
            <v>3786161</v>
          </cell>
          <cell r="BD199">
            <v>3882986</v>
          </cell>
          <cell r="BE199">
            <v>3979998</v>
          </cell>
          <cell r="BF199">
            <v>4076708</v>
          </cell>
          <cell r="BG199">
            <v>4173398</v>
          </cell>
          <cell r="BH199">
            <v>4270092</v>
          </cell>
          <cell r="BI199">
            <v>4367088</v>
          </cell>
          <cell r="BJ199">
            <v>4454805</v>
          </cell>
          <cell r="BK199">
            <v>4569087</v>
          </cell>
        </row>
        <row r="200">
          <cell r="B200" t="str">
            <v>PSS</v>
          </cell>
          <cell r="C200" t="str">
            <v>Population, total</v>
          </cell>
          <cell r="D200" t="str">
            <v>SP.POP.TOTL</v>
          </cell>
          <cell r="E200">
            <v>865072</v>
          </cell>
          <cell r="F200">
            <v>893380</v>
          </cell>
          <cell r="G200">
            <v>923306</v>
          </cell>
          <cell r="H200">
            <v>954111</v>
          </cell>
          <cell r="I200">
            <v>984823</v>
          </cell>
          <cell r="J200">
            <v>1014638</v>
          </cell>
          <cell r="K200">
            <v>1043386</v>
          </cell>
          <cell r="L200">
            <v>1071175</v>
          </cell>
          <cell r="M200">
            <v>1098154</v>
          </cell>
          <cell r="N200">
            <v>1124579</v>
          </cell>
          <cell r="O200">
            <v>1150750</v>
          </cell>
          <cell r="P200">
            <v>1176591</v>
          </cell>
          <cell r="Q200">
            <v>1202157</v>
          </cell>
          <cell r="R200">
            <v>1227656</v>
          </cell>
          <cell r="S200">
            <v>1253377</v>
          </cell>
          <cell r="T200">
            <v>1279521</v>
          </cell>
          <cell r="U200">
            <v>1306046</v>
          </cell>
          <cell r="V200">
            <v>1332894</v>
          </cell>
          <cell r="W200">
            <v>1360543</v>
          </cell>
          <cell r="X200">
            <v>1389578</v>
          </cell>
          <cell r="Y200">
            <v>1420310</v>
          </cell>
          <cell r="Z200">
            <v>1453208</v>
          </cell>
          <cell r="AA200">
            <v>1487852</v>
          </cell>
          <cell r="AB200">
            <v>1522652</v>
          </cell>
          <cell r="AC200">
            <v>1555389</v>
          </cell>
          <cell r="AD200">
            <v>1584640</v>
          </cell>
          <cell r="AE200">
            <v>1609574</v>
          </cell>
          <cell r="AF200">
            <v>1630891</v>
          </cell>
          <cell r="AG200">
            <v>1650442</v>
          </cell>
          <cell r="AH200">
            <v>1670947</v>
          </cell>
          <cell r="AI200">
            <v>1694332</v>
          </cell>
          <cell r="AJ200">
            <v>1721237</v>
          </cell>
          <cell r="AK200">
            <v>1750921</v>
          </cell>
          <cell r="AL200">
            <v>1782120</v>
          </cell>
          <cell r="AM200">
            <v>1812834</v>
          </cell>
          <cell r="AN200">
            <v>1841693</v>
          </cell>
          <cell r="AO200">
            <v>1868414</v>
          </cell>
          <cell r="AP200">
            <v>1893444</v>
          </cell>
          <cell r="AQ200">
            <v>1917135</v>
          </cell>
          <cell r="AR200">
            <v>1939992</v>
          </cell>
          <cell r="AS200">
            <v>1962452</v>
          </cell>
          <cell r="AT200">
            <v>1984496</v>
          </cell>
          <cell r="AU200">
            <v>2006078</v>
          </cell>
          <cell r="AV200">
            <v>2027846</v>
          </cell>
          <cell r="AW200">
            <v>2050572</v>
          </cell>
          <cell r="AX200">
            <v>2074778</v>
          </cell>
          <cell r="AY200">
            <v>2100869</v>
          </cell>
          <cell r="AZ200">
            <v>2128664</v>
          </cell>
          <cell r="BA200">
            <v>2157454</v>
          </cell>
          <cell r="BB200">
            <v>2186314</v>
          </cell>
          <cell r="BC200">
            <v>2214519</v>
          </cell>
          <cell r="BD200">
            <v>2241798</v>
          </cell>
          <cell r="BE200">
            <v>2268708</v>
          </cell>
          <cell r="BF200">
            <v>2296101</v>
          </cell>
          <cell r="BG200">
            <v>2325136</v>
          </cell>
          <cell r="BH200">
            <v>2355672</v>
          </cell>
          <cell r="BI200">
            <v>2388307</v>
          </cell>
          <cell r="BJ200">
            <v>2422086</v>
          </cell>
          <cell r="BK200">
            <v>2457367</v>
          </cell>
        </row>
        <row r="201">
          <cell r="B201" t="str">
            <v>PST</v>
          </cell>
          <cell r="C201" t="str">
            <v>Population, total</v>
          </cell>
          <cell r="D201" t="str">
            <v>SP.POP.TOTL</v>
          </cell>
          <cell r="E201">
            <v>754514355</v>
          </cell>
          <cell r="F201">
            <v>765311460</v>
          </cell>
          <cell r="G201">
            <v>774755029</v>
          </cell>
          <cell r="H201">
            <v>784053801</v>
          </cell>
          <cell r="I201">
            <v>793187000</v>
          </cell>
          <cell r="J201">
            <v>802029735</v>
          </cell>
          <cell r="K201">
            <v>810302158</v>
          </cell>
          <cell r="L201">
            <v>818025942</v>
          </cell>
          <cell r="M201">
            <v>824783296</v>
          </cell>
          <cell r="N201">
            <v>833233832</v>
          </cell>
          <cell r="O201">
            <v>840763997</v>
          </cell>
          <cell r="P201">
            <v>849163942</v>
          </cell>
          <cell r="Q201">
            <v>857079394</v>
          </cell>
          <cell r="R201">
            <v>863981736</v>
          </cell>
          <cell r="S201">
            <v>871928852</v>
          </cell>
          <cell r="T201">
            <v>879257621</v>
          </cell>
          <cell r="U201">
            <v>885141869</v>
          </cell>
          <cell r="V201">
            <v>891242779</v>
          </cell>
          <cell r="W201">
            <v>897376841</v>
          </cell>
          <cell r="X201">
            <v>903768381</v>
          </cell>
          <cell r="Y201">
            <v>909865629</v>
          </cell>
          <cell r="Z201">
            <v>915958644</v>
          </cell>
          <cell r="AA201">
            <v>921480888</v>
          </cell>
          <cell r="AB201">
            <v>926566813</v>
          </cell>
          <cell r="AC201">
            <v>931345425</v>
          </cell>
          <cell r="AD201">
            <v>936158270</v>
          </cell>
          <cell r="AE201">
            <v>941386226</v>
          </cell>
          <cell r="AF201">
            <v>946693323</v>
          </cell>
          <cell r="AG201">
            <v>952208537</v>
          </cell>
          <cell r="AH201">
            <v>958128673</v>
          </cell>
          <cell r="AI201">
            <v>964233474</v>
          </cell>
          <cell r="AJ201">
            <v>970954772</v>
          </cell>
          <cell r="AK201">
            <v>977682743</v>
          </cell>
          <cell r="AL201">
            <v>984081948</v>
          </cell>
          <cell r="AM201">
            <v>989856904</v>
          </cell>
          <cell r="AN201">
            <v>995277110</v>
          </cell>
          <cell r="AO201">
            <v>1000603120</v>
          </cell>
          <cell r="AP201">
            <v>1005699715</v>
          </cell>
          <cell r="AQ201">
            <v>1010590288</v>
          </cell>
          <cell r="AR201">
            <v>1015420880</v>
          </cell>
          <cell r="AS201">
            <v>1020504252</v>
          </cell>
          <cell r="AT201">
            <v>1025423265</v>
          </cell>
          <cell r="AU201">
            <v>1030561714</v>
          </cell>
          <cell r="AV201">
            <v>1035711709</v>
          </cell>
          <cell r="AW201">
            <v>1041075142</v>
          </cell>
          <cell r="AX201">
            <v>1046366673</v>
          </cell>
          <cell r="AY201">
            <v>1052054803</v>
          </cell>
          <cell r="AZ201">
            <v>1057981926</v>
          </cell>
          <cell r="BA201">
            <v>1064394167</v>
          </cell>
          <cell r="BB201">
            <v>1069878383</v>
          </cell>
          <cell r="BC201">
            <v>1074869481</v>
          </cell>
          <cell r="BD201">
            <v>1077838624</v>
          </cell>
          <cell r="BE201">
            <v>1082370705</v>
          </cell>
          <cell r="BF201">
            <v>1087128029</v>
          </cell>
          <cell r="BG201">
            <v>1092096206</v>
          </cell>
          <cell r="BH201">
            <v>1097025299</v>
          </cell>
          <cell r="BI201">
            <v>1101992071</v>
          </cell>
          <cell r="BJ201">
            <v>1106035186</v>
          </cell>
          <cell r="BK201">
            <v>1109997273</v>
          </cell>
        </row>
        <row r="202">
          <cell r="B202" t="str">
            <v>PYF</v>
          </cell>
          <cell r="C202" t="str">
            <v>Population, total</v>
          </cell>
          <cell r="D202" t="str">
            <v>SP.POP.TOTL</v>
          </cell>
          <cell r="E202">
            <v>78076</v>
          </cell>
          <cell r="F202">
            <v>80706</v>
          </cell>
          <cell r="G202">
            <v>83655</v>
          </cell>
          <cell r="H202">
            <v>86847</v>
          </cell>
          <cell r="I202">
            <v>90139</v>
          </cell>
          <cell r="J202">
            <v>93438</v>
          </cell>
          <cell r="K202">
            <v>96716</v>
          </cell>
          <cell r="L202">
            <v>99995</v>
          </cell>
          <cell r="M202">
            <v>103342</v>
          </cell>
          <cell r="N202">
            <v>106820</v>
          </cell>
          <cell r="O202">
            <v>110495</v>
          </cell>
          <cell r="P202">
            <v>114382</v>
          </cell>
          <cell r="Q202">
            <v>118440</v>
          </cell>
          <cell r="R202">
            <v>122643</v>
          </cell>
          <cell r="S202">
            <v>126924</v>
          </cell>
          <cell r="T202">
            <v>131233</v>
          </cell>
          <cell r="U202">
            <v>135549</v>
          </cell>
          <cell r="V202">
            <v>139891</v>
          </cell>
          <cell r="W202">
            <v>144277</v>
          </cell>
          <cell r="X202">
            <v>148741</v>
          </cell>
          <cell r="Y202">
            <v>153301</v>
          </cell>
          <cell r="Z202">
            <v>157953</v>
          </cell>
          <cell r="AA202">
            <v>162685</v>
          </cell>
          <cell r="AB202">
            <v>167451</v>
          </cell>
          <cell r="AC202">
            <v>172249</v>
          </cell>
          <cell r="AD202">
            <v>177027</v>
          </cell>
          <cell r="AE202">
            <v>181817</v>
          </cell>
          <cell r="AF202">
            <v>186584</v>
          </cell>
          <cell r="AG202">
            <v>191266</v>
          </cell>
          <cell r="AH202">
            <v>195726</v>
          </cell>
          <cell r="AI202">
            <v>199905</v>
          </cell>
          <cell r="AJ202">
            <v>203726</v>
          </cell>
          <cell r="AK202">
            <v>207245</v>
          </cell>
          <cell r="AL202">
            <v>210642</v>
          </cell>
          <cell r="AM202">
            <v>214197</v>
          </cell>
          <cell r="AN202">
            <v>218071</v>
          </cell>
          <cell r="AO202">
            <v>222322</v>
          </cell>
          <cell r="AP202">
            <v>226866</v>
          </cell>
          <cell r="AQ202">
            <v>231570</v>
          </cell>
          <cell r="AR202">
            <v>236221</v>
          </cell>
          <cell r="AS202">
            <v>240686</v>
          </cell>
          <cell r="AT202">
            <v>244931</v>
          </cell>
          <cell r="AU202">
            <v>248972</v>
          </cell>
          <cell r="AV202">
            <v>252703</v>
          </cell>
          <cell r="AW202">
            <v>255992</v>
          </cell>
          <cell r="AX202">
            <v>258780</v>
          </cell>
          <cell r="AY202">
            <v>261010</v>
          </cell>
          <cell r="AZ202">
            <v>262721</v>
          </cell>
          <cell r="BA202">
            <v>264061</v>
          </cell>
          <cell r="BB202">
            <v>265254</v>
          </cell>
          <cell r="BC202">
            <v>266455</v>
          </cell>
          <cell r="BD202">
            <v>267698</v>
          </cell>
          <cell r="BE202">
            <v>268998</v>
          </cell>
          <cell r="BF202">
            <v>270328</v>
          </cell>
          <cell r="BG202">
            <v>271705</v>
          </cell>
          <cell r="BH202">
            <v>273124</v>
          </cell>
          <cell r="BI202">
            <v>274575</v>
          </cell>
          <cell r="BJ202">
            <v>276103</v>
          </cell>
          <cell r="BK202">
            <v>277679</v>
          </cell>
        </row>
        <row r="203">
          <cell r="B203" t="str">
            <v>QAT</v>
          </cell>
          <cell r="C203" t="str">
            <v>Population, total</v>
          </cell>
          <cell r="D203" t="str">
            <v>SP.POP.TOTL</v>
          </cell>
          <cell r="E203">
            <v>47384</v>
          </cell>
          <cell r="F203">
            <v>51421</v>
          </cell>
          <cell r="G203">
            <v>56262</v>
          </cell>
          <cell r="H203">
            <v>61716</v>
          </cell>
          <cell r="I203">
            <v>67566</v>
          </cell>
          <cell r="J203">
            <v>73633</v>
          </cell>
          <cell r="K203">
            <v>79846</v>
          </cell>
          <cell r="L203">
            <v>86302</v>
          </cell>
          <cell r="M203">
            <v>93211</v>
          </cell>
          <cell r="N203">
            <v>100883</v>
          </cell>
          <cell r="O203">
            <v>109514</v>
          </cell>
          <cell r="P203">
            <v>119414</v>
          </cell>
          <cell r="Q203">
            <v>130500</v>
          </cell>
          <cell r="R203">
            <v>142186</v>
          </cell>
          <cell r="S203">
            <v>153621</v>
          </cell>
          <cell r="T203">
            <v>164320</v>
          </cell>
          <cell r="U203">
            <v>173721</v>
          </cell>
          <cell r="V203">
            <v>182318</v>
          </cell>
          <cell r="W203">
            <v>191951</v>
          </cell>
          <cell r="X203">
            <v>205171</v>
          </cell>
          <cell r="Y203">
            <v>223632</v>
          </cell>
          <cell r="Z203">
            <v>247988</v>
          </cell>
          <cell r="AA203">
            <v>277226</v>
          </cell>
          <cell r="AB203">
            <v>309306</v>
          </cell>
          <cell r="AC203">
            <v>341272</v>
          </cell>
          <cell r="AD203">
            <v>370890</v>
          </cell>
          <cell r="AE203">
            <v>397740</v>
          </cell>
          <cell r="AF203">
            <v>422148</v>
          </cell>
          <cell r="AG203">
            <v>443605</v>
          </cell>
          <cell r="AH203">
            <v>461690</v>
          </cell>
          <cell r="AI203">
            <v>476278</v>
          </cell>
          <cell r="AJ203">
            <v>487353</v>
          </cell>
          <cell r="AK203">
            <v>495395</v>
          </cell>
          <cell r="AL203">
            <v>501479</v>
          </cell>
          <cell r="AM203">
            <v>507041</v>
          </cell>
          <cell r="AN203">
            <v>513442</v>
          </cell>
          <cell r="AO203">
            <v>522531</v>
          </cell>
          <cell r="AP203">
            <v>535321</v>
          </cell>
          <cell r="AQ203">
            <v>551562</v>
          </cell>
          <cell r="AR203">
            <v>570489</v>
          </cell>
          <cell r="AS203">
            <v>592468</v>
          </cell>
          <cell r="AT203">
            <v>615012</v>
          </cell>
          <cell r="AU203">
            <v>640868</v>
          </cell>
          <cell r="AV203">
            <v>681788</v>
          </cell>
          <cell r="AW203">
            <v>753334</v>
          </cell>
          <cell r="AX203">
            <v>865416</v>
          </cell>
          <cell r="AY203">
            <v>1022711</v>
          </cell>
          <cell r="AZ203">
            <v>1218434</v>
          </cell>
          <cell r="BA203">
            <v>1436665</v>
          </cell>
          <cell r="BB203">
            <v>1654950</v>
          </cell>
          <cell r="BC203">
            <v>1856327</v>
          </cell>
          <cell r="BD203">
            <v>2035871</v>
          </cell>
          <cell r="BE203">
            <v>2196074</v>
          </cell>
          <cell r="BF203">
            <v>2336574</v>
          </cell>
          <cell r="BG203">
            <v>2459198</v>
          </cell>
          <cell r="BH203">
            <v>2565710</v>
          </cell>
          <cell r="BI203">
            <v>2654374</v>
          </cell>
          <cell r="BJ203">
            <v>2724724</v>
          </cell>
          <cell r="BK203">
            <v>2781677</v>
          </cell>
        </row>
        <row r="204">
          <cell r="B204" t="str">
            <v>ROU</v>
          </cell>
          <cell r="C204" t="str">
            <v>Population, total</v>
          </cell>
          <cell r="D204" t="str">
            <v>SP.POP.TOTL</v>
          </cell>
          <cell r="E204">
            <v>18406905</v>
          </cell>
          <cell r="F204">
            <v>18555250</v>
          </cell>
          <cell r="G204">
            <v>18676550</v>
          </cell>
          <cell r="H204">
            <v>18797850</v>
          </cell>
          <cell r="I204">
            <v>18919126</v>
          </cell>
          <cell r="J204">
            <v>19031576</v>
          </cell>
          <cell r="K204">
            <v>19215450</v>
          </cell>
          <cell r="L204">
            <v>19534242</v>
          </cell>
          <cell r="M204">
            <v>19799831</v>
          </cell>
          <cell r="N204">
            <v>20009141</v>
          </cell>
          <cell r="O204">
            <v>20250398</v>
          </cell>
          <cell r="P204">
            <v>20461567</v>
          </cell>
          <cell r="Q204">
            <v>20657957</v>
          </cell>
          <cell r="R204">
            <v>20835681</v>
          </cell>
          <cell r="S204">
            <v>21029429</v>
          </cell>
          <cell r="T204">
            <v>21293583</v>
          </cell>
          <cell r="U204">
            <v>21551634</v>
          </cell>
          <cell r="V204">
            <v>21756096</v>
          </cell>
          <cell r="W204">
            <v>21951464</v>
          </cell>
          <cell r="X204">
            <v>22090488</v>
          </cell>
          <cell r="Y204">
            <v>22207282</v>
          </cell>
          <cell r="Z204">
            <v>22353070</v>
          </cell>
          <cell r="AA204">
            <v>22475741</v>
          </cell>
          <cell r="AB204">
            <v>22560478</v>
          </cell>
          <cell r="AC204">
            <v>22640547</v>
          </cell>
          <cell r="AD204">
            <v>22732999</v>
          </cell>
          <cell r="AE204">
            <v>22836841</v>
          </cell>
          <cell r="AF204">
            <v>22949430</v>
          </cell>
          <cell r="AG204">
            <v>23057662</v>
          </cell>
          <cell r="AH204">
            <v>23161458</v>
          </cell>
          <cell r="AI204">
            <v>23201835</v>
          </cell>
          <cell r="AJ204">
            <v>23001155</v>
          </cell>
          <cell r="AK204">
            <v>22794284</v>
          </cell>
          <cell r="AL204">
            <v>22763280</v>
          </cell>
          <cell r="AM204">
            <v>22730211</v>
          </cell>
          <cell r="AN204">
            <v>22684270</v>
          </cell>
          <cell r="AO204">
            <v>22619004</v>
          </cell>
          <cell r="AP204">
            <v>22553978</v>
          </cell>
          <cell r="AQ204">
            <v>22507344</v>
          </cell>
          <cell r="AR204">
            <v>22472040</v>
          </cell>
          <cell r="AS204">
            <v>22442971</v>
          </cell>
          <cell r="AT204">
            <v>22131970</v>
          </cell>
          <cell r="AU204">
            <v>21730496</v>
          </cell>
          <cell r="AV204">
            <v>21574326</v>
          </cell>
          <cell r="AW204">
            <v>21451748</v>
          </cell>
          <cell r="AX204">
            <v>21319685</v>
          </cell>
          <cell r="AY204">
            <v>21193760</v>
          </cell>
          <cell r="AZ204">
            <v>20882982</v>
          </cell>
          <cell r="BA204">
            <v>20537875</v>
          </cell>
          <cell r="BB204">
            <v>20367487</v>
          </cell>
          <cell r="BC204">
            <v>20246871</v>
          </cell>
          <cell r="BD204">
            <v>20147528</v>
          </cell>
          <cell r="BE204">
            <v>20058035</v>
          </cell>
          <cell r="BF204">
            <v>19983693</v>
          </cell>
          <cell r="BG204">
            <v>19908979</v>
          </cell>
          <cell r="BH204">
            <v>19815616</v>
          </cell>
          <cell r="BI204">
            <v>19702468</v>
          </cell>
          <cell r="BJ204">
            <v>19587491</v>
          </cell>
          <cell r="BK204">
            <v>19466145</v>
          </cell>
        </row>
        <row r="205">
          <cell r="B205" t="str">
            <v>RUS</v>
          </cell>
          <cell r="C205" t="str">
            <v>Population, total</v>
          </cell>
          <cell r="D205" t="str">
            <v>SP.POP.TOTL</v>
          </cell>
          <cell r="E205">
            <v>119897000</v>
          </cell>
          <cell r="F205">
            <v>121236000</v>
          </cell>
          <cell r="G205">
            <v>122591000</v>
          </cell>
          <cell r="H205">
            <v>123960000</v>
          </cell>
          <cell r="I205">
            <v>125345000</v>
          </cell>
          <cell r="J205">
            <v>126745000</v>
          </cell>
          <cell r="K205">
            <v>127468000</v>
          </cell>
          <cell r="L205">
            <v>128196000</v>
          </cell>
          <cell r="M205">
            <v>128928000</v>
          </cell>
          <cell r="N205">
            <v>129664000</v>
          </cell>
          <cell r="O205">
            <v>130404000</v>
          </cell>
          <cell r="P205">
            <v>131155000</v>
          </cell>
          <cell r="Q205">
            <v>131909000</v>
          </cell>
          <cell r="R205">
            <v>132669000</v>
          </cell>
          <cell r="S205">
            <v>133432000</v>
          </cell>
          <cell r="T205">
            <v>134200000</v>
          </cell>
          <cell r="U205">
            <v>135147000</v>
          </cell>
          <cell r="V205">
            <v>136100000</v>
          </cell>
          <cell r="W205">
            <v>137060000</v>
          </cell>
          <cell r="X205">
            <v>138027000</v>
          </cell>
          <cell r="Y205">
            <v>139010000</v>
          </cell>
          <cell r="Z205">
            <v>139941000</v>
          </cell>
          <cell r="AA205">
            <v>140823000</v>
          </cell>
          <cell r="AB205">
            <v>141668000</v>
          </cell>
          <cell r="AC205">
            <v>142745000</v>
          </cell>
          <cell r="AD205">
            <v>143858000</v>
          </cell>
          <cell r="AE205">
            <v>144894000</v>
          </cell>
          <cell r="AF205">
            <v>145908000</v>
          </cell>
          <cell r="AG205">
            <v>146857000</v>
          </cell>
          <cell r="AH205">
            <v>147721000</v>
          </cell>
          <cell r="AI205">
            <v>148292000</v>
          </cell>
          <cell r="AJ205">
            <v>148624000</v>
          </cell>
          <cell r="AK205">
            <v>148689000</v>
          </cell>
          <cell r="AL205">
            <v>148520000</v>
          </cell>
          <cell r="AM205">
            <v>148336000</v>
          </cell>
          <cell r="AN205">
            <v>148375726</v>
          </cell>
          <cell r="AO205">
            <v>148160042</v>
          </cell>
          <cell r="AP205">
            <v>147915307</v>
          </cell>
          <cell r="AQ205">
            <v>147670692</v>
          </cell>
          <cell r="AR205">
            <v>147214392</v>
          </cell>
          <cell r="AS205">
            <v>146596557</v>
          </cell>
          <cell r="AT205">
            <v>145976083</v>
          </cell>
          <cell r="AU205">
            <v>145306046</v>
          </cell>
          <cell r="AV205">
            <v>144648257</v>
          </cell>
          <cell r="AW205">
            <v>144067054</v>
          </cell>
          <cell r="AX205">
            <v>143518523</v>
          </cell>
          <cell r="AY205">
            <v>143049528</v>
          </cell>
          <cell r="AZ205">
            <v>142805088</v>
          </cell>
          <cell r="BA205">
            <v>142742350</v>
          </cell>
          <cell r="BB205">
            <v>142785342</v>
          </cell>
          <cell r="BC205">
            <v>142849449</v>
          </cell>
          <cell r="BD205">
            <v>142960868</v>
          </cell>
          <cell r="BE205">
            <v>143201676</v>
          </cell>
          <cell r="BF205">
            <v>143506911</v>
          </cell>
          <cell r="BG205">
            <v>143819666</v>
          </cell>
          <cell r="BH205">
            <v>144096870</v>
          </cell>
          <cell r="BI205">
            <v>144342396</v>
          </cell>
          <cell r="BJ205">
            <v>144496740</v>
          </cell>
          <cell r="BK205">
            <v>144478050</v>
          </cell>
        </row>
        <row r="206">
          <cell r="B206" t="str">
            <v>RWA</v>
          </cell>
          <cell r="C206" t="str">
            <v>Population, total</v>
          </cell>
          <cell r="D206" t="str">
            <v>SP.POP.TOTL</v>
          </cell>
          <cell r="E206">
            <v>2935582</v>
          </cell>
          <cell r="F206">
            <v>2998325</v>
          </cell>
          <cell r="G206">
            <v>3052936</v>
          </cell>
          <cell r="H206">
            <v>3105419</v>
          </cell>
          <cell r="I206">
            <v>3164263</v>
          </cell>
          <cell r="J206">
            <v>3235531</v>
          </cell>
          <cell r="K206">
            <v>3321679</v>
          </cell>
          <cell r="L206">
            <v>3420895</v>
          </cell>
          <cell r="M206">
            <v>3529843</v>
          </cell>
          <cell r="N206">
            <v>3643237</v>
          </cell>
          <cell r="O206">
            <v>3757358</v>
          </cell>
          <cell r="P206">
            <v>3871439</v>
          </cell>
          <cell r="Q206">
            <v>3987224</v>
          </cell>
          <cell r="R206">
            <v>4106407</v>
          </cell>
          <cell r="S206">
            <v>4231578</v>
          </cell>
          <cell r="T206">
            <v>4364706</v>
          </cell>
          <cell r="U206">
            <v>4506109</v>
          </cell>
          <cell r="V206">
            <v>4655383</v>
          </cell>
          <cell r="W206">
            <v>4812872</v>
          </cell>
          <cell r="X206">
            <v>4978817</v>
          </cell>
          <cell r="Y206">
            <v>5153312</v>
          </cell>
          <cell r="Z206">
            <v>5329252</v>
          </cell>
          <cell r="AA206">
            <v>5504842</v>
          </cell>
          <cell r="AB206">
            <v>5690980</v>
          </cell>
          <cell r="AC206">
            <v>5902843</v>
          </cell>
          <cell r="AD206">
            <v>6146891</v>
          </cell>
          <cell r="AE206">
            <v>6443751</v>
          </cell>
          <cell r="AF206">
            <v>6779983</v>
          </cell>
          <cell r="AG206">
            <v>7088191</v>
          </cell>
          <cell r="AH206">
            <v>7276985</v>
          </cell>
          <cell r="AI206">
            <v>7288882</v>
          </cell>
          <cell r="AJ206">
            <v>7083935</v>
          </cell>
          <cell r="AK206">
            <v>6702244</v>
          </cell>
          <cell r="AL206">
            <v>6263757</v>
          </cell>
          <cell r="AM206">
            <v>5936261</v>
          </cell>
          <cell r="AN206">
            <v>5836495</v>
          </cell>
          <cell r="AO206">
            <v>6013107</v>
          </cell>
          <cell r="AP206">
            <v>6419901</v>
          </cell>
          <cell r="AQ206">
            <v>6962802</v>
          </cell>
          <cell r="AR206">
            <v>7501234</v>
          </cell>
          <cell r="AS206">
            <v>7933681</v>
          </cell>
          <cell r="AT206">
            <v>8231156</v>
          </cell>
          <cell r="AU206">
            <v>8427060</v>
          </cell>
          <cell r="AV206">
            <v>8557161</v>
          </cell>
          <cell r="AW206">
            <v>8680524</v>
          </cell>
          <cell r="AX206">
            <v>8840215</v>
          </cell>
          <cell r="AY206">
            <v>9043337</v>
          </cell>
          <cell r="AZ206">
            <v>9273757</v>
          </cell>
          <cell r="BA206">
            <v>9524534</v>
          </cell>
          <cell r="BB206">
            <v>9782770</v>
          </cell>
          <cell r="BC206">
            <v>10039338</v>
          </cell>
          <cell r="BD206">
            <v>10293331</v>
          </cell>
          <cell r="BE206">
            <v>10549678</v>
          </cell>
          <cell r="BF206">
            <v>10811543</v>
          </cell>
          <cell r="BG206">
            <v>11083635</v>
          </cell>
          <cell r="BH206">
            <v>11369071</v>
          </cell>
          <cell r="BI206">
            <v>11668818</v>
          </cell>
          <cell r="BJ206">
            <v>11980937</v>
          </cell>
          <cell r="BK206">
            <v>12301939</v>
          </cell>
        </row>
        <row r="207">
          <cell r="B207" t="str">
            <v>SAS</v>
          </cell>
          <cell r="C207" t="str">
            <v>Population, total</v>
          </cell>
          <cell r="D207" t="str">
            <v>SP.POP.TOTL</v>
          </cell>
          <cell r="E207">
            <v>572839523</v>
          </cell>
          <cell r="F207">
            <v>584939726</v>
          </cell>
          <cell r="G207">
            <v>597494449</v>
          </cell>
          <cell r="H207">
            <v>610498327</v>
          </cell>
          <cell r="I207">
            <v>623943332</v>
          </cell>
          <cell r="J207">
            <v>637823175</v>
          </cell>
          <cell r="K207">
            <v>652144182</v>
          </cell>
          <cell r="L207">
            <v>666908582</v>
          </cell>
          <cell r="M207">
            <v>682102178</v>
          </cell>
          <cell r="N207">
            <v>697706104</v>
          </cell>
          <cell r="O207">
            <v>713711349</v>
          </cell>
          <cell r="P207">
            <v>730107637</v>
          </cell>
          <cell r="Q207">
            <v>746911716</v>
          </cell>
          <cell r="R207">
            <v>764174958</v>
          </cell>
          <cell r="S207">
            <v>781966565</v>
          </cell>
          <cell r="T207">
            <v>800335563</v>
          </cell>
          <cell r="U207">
            <v>819292545</v>
          </cell>
          <cell r="V207">
            <v>838819925</v>
          </cell>
          <cell r="W207">
            <v>858901731</v>
          </cell>
          <cell r="X207">
            <v>879510848</v>
          </cell>
          <cell r="Y207">
            <v>900620572</v>
          </cell>
          <cell r="Z207">
            <v>922226636</v>
          </cell>
          <cell r="AA207">
            <v>944315187</v>
          </cell>
          <cell r="AB207">
            <v>966836452</v>
          </cell>
          <cell r="AC207">
            <v>989728215</v>
          </cell>
          <cell r="AD207">
            <v>1012942302</v>
          </cell>
          <cell r="AE207">
            <v>1036437892</v>
          </cell>
          <cell r="AF207">
            <v>1060208539</v>
          </cell>
          <cell r="AG207">
            <v>1084281155</v>
          </cell>
          <cell r="AH207">
            <v>1108702403</v>
          </cell>
          <cell r="AI207">
            <v>1133495196</v>
          </cell>
          <cell r="AJ207">
            <v>1158655617</v>
          </cell>
          <cell r="AK207">
            <v>1184133314</v>
          </cell>
          <cell r="AL207">
            <v>1209847786</v>
          </cell>
          <cell r="AM207">
            <v>1235693869</v>
          </cell>
          <cell r="AN207">
            <v>1261587756</v>
          </cell>
          <cell r="AO207">
            <v>1287476190</v>
          </cell>
          <cell r="AP207">
            <v>1313346377</v>
          </cell>
          <cell r="AQ207">
            <v>1339202708</v>
          </cell>
          <cell r="AR207">
            <v>1365067928</v>
          </cell>
          <cell r="AS207">
            <v>1390946064</v>
          </cell>
          <cell r="AT207">
            <v>1416822959</v>
          </cell>
          <cell r="AU207">
            <v>1442644058</v>
          </cell>
          <cell r="AV207">
            <v>1468324422</v>
          </cell>
          <cell r="AW207">
            <v>1493757846</v>
          </cell>
          <cell r="AX207">
            <v>1518861552</v>
          </cell>
          <cell r="AY207">
            <v>1543610696</v>
          </cell>
          <cell r="AZ207">
            <v>1568003159</v>
          </cell>
          <cell r="BA207">
            <v>1592010819</v>
          </cell>
          <cell r="BB207">
            <v>1615610198</v>
          </cell>
          <cell r="BC207">
            <v>1638792934</v>
          </cell>
          <cell r="BD207">
            <v>1661534412</v>
          </cell>
          <cell r="BE207">
            <v>1683747130</v>
          </cell>
          <cell r="BF207">
            <v>1705772050</v>
          </cell>
          <cell r="BG207">
            <v>1727640967</v>
          </cell>
          <cell r="BH207">
            <v>1749417068</v>
          </cell>
          <cell r="BI207">
            <v>1771167194</v>
          </cell>
          <cell r="BJ207">
            <v>1792835608</v>
          </cell>
          <cell r="BK207">
            <v>1814388744</v>
          </cell>
        </row>
        <row r="208">
          <cell r="B208" t="str">
            <v>SAU</v>
          </cell>
          <cell r="C208" t="str">
            <v>Population, total</v>
          </cell>
          <cell r="D208" t="str">
            <v>SP.POP.TOTL</v>
          </cell>
          <cell r="E208">
            <v>4086539</v>
          </cell>
          <cell r="F208">
            <v>4218853</v>
          </cell>
          <cell r="G208">
            <v>4362786</v>
          </cell>
          <cell r="H208">
            <v>4516533</v>
          </cell>
          <cell r="I208">
            <v>4677298</v>
          </cell>
          <cell r="J208">
            <v>4843635</v>
          </cell>
          <cell r="K208">
            <v>5015357</v>
          </cell>
          <cell r="L208">
            <v>5195135</v>
          </cell>
          <cell r="M208">
            <v>5387828</v>
          </cell>
          <cell r="N208">
            <v>5599904</v>
          </cell>
          <cell r="O208">
            <v>5836389</v>
          </cell>
          <cell r="P208">
            <v>6100626</v>
          </cell>
          <cell r="Q208">
            <v>6392970</v>
          </cell>
          <cell r="R208">
            <v>6711923</v>
          </cell>
          <cell r="S208">
            <v>7054532</v>
          </cell>
          <cell r="T208">
            <v>7419493</v>
          </cell>
          <cell r="U208">
            <v>7802926</v>
          </cell>
          <cell r="V208">
            <v>8207697</v>
          </cell>
          <cell r="W208">
            <v>8646845</v>
          </cell>
          <cell r="X208">
            <v>9137927</v>
          </cell>
          <cell r="Y208">
            <v>9691476</v>
          </cell>
          <cell r="Z208">
            <v>10311775</v>
          </cell>
          <cell r="AA208">
            <v>10988853</v>
          </cell>
          <cell r="AB208">
            <v>11701128</v>
          </cell>
          <cell r="AC208">
            <v>12418834</v>
          </cell>
          <cell r="AD208">
            <v>13118993</v>
          </cell>
          <cell r="AE208">
            <v>13794165</v>
          </cell>
          <cell r="AF208">
            <v>14445671</v>
          </cell>
          <cell r="AG208">
            <v>15070082</v>
          </cell>
          <cell r="AH208">
            <v>15666297</v>
          </cell>
          <cell r="AI208">
            <v>16233785</v>
          </cell>
          <cell r="AJ208">
            <v>16772694</v>
          </cell>
          <cell r="AK208">
            <v>17282691</v>
          </cell>
          <cell r="AL208">
            <v>17763298</v>
          </cell>
          <cell r="AM208">
            <v>18214470</v>
          </cell>
          <cell r="AN208">
            <v>18638787</v>
          </cell>
          <cell r="AO208">
            <v>19033845</v>
          </cell>
          <cell r="AP208">
            <v>19407142</v>
          </cell>
          <cell r="AQ208">
            <v>19783304</v>
          </cell>
          <cell r="AR208">
            <v>20194527</v>
          </cell>
          <cell r="AS208">
            <v>20663843</v>
          </cell>
          <cell r="AT208">
            <v>21202642</v>
          </cell>
          <cell r="AU208">
            <v>21805313</v>
          </cell>
          <cell r="AV208">
            <v>22456649</v>
          </cell>
          <cell r="AW208">
            <v>23132682</v>
          </cell>
          <cell r="AX208">
            <v>23816183</v>
          </cell>
          <cell r="AY208">
            <v>24498310</v>
          </cell>
          <cell r="AZ208">
            <v>25184597</v>
          </cell>
          <cell r="BA208">
            <v>25888541</v>
          </cell>
          <cell r="BB208">
            <v>26630303</v>
          </cell>
          <cell r="BC208">
            <v>27421461</v>
          </cell>
          <cell r="BD208">
            <v>28267685</v>
          </cell>
          <cell r="BE208">
            <v>29155187</v>
          </cell>
          <cell r="BF208">
            <v>30052518</v>
          </cell>
          <cell r="BG208">
            <v>30916994</v>
          </cell>
          <cell r="BH208">
            <v>31717667</v>
          </cell>
          <cell r="BI208">
            <v>32442572</v>
          </cell>
          <cell r="BJ208">
            <v>33099147</v>
          </cell>
          <cell r="BK208">
            <v>33699947</v>
          </cell>
        </row>
        <row r="209">
          <cell r="B209" t="str">
            <v>SDN</v>
          </cell>
          <cell r="C209" t="str">
            <v>Population, total</v>
          </cell>
          <cell r="D209" t="str">
            <v>SP.POP.TOTL</v>
          </cell>
          <cell r="E209">
            <v>7544491</v>
          </cell>
          <cell r="F209">
            <v>7769482</v>
          </cell>
          <cell r="G209">
            <v>8004121</v>
          </cell>
          <cell r="H209">
            <v>8248812</v>
          </cell>
          <cell r="I209">
            <v>8503994</v>
          </cell>
          <cell r="J209">
            <v>8770097</v>
          </cell>
          <cell r="K209">
            <v>9047798</v>
          </cell>
          <cell r="L209">
            <v>9337657</v>
          </cell>
          <cell r="M209">
            <v>9639840</v>
          </cell>
          <cell r="N209">
            <v>9954410</v>
          </cell>
          <cell r="O209">
            <v>10281700</v>
          </cell>
          <cell r="P209">
            <v>10621472</v>
          </cell>
          <cell r="Q209">
            <v>10974622</v>
          </cell>
          <cell r="R209">
            <v>11343926</v>
          </cell>
          <cell r="S209">
            <v>11732958</v>
          </cell>
          <cell r="T209">
            <v>12144135</v>
          </cell>
          <cell r="U209">
            <v>12578407</v>
          </cell>
          <cell r="V209">
            <v>13034625</v>
          </cell>
          <cell r="W209">
            <v>13510421</v>
          </cell>
          <cell r="X209">
            <v>14002303</v>
          </cell>
          <cell r="Y209">
            <v>14507468</v>
          </cell>
          <cell r="Z209">
            <v>15027248</v>
          </cell>
          <cell r="AA209">
            <v>15562125</v>
          </cell>
          <cell r="AB209">
            <v>16107620</v>
          </cell>
          <cell r="AC209">
            <v>16657959</v>
          </cell>
          <cell r="AD209">
            <v>17210187</v>
          </cell>
          <cell r="AE209">
            <v>17757491</v>
          </cell>
          <cell r="AF209">
            <v>18303435</v>
          </cell>
          <cell r="AG209">
            <v>18867560</v>
          </cell>
          <cell r="AH209">
            <v>19476647</v>
          </cell>
          <cell r="AI209">
            <v>20147590</v>
          </cell>
          <cell r="AJ209">
            <v>20891441</v>
          </cell>
          <cell r="AK209">
            <v>21696244</v>
          </cell>
          <cell r="AL209">
            <v>22527834</v>
          </cell>
          <cell r="AM209">
            <v>23338464</v>
          </cell>
          <cell r="AN209">
            <v>24094747</v>
          </cell>
          <cell r="AO209">
            <v>24782383</v>
          </cell>
          <cell r="AP209">
            <v>25413917</v>
          </cell>
          <cell r="AQ209">
            <v>26015521</v>
          </cell>
          <cell r="AR209">
            <v>26626520</v>
          </cell>
          <cell r="AS209">
            <v>27275015</v>
          </cell>
          <cell r="AT209">
            <v>27971082</v>
          </cell>
          <cell r="AU209">
            <v>28704778</v>
          </cell>
          <cell r="AV209">
            <v>29460519</v>
          </cell>
          <cell r="AW209">
            <v>30214193</v>
          </cell>
          <cell r="AX209">
            <v>30949516</v>
          </cell>
          <cell r="AY209">
            <v>31661823</v>
          </cell>
          <cell r="AZ209">
            <v>32360621</v>
          </cell>
          <cell r="BA209">
            <v>33060837</v>
          </cell>
          <cell r="BB209">
            <v>33783788</v>
          </cell>
          <cell r="BC209">
            <v>34545013</v>
          </cell>
          <cell r="BD209">
            <v>35349681</v>
          </cell>
          <cell r="BE209">
            <v>36193783</v>
          </cell>
          <cell r="BF209">
            <v>37072550</v>
          </cell>
          <cell r="BG209">
            <v>37977655</v>
          </cell>
          <cell r="BH209">
            <v>38902950</v>
          </cell>
          <cell r="BI209">
            <v>39847440</v>
          </cell>
          <cell r="BJ209">
            <v>40813396</v>
          </cell>
          <cell r="BK209">
            <v>41801533</v>
          </cell>
        </row>
        <row r="210">
          <cell r="B210" t="str">
            <v>SEN</v>
          </cell>
          <cell r="C210" t="str">
            <v>Population, total</v>
          </cell>
          <cell r="D210" t="str">
            <v>SP.POP.TOTL</v>
          </cell>
          <cell r="E210">
            <v>3206749</v>
          </cell>
          <cell r="F210">
            <v>3295278</v>
          </cell>
          <cell r="G210">
            <v>3386806</v>
          </cell>
          <cell r="H210">
            <v>3481654</v>
          </cell>
          <cell r="I210">
            <v>3580239</v>
          </cell>
          <cell r="J210">
            <v>3682876</v>
          </cell>
          <cell r="K210">
            <v>3789383</v>
          </cell>
          <cell r="L210">
            <v>3899644</v>
          </cell>
          <cell r="M210">
            <v>4014103</v>
          </cell>
          <cell r="N210">
            <v>4133322</v>
          </cell>
          <cell r="O210">
            <v>4257505</v>
          </cell>
          <cell r="P210">
            <v>4387540</v>
          </cell>
          <cell r="Q210">
            <v>4522893</v>
          </cell>
          <cell r="R210">
            <v>4660725</v>
          </cell>
          <cell r="S210">
            <v>4797187</v>
          </cell>
          <cell r="T210">
            <v>4929846</v>
          </cell>
          <cell r="U210">
            <v>5057378</v>
          </cell>
          <cell r="V210">
            <v>5181514</v>
          </cell>
          <cell r="W210">
            <v>5306681</v>
          </cell>
          <cell r="X210">
            <v>5439066</v>
          </cell>
          <cell r="Y210">
            <v>5583165</v>
          </cell>
          <cell r="Z210">
            <v>5740444</v>
          </cell>
          <cell r="AA210">
            <v>5909739</v>
          </cell>
          <cell r="AB210">
            <v>6089572</v>
          </cell>
          <cell r="AC210">
            <v>6277424</v>
          </cell>
          <cell r="AD210">
            <v>6471327</v>
          </cell>
          <cell r="AE210">
            <v>6670663</v>
          </cell>
          <cell r="AF210">
            <v>6875754</v>
          </cell>
          <cell r="AG210">
            <v>7086627</v>
          </cell>
          <cell r="AH210">
            <v>7303517</v>
          </cell>
          <cell r="AI210">
            <v>7526307</v>
          </cell>
          <cell r="AJ210">
            <v>7755496</v>
          </cell>
          <cell r="AK210">
            <v>7990096</v>
          </cell>
          <cell r="AL210">
            <v>8226760</v>
          </cell>
          <cell r="AM210">
            <v>8461068</v>
          </cell>
          <cell r="AN210">
            <v>8690164</v>
          </cell>
          <cell r="AO210">
            <v>8912861</v>
          </cell>
          <cell r="AP210">
            <v>9130877</v>
          </cell>
          <cell r="AQ210">
            <v>9347774</v>
          </cell>
          <cell r="AR210">
            <v>9568722</v>
          </cell>
          <cell r="AS210">
            <v>9797734</v>
          </cell>
          <cell r="AT210">
            <v>10036104</v>
          </cell>
          <cell r="AU210">
            <v>10283699</v>
          </cell>
          <cell r="AV210">
            <v>10541467</v>
          </cell>
          <cell r="AW210">
            <v>10810083</v>
          </cell>
          <cell r="AX210">
            <v>11090116</v>
          </cell>
          <cell r="AY210">
            <v>11382268</v>
          </cell>
          <cell r="AZ210">
            <v>11687080</v>
          </cell>
          <cell r="BA210">
            <v>12004701</v>
          </cell>
          <cell r="BB210">
            <v>12335084</v>
          </cell>
          <cell r="BC210">
            <v>12678148</v>
          </cell>
          <cell r="BD210">
            <v>13033809</v>
          </cell>
          <cell r="BE210">
            <v>13401991</v>
          </cell>
          <cell r="BF210">
            <v>13782420</v>
          </cell>
          <cell r="BG210">
            <v>14174731</v>
          </cell>
          <cell r="BH210">
            <v>14578459</v>
          </cell>
          <cell r="BI210">
            <v>14993528</v>
          </cell>
          <cell r="BJ210">
            <v>15419381</v>
          </cell>
          <cell r="BK210">
            <v>15854360</v>
          </cell>
        </row>
        <row r="211">
          <cell r="B211" t="str">
            <v>SGP</v>
          </cell>
          <cell r="C211" t="str">
            <v>Population, total</v>
          </cell>
          <cell r="D211" t="str">
            <v>SP.POP.TOTL</v>
          </cell>
          <cell r="E211">
            <v>1646400</v>
          </cell>
          <cell r="F211">
            <v>1702400</v>
          </cell>
          <cell r="G211">
            <v>1750200</v>
          </cell>
          <cell r="H211">
            <v>1795000</v>
          </cell>
          <cell r="I211">
            <v>1841600</v>
          </cell>
          <cell r="J211">
            <v>1886900</v>
          </cell>
          <cell r="K211">
            <v>1934400</v>
          </cell>
          <cell r="L211">
            <v>1977600</v>
          </cell>
          <cell r="M211">
            <v>2012000</v>
          </cell>
          <cell r="N211">
            <v>2042500</v>
          </cell>
          <cell r="O211">
            <v>2074507</v>
          </cell>
          <cell r="P211">
            <v>2112900</v>
          </cell>
          <cell r="Q211">
            <v>2152400</v>
          </cell>
          <cell r="R211">
            <v>2193000</v>
          </cell>
          <cell r="S211">
            <v>2229800</v>
          </cell>
          <cell r="T211">
            <v>2262600</v>
          </cell>
          <cell r="U211">
            <v>2293300</v>
          </cell>
          <cell r="V211">
            <v>2325300</v>
          </cell>
          <cell r="W211">
            <v>2353600</v>
          </cell>
          <cell r="X211">
            <v>2383500</v>
          </cell>
          <cell r="Y211">
            <v>2413945</v>
          </cell>
          <cell r="Z211">
            <v>2532835</v>
          </cell>
          <cell r="AA211">
            <v>2646466</v>
          </cell>
          <cell r="AB211">
            <v>2681061</v>
          </cell>
          <cell r="AC211">
            <v>2732221</v>
          </cell>
          <cell r="AD211">
            <v>2735957</v>
          </cell>
          <cell r="AE211">
            <v>2733373</v>
          </cell>
          <cell r="AF211">
            <v>2774789</v>
          </cell>
          <cell r="AG211">
            <v>2846108</v>
          </cell>
          <cell r="AH211">
            <v>2930901</v>
          </cell>
          <cell r="AI211">
            <v>3047132</v>
          </cell>
          <cell r="AJ211">
            <v>3135083</v>
          </cell>
          <cell r="AK211">
            <v>3230698</v>
          </cell>
          <cell r="AL211">
            <v>3313471</v>
          </cell>
          <cell r="AM211">
            <v>3419048</v>
          </cell>
          <cell r="AN211">
            <v>3524506</v>
          </cell>
          <cell r="AO211">
            <v>3670704</v>
          </cell>
          <cell r="AP211">
            <v>3796038</v>
          </cell>
          <cell r="AQ211">
            <v>3927213</v>
          </cell>
          <cell r="AR211">
            <v>3958723</v>
          </cell>
          <cell r="AS211">
            <v>4027887</v>
          </cell>
          <cell r="AT211">
            <v>4138012</v>
          </cell>
          <cell r="AU211">
            <v>4175950</v>
          </cell>
          <cell r="AV211">
            <v>4114826</v>
          </cell>
          <cell r="AW211">
            <v>4166664</v>
          </cell>
          <cell r="AX211">
            <v>4265762</v>
          </cell>
          <cell r="AY211">
            <v>4401365</v>
          </cell>
          <cell r="AZ211">
            <v>4588599</v>
          </cell>
          <cell r="BA211">
            <v>4839396</v>
          </cell>
          <cell r="BB211">
            <v>4987573</v>
          </cell>
          <cell r="BC211">
            <v>5076732</v>
          </cell>
          <cell r="BD211">
            <v>5183688</v>
          </cell>
          <cell r="BE211">
            <v>5312437</v>
          </cell>
          <cell r="BF211">
            <v>5399162</v>
          </cell>
          <cell r="BG211">
            <v>5469724</v>
          </cell>
          <cell r="BH211">
            <v>5535002</v>
          </cell>
          <cell r="BI211">
            <v>5607283</v>
          </cell>
          <cell r="BJ211">
            <v>5612253</v>
          </cell>
          <cell r="BK211">
            <v>5638676</v>
          </cell>
        </row>
        <row r="212">
          <cell r="B212" t="str">
            <v>SLB</v>
          </cell>
          <cell r="C212" t="str">
            <v>Population, total</v>
          </cell>
          <cell r="D212" t="str">
            <v>SP.POP.TOTL</v>
          </cell>
          <cell r="E212">
            <v>117849</v>
          </cell>
          <cell r="F212">
            <v>121378</v>
          </cell>
          <cell r="G212">
            <v>125040</v>
          </cell>
          <cell r="H212">
            <v>128838</v>
          </cell>
          <cell r="I212">
            <v>132759</v>
          </cell>
          <cell r="J212">
            <v>136816</v>
          </cell>
          <cell r="K212">
            <v>140991</v>
          </cell>
          <cell r="L212">
            <v>145317</v>
          </cell>
          <cell r="M212">
            <v>149881</v>
          </cell>
          <cell r="N212">
            <v>154830</v>
          </cell>
          <cell r="O212">
            <v>160250</v>
          </cell>
          <cell r="P212">
            <v>166162</v>
          </cell>
          <cell r="Q212">
            <v>172552</v>
          </cell>
          <cell r="R212">
            <v>179305</v>
          </cell>
          <cell r="S212">
            <v>186295</v>
          </cell>
          <cell r="T212">
            <v>193402</v>
          </cell>
          <cell r="U212">
            <v>200599</v>
          </cell>
          <cell r="V212">
            <v>207890</v>
          </cell>
          <cell r="W212">
            <v>215295</v>
          </cell>
          <cell r="X212">
            <v>222840</v>
          </cell>
          <cell r="Y212">
            <v>230546</v>
          </cell>
          <cell r="Z212">
            <v>238429</v>
          </cell>
          <cell r="AA212">
            <v>246447</v>
          </cell>
          <cell r="AB212">
            <v>254559</v>
          </cell>
          <cell r="AC212">
            <v>262687</v>
          </cell>
          <cell r="AD212">
            <v>270788</v>
          </cell>
          <cell r="AE212">
            <v>278837</v>
          </cell>
          <cell r="AF212">
            <v>286870</v>
          </cell>
          <cell r="AG212">
            <v>294972</v>
          </cell>
          <cell r="AH212">
            <v>303272</v>
          </cell>
          <cell r="AI212">
            <v>311866</v>
          </cell>
          <cell r="AJ212">
            <v>320780</v>
          </cell>
          <cell r="AK212">
            <v>329995</v>
          </cell>
          <cell r="AL212">
            <v>339504</v>
          </cell>
          <cell r="AM212">
            <v>349281</v>
          </cell>
          <cell r="AN212">
            <v>359281</v>
          </cell>
          <cell r="AO212">
            <v>369523</v>
          </cell>
          <cell r="AP212">
            <v>379999</v>
          </cell>
          <cell r="AQ212">
            <v>390693</v>
          </cell>
          <cell r="AR212">
            <v>401586</v>
          </cell>
          <cell r="AS212">
            <v>412660</v>
          </cell>
          <cell r="AT212">
            <v>423944</v>
          </cell>
          <cell r="AU212">
            <v>435432</v>
          </cell>
          <cell r="AV212">
            <v>447017</v>
          </cell>
          <cell r="AW212">
            <v>458539</v>
          </cell>
          <cell r="AX212">
            <v>469918</v>
          </cell>
          <cell r="AY212">
            <v>481078</v>
          </cell>
          <cell r="AZ212">
            <v>492132</v>
          </cell>
          <cell r="BA212">
            <v>503360</v>
          </cell>
          <cell r="BB212">
            <v>515181</v>
          </cell>
          <cell r="BC212">
            <v>527861</v>
          </cell>
          <cell r="BD212">
            <v>541521</v>
          </cell>
          <cell r="BE212">
            <v>556064</v>
          </cell>
          <cell r="BF212">
            <v>571335</v>
          </cell>
          <cell r="BG212">
            <v>587079</v>
          </cell>
          <cell r="BH212">
            <v>603118</v>
          </cell>
          <cell r="BI212">
            <v>619437</v>
          </cell>
          <cell r="BJ212">
            <v>636038</v>
          </cell>
          <cell r="BK212">
            <v>652858</v>
          </cell>
        </row>
        <row r="213">
          <cell r="B213" t="str">
            <v>SLE</v>
          </cell>
          <cell r="C213" t="str">
            <v>Population, total</v>
          </cell>
          <cell r="D213" t="str">
            <v>SP.POP.TOTL</v>
          </cell>
          <cell r="E213">
            <v>2317636</v>
          </cell>
          <cell r="F213">
            <v>2352363</v>
          </cell>
          <cell r="G213">
            <v>2388769</v>
          </cell>
          <cell r="H213">
            <v>2426857</v>
          </cell>
          <cell r="I213">
            <v>2466667</v>
          </cell>
          <cell r="J213">
            <v>2508219</v>
          </cell>
          <cell r="K213">
            <v>2551578</v>
          </cell>
          <cell r="L213">
            <v>2596805</v>
          </cell>
          <cell r="M213">
            <v>2644020</v>
          </cell>
          <cell r="N213">
            <v>2693348</v>
          </cell>
          <cell r="O213">
            <v>2744891</v>
          </cell>
          <cell r="P213">
            <v>2798724</v>
          </cell>
          <cell r="Q213">
            <v>2854872</v>
          </cell>
          <cell r="R213">
            <v>2913344</v>
          </cell>
          <cell r="S213">
            <v>2974104</v>
          </cell>
          <cell r="T213">
            <v>3037154</v>
          </cell>
          <cell r="U213">
            <v>3102592</v>
          </cell>
          <cell r="V213">
            <v>3170508</v>
          </cell>
          <cell r="W213">
            <v>3240839</v>
          </cell>
          <cell r="X213">
            <v>3313504</v>
          </cell>
          <cell r="Y213">
            <v>3388495</v>
          </cell>
          <cell r="Z213">
            <v>3464106</v>
          </cell>
          <cell r="AA213">
            <v>3540170</v>
          </cell>
          <cell r="AB213">
            <v>3619847</v>
          </cell>
          <cell r="AC213">
            <v>3707510</v>
          </cell>
          <cell r="AD213">
            <v>3805311</v>
          </cell>
          <cell r="AE213">
            <v>3916685</v>
          </cell>
          <cell r="AF213">
            <v>4038144</v>
          </cell>
          <cell r="AG213">
            <v>4156634</v>
          </cell>
          <cell r="AH213">
            <v>4254444</v>
          </cell>
          <cell r="AI213">
            <v>4319762</v>
          </cell>
          <cell r="AJ213">
            <v>4348660</v>
          </cell>
          <cell r="AK213">
            <v>4347724</v>
          </cell>
          <cell r="AL213">
            <v>4328957</v>
          </cell>
          <cell r="AM213">
            <v>4309775</v>
          </cell>
          <cell r="AN213">
            <v>4303957</v>
          </cell>
          <cell r="AO213">
            <v>4312666</v>
          </cell>
          <cell r="AP213">
            <v>4335301</v>
          </cell>
          <cell r="AQ213">
            <v>4381483</v>
          </cell>
          <cell r="AR213">
            <v>4462378</v>
          </cell>
          <cell r="AS213">
            <v>4584571</v>
          </cell>
          <cell r="AT213">
            <v>4754072</v>
          </cell>
          <cell r="AU213">
            <v>4965766</v>
          </cell>
          <cell r="AV213">
            <v>5201070</v>
          </cell>
          <cell r="AW213">
            <v>5433991</v>
          </cell>
          <cell r="AX213">
            <v>5645624</v>
          </cell>
          <cell r="AY213">
            <v>5829237</v>
          </cell>
          <cell r="AZ213">
            <v>5989633</v>
          </cell>
          <cell r="BA213">
            <v>6133603</v>
          </cell>
          <cell r="BB213">
            <v>6272734</v>
          </cell>
          <cell r="BC213">
            <v>6415634</v>
          </cell>
          <cell r="BD213">
            <v>6563240</v>
          </cell>
          <cell r="BE213">
            <v>6712581</v>
          </cell>
          <cell r="BF213">
            <v>6863980</v>
          </cell>
          <cell r="BG213">
            <v>7017144</v>
          </cell>
          <cell r="BH213">
            <v>7171914</v>
          </cell>
          <cell r="BI213">
            <v>7328838</v>
          </cell>
          <cell r="BJ213">
            <v>7488431</v>
          </cell>
          <cell r="BK213">
            <v>7650154</v>
          </cell>
        </row>
        <row r="214">
          <cell r="B214" t="str">
            <v>SLV</v>
          </cell>
          <cell r="C214" t="str">
            <v>Population, total</v>
          </cell>
          <cell r="D214" t="str">
            <v>SP.POP.TOTL</v>
          </cell>
          <cell r="E214">
            <v>2766324</v>
          </cell>
          <cell r="F214">
            <v>2846600</v>
          </cell>
          <cell r="G214">
            <v>2931192</v>
          </cell>
          <cell r="H214">
            <v>3019224</v>
          </cell>
          <cell r="I214">
            <v>3109563</v>
          </cell>
          <cell r="J214">
            <v>3201313</v>
          </cell>
          <cell r="K214">
            <v>3293952</v>
          </cell>
          <cell r="L214">
            <v>3387383</v>
          </cell>
          <cell r="M214">
            <v>3481624</v>
          </cell>
          <cell r="N214">
            <v>3576838</v>
          </cell>
          <cell r="O214">
            <v>3673068</v>
          </cell>
          <cell r="P214">
            <v>3770059</v>
          </cell>
          <cell r="Q214">
            <v>3867309</v>
          </cell>
          <cell r="R214">
            <v>3964270</v>
          </cell>
          <cell r="S214">
            <v>4060260</v>
          </cell>
          <cell r="T214">
            <v>4154692</v>
          </cell>
          <cell r="U214">
            <v>4247502</v>
          </cell>
          <cell r="V214">
            <v>4338458</v>
          </cell>
          <cell r="W214">
            <v>4426675</v>
          </cell>
          <cell r="X214">
            <v>4511129</v>
          </cell>
          <cell r="Y214">
            <v>4591134</v>
          </cell>
          <cell r="Z214">
            <v>4666364</v>
          </cell>
          <cell r="AA214">
            <v>4737257</v>
          </cell>
          <cell r="AB214">
            <v>4804935</v>
          </cell>
          <cell r="AC214">
            <v>4871035</v>
          </cell>
          <cell r="AD214">
            <v>4936807</v>
          </cell>
          <cell r="AE214">
            <v>5002336</v>
          </cell>
          <cell r="AF214">
            <v>5067537</v>
          </cell>
          <cell r="AG214">
            <v>5133274</v>
          </cell>
          <cell r="AH214">
            <v>5200602</v>
          </cell>
          <cell r="AI214">
            <v>5270079</v>
          </cell>
          <cell r="AJ214">
            <v>5342198</v>
          </cell>
          <cell r="AK214">
            <v>5416323</v>
          </cell>
          <cell r="AL214">
            <v>5490477</v>
          </cell>
          <cell r="AM214">
            <v>5561919</v>
          </cell>
          <cell r="AN214">
            <v>5628600</v>
          </cell>
          <cell r="AO214">
            <v>5689938</v>
          </cell>
          <cell r="AP214">
            <v>5746284</v>
          </cell>
          <cell r="AQ214">
            <v>5797765</v>
          </cell>
          <cell r="AR214">
            <v>5844846</v>
          </cell>
          <cell r="AS214">
            <v>5887936</v>
          </cell>
          <cell r="AT214">
            <v>5927006</v>
          </cell>
          <cell r="AU214">
            <v>5962136</v>
          </cell>
          <cell r="AV214">
            <v>5994077</v>
          </cell>
          <cell r="AW214">
            <v>6023797</v>
          </cell>
          <cell r="AX214">
            <v>6052123</v>
          </cell>
          <cell r="AY214">
            <v>6079399</v>
          </cell>
          <cell r="AZ214">
            <v>6105810</v>
          </cell>
          <cell r="BA214">
            <v>6131764</v>
          </cell>
          <cell r="BB214">
            <v>6157686</v>
          </cell>
          <cell r="BC214">
            <v>6183875</v>
          </cell>
          <cell r="BD214">
            <v>6210568</v>
          </cell>
          <cell r="BE214">
            <v>6237923</v>
          </cell>
          <cell r="BF214">
            <v>6266070</v>
          </cell>
          <cell r="BG214">
            <v>6295128</v>
          </cell>
          <cell r="BH214">
            <v>6325124</v>
          </cell>
          <cell r="BI214">
            <v>6356143</v>
          </cell>
          <cell r="BJ214">
            <v>6388122</v>
          </cell>
          <cell r="BK214">
            <v>6420744</v>
          </cell>
        </row>
        <row r="215">
          <cell r="B215" t="str">
            <v>SMR</v>
          </cell>
          <cell r="C215" t="str">
            <v>Population, total</v>
          </cell>
          <cell r="D215" t="str">
            <v>SP.POP.TOTL</v>
          </cell>
          <cell r="E215">
            <v>15432</v>
          </cell>
          <cell r="F215">
            <v>15837</v>
          </cell>
          <cell r="G215">
            <v>16255</v>
          </cell>
          <cell r="H215">
            <v>16679</v>
          </cell>
          <cell r="I215">
            <v>17099</v>
          </cell>
          <cell r="J215">
            <v>17513</v>
          </cell>
          <cell r="K215">
            <v>17918</v>
          </cell>
          <cell r="L215">
            <v>18307</v>
          </cell>
          <cell r="M215">
            <v>18668</v>
          </cell>
          <cell r="N215">
            <v>18977</v>
          </cell>
          <cell r="O215">
            <v>19221</v>
          </cell>
          <cell r="P215">
            <v>19389</v>
          </cell>
          <cell r="Q215">
            <v>19494</v>
          </cell>
          <cell r="R215">
            <v>19566</v>
          </cell>
          <cell r="S215">
            <v>19664</v>
          </cell>
          <cell r="T215">
            <v>19831</v>
          </cell>
          <cell r="U215">
            <v>20083</v>
          </cell>
          <cell r="V215">
            <v>20397</v>
          </cell>
          <cell r="W215">
            <v>20760</v>
          </cell>
          <cell r="X215">
            <v>21127</v>
          </cell>
          <cell r="Y215">
            <v>21459</v>
          </cell>
          <cell r="Z215">
            <v>21765</v>
          </cell>
          <cell r="AA215">
            <v>22037</v>
          </cell>
          <cell r="AB215">
            <v>22299</v>
          </cell>
          <cell r="AC215">
            <v>22549</v>
          </cell>
          <cell r="AD215">
            <v>22798</v>
          </cell>
          <cell r="AE215">
            <v>23046</v>
          </cell>
          <cell r="AF215">
            <v>23295</v>
          </cell>
          <cell r="AG215">
            <v>23551</v>
          </cell>
          <cell r="AH215">
            <v>23817</v>
          </cell>
          <cell r="AI215">
            <v>24125</v>
          </cell>
          <cell r="AJ215">
            <v>24460</v>
          </cell>
          <cell r="AK215">
            <v>24822</v>
          </cell>
          <cell r="AL215">
            <v>25209</v>
          </cell>
          <cell r="AM215">
            <v>25582</v>
          </cell>
          <cell r="AN215">
            <v>25928</v>
          </cell>
          <cell r="AO215">
            <v>26252</v>
          </cell>
          <cell r="AP215">
            <v>26562</v>
          </cell>
          <cell r="AQ215">
            <v>26840</v>
          </cell>
          <cell r="AR215">
            <v>27145</v>
          </cell>
          <cell r="AS215">
            <v>27462</v>
          </cell>
          <cell r="AT215">
            <v>27812</v>
          </cell>
          <cell r="AU215">
            <v>28175</v>
          </cell>
          <cell r="AV215">
            <v>28562</v>
          </cell>
          <cell r="AW215">
            <v>28940</v>
          </cell>
          <cell r="AX215">
            <v>29324</v>
          </cell>
          <cell r="AY215">
            <v>29700</v>
          </cell>
          <cell r="AZ215">
            <v>30063</v>
          </cell>
          <cell r="BA215">
            <v>30434</v>
          </cell>
          <cell r="BB215">
            <v>30816</v>
          </cell>
          <cell r="BC215">
            <v>31229</v>
          </cell>
          <cell r="BD215">
            <v>31661</v>
          </cell>
          <cell r="BE215">
            <v>32105</v>
          </cell>
          <cell r="BF215">
            <v>32553</v>
          </cell>
          <cell r="BG215">
            <v>32948</v>
          </cell>
          <cell r="BH215">
            <v>33272</v>
          </cell>
          <cell r="BI215">
            <v>33504</v>
          </cell>
          <cell r="BJ215">
            <v>33671</v>
          </cell>
          <cell r="BK215">
            <v>33785</v>
          </cell>
        </row>
        <row r="216">
          <cell r="B216" t="str">
            <v>SOM</v>
          </cell>
          <cell r="C216" t="str">
            <v>Population, total</v>
          </cell>
          <cell r="D216" t="str">
            <v>SP.POP.TOTL</v>
          </cell>
          <cell r="E216">
            <v>2755972</v>
          </cell>
          <cell r="F216">
            <v>2814118</v>
          </cell>
          <cell r="G216">
            <v>2874218</v>
          </cell>
          <cell r="H216">
            <v>2936477</v>
          </cell>
          <cell r="I216">
            <v>3001158</v>
          </cell>
          <cell r="J216">
            <v>3068459</v>
          </cell>
          <cell r="K216">
            <v>3143648</v>
          </cell>
          <cell r="L216">
            <v>3227841</v>
          </cell>
          <cell r="M216">
            <v>3312742</v>
          </cell>
          <cell r="N216">
            <v>3386738</v>
          </cell>
          <cell r="O216">
            <v>3444568</v>
          </cell>
          <cell r="P216">
            <v>3472367</v>
          </cell>
          <cell r="Q216">
            <v>3479790</v>
          </cell>
          <cell r="R216">
            <v>3512623</v>
          </cell>
          <cell r="S216">
            <v>3632990</v>
          </cell>
          <cell r="T216">
            <v>3880292</v>
          </cell>
          <cell r="U216">
            <v>4278973</v>
          </cell>
          <cell r="V216">
            <v>4802141</v>
          </cell>
          <cell r="W216">
            <v>5375017</v>
          </cell>
          <cell r="X216">
            <v>5892755</v>
          </cell>
          <cell r="Y216">
            <v>6281134</v>
          </cell>
          <cell r="Z216">
            <v>6511113</v>
          </cell>
          <cell r="AA216">
            <v>6608044</v>
          </cell>
          <cell r="AB216">
            <v>6618588</v>
          </cell>
          <cell r="AC216">
            <v>6614715</v>
          </cell>
          <cell r="AD216">
            <v>6648627</v>
          </cell>
          <cell r="AE216">
            <v>6736748</v>
          </cell>
          <cell r="AF216">
            <v>6862273</v>
          </cell>
          <cell r="AG216">
            <v>7005234</v>
          </cell>
          <cell r="AH216">
            <v>7133258</v>
          </cell>
          <cell r="AI216">
            <v>7225092</v>
          </cell>
          <cell r="AJ216">
            <v>7274030</v>
          </cell>
          <cell r="AK216">
            <v>7295384</v>
          </cell>
          <cell r="AL216">
            <v>7315865</v>
          </cell>
          <cell r="AM216">
            <v>7372598</v>
          </cell>
          <cell r="AN216">
            <v>7491637</v>
          </cell>
          <cell r="AO216">
            <v>7682686</v>
          </cell>
          <cell r="AP216">
            <v>7936127</v>
          </cell>
          <cell r="AQ216">
            <v>8235064</v>
          </cell>
          <cell r="AR216">
            <v>8553601</v>
          </cell>
          <cell r="AS216">
            <v>8872254</v>
          </cell>
          <cell r="AT216">
            <v>9186725</v>
          </cell>
          <cell r="AU216">
            <v>9501342</v>
          </cell>
          <cell r="AV216">
            <v>9815412</v>
          </cell>
          <cell r="AW216">
            <v>10130243</v>
          </cell>
          <cell r="AX216">
            <v>10446863</v>
          </cell>
          <cell r="AY216">
            <v>10763905</v>
          </cell>
          <cell r="AZ216">
            <v>11080121</v>
          </cell>
          <cell r="BA216">
            <v>11397188</v>
          </cell>
          <cell r="BB216">
            <v>11717692</v>
          </cell>
          <cell r="BC216">
            <v>12043883</v>
          </cell>
          <cell r="BD216">
            <v>12376302</v>
          </cell>
          <cell r="BE216">
            <v>12715510</v>
          </cell>
          <cell r="BF216">
            <v>13063706</v>
          </cell>
          <cell r="BG216">
            <v>13423576</v>
          </cell>
          <cell r="BH216">
            <v>13797201</v>
          </cell>
          <cell r="BI216">
            <v>14185613</v>
          </cell>
          <cell r="BJ216">
            <v>14589119</v>
          </cell>
          <cell r="BK216">
            <v>15008154</v>
          </cell>
        </row>
        <row r="217">
          <cell r="B217" t="str">
            <v>SRB</v>
          </cell>
          <cell r="C217" t="str">
            <v>Population, total</v>
          </cell>
          <cell r="D217" t="str">
            <v>SP.POP.TOTL</v>
          </cell>
          <cell r="AI217">
            <v>7586000</v>
          </cell>
          <cell r="AJ217">
            <v>7595636</v>
          </cell>
          <cell r="AK217">
            <v>7646424</v>
          </cell>
          <cell r="AL217">
            <v>7699307</v>
          </cell>
          <cell r="AM217">
            <v>7734639</v>
          </cell>
          <cell r="AN217">
            <v>7625357</v>
          </cell>
          <cell r="AO217">
            <v>7617794</v>
          </cell>
          <cell r="AP217">
            <v>7596501</v>
          </cell>
          <cell r="AQ217">
            <v>7567745</v>
          </cell>
          <cell r="AR217">
            <v>7540401</v>
          </cell>
          <cell r="AS217">
            <v>7516346</v>
          </cell>
          <cell r="AT217">
            <v>7503433</v>
          </cell>
          <cell r="AU217">
            <v>7496522</v>
          </cell>
          <cell r="AV217">
            <v>7480591</v>
          </cell>
          <cell r="AW217">
            <v>7463157</v>
          </cell>
          <cell r="AX217">
            <v>7440769</v>
          </cell>
          <cell r="AY217">
            <v>7411569</v>
          </cell>
          <cell r="AZ217">
            <v>7381579</v>
          </cell>
          <cell r="BA217">
            <v>7350222</v>
          </cell>
          <cell r="BB217">
            <v>7320807</v>
          </cell>
          <cell r="BC217">
            <v>7291436</v>
          </cell>
          <cell r="BD217">
            <v>7234099</v>
          </cell>
          <cell r="BE217">
            <v>7199077</v>
          </cell>
          <cell r="BF217">
            <v>7164132</v>
          </cell>
          <cell r="BG217">
            <v>7130576</v>
          </cell>
          <cell r="BH217">
            <v>7095383</v>
          </cell>
          <cell r="BI217">
            <v>7058322</v>
          </cell>
          <cell r="BJ217">
            <v>7020858</v>
          </cell>
          <cell r="BK217">
            <v>6982604</v>
          </cell>
        </row>
        <row r="218">
          <cell r="B218" t="str">
            <v>SSA</v>
          </cell>
          <cell r="C218" t="str">
            <v>Population, total</v>
          </cell>
          <cell r="D218" t="str">
            <v>SP.POP.TOTL</v>
          </cell>
          <cell r="E218">
            <v>227191523</v>
          </cell>
          <cell r="F218">
            <v>232524149</v>
          </cell>
          <cell r="G218">
            <v>238077656</v>
          </cell>
          <cell r="H218">
            <v>243848250</v>
          </cell>
          <cell r="I218">
            <v>249827421</v>
          </cell>
          <cell r="J218">
            <v>256012311</v>
          </cell>
          <cell r="K218">
            <v>262405723</v>
          </cell>
          <cell r="L218">
            <v>269022313</v>
          </cell>
          <cell r="M218">
            <v>275886090</v>
          </cell>
          <cell r="N218">
            <v>283027719</v>
          </cell>
          <cell r="O218">
            <v>290472589</v>
          </cell>
          <cell r="P218">
            <v>298229373</v>
          </cell>
          <cell r="Q218">
            <v>306303245</v>
          </cell>
          <cell r="R218">
            <v>314704275</v>
          </cell>
          <cell r="S218">
            <v>323442251</v>
          </cell>
          <cell r="T218">
            <v>332524194</v>
          </cell>
          <cell r="U218">
            <v>341958327</v>
          </cell>
          <cell r="V218">
            <v>351746884</v>
          </cell>
          <cell r="W218">
            <v>361877211</v>
          </cell>
          <cell r="X218">
            <v>372341499</v>
          </cell>
          <cell r="Y218">
            <v>383124971</v>
          </cell>
          <cell r="Z218">
            <v>394217921</v>
          </cell>
          <cell r="AA218">
            <v>405624490</v>
          </cell>
          <cell r="AB218">
            <v>417361346</v>
          </cell>
          <cell r="AC218">
            <v>429457221</v>
          </cell>
          <cell r="AD218">
            <v>441922766</v>
          </cell>
          <cell r="AE218">
            <v>454769977</v>
          </cell>
          <cell r="AF218">
            <v>467984669</v>
          </cell>
          <cell r="AG218">
            <v>481525537</v>
          </cell>
          <cell r="AH218">
            <v>495338224</v>
          </cell>
          <cell r="AI218">
            <v>509382344</v>
          </cell>
          <cell r="AJ218">
            <v>523656474</v>
          </cell>
          <cell r="AK218">
            <v>538175706</v>
          </cell>
          <cell r="AL218">
            <v>552948109</v>
          </cell>
          <cell r="AM218">
            <v>567997803</v>
          </cell>
          <cell r="AN218">
            <v>583337957</v>
          </cell>
          <cell r="AO218">
            <v>598991362</v>
          </cell>
          <cell r="AP218">
            <v>614977052</v>
          </cell>
          <cell r="AQ218">
            <v>631321810</v>
          </cell>
          <cell r="AR218">
            <v>648067906</v>
          </cell>
          <cell r="AS218">
            <v>665246450</v>
          </cell>
          <cell r="AT218">
            <v>682874868</v>
          </cell>
          <cell r="AU218">
            <v>700982444</v>
          </cell>
          <cell r="AV218">
            <v>719633428</v>
          </cell>
          <cell r="AW218">
            <v>738900780</v>
          </cell>
          <cell r="AX218">
            <v>758841823</v>
          </cell>
          <cell r="AY218">
            <v>779482220</v>
          </cell>
          <cell r="AZ218">
            <v>800823501</v>
          </cell>
          <cell r="BA218">
            <v>822858501</v>
          </cell>
          <cell r="BB218">
            <v>845567916</v>
          </cell>
          <cell r="BC218">
            <v>868935336</v>
          </cell>
          <cell r="BD218">
            <v>892958731</v>
          </cell>
          <cell r="BE218">
            <v>917638670</v>
          </cell>
          <cell r="BF218">
            <v>942951121</v>
          </cell>
          <cell r="BG218">
            <v>968868428</v>
          </cell>
          <cell r="BH218">
            <v>995365059</v>
          </cell>
          <cell r="BI218">
            <v>1022431864</v>
          </cell>
          <cell r="BJ218">
            <v>1050057829</v>
          </cell>
          <cell r="BK218">
            <v>1078209758</v>
          </cell>
        </row>
        <row r="219">
          <cell r="B219" t="str">
            <v>SSD</v>
          </cell>
          <cell r="C219" t="str">
            <v>Population, total</v>
          </cell>
          <cell r="D219" t="str">
            <v>SP.POP.TOTL</v>
          </cell>
          <cell r="E219">
            <v>2842724</v>
          </cell>
          <cell r="F219">
            <v>2895605</v>
          </cell>
          <cell r="G219">
            <v>2951043</v>
          </cell>
          <cell r="H219">
            <v>3009062</v>
          </cell>
          <cell r="I219">
            <v>3069739</v>
          </cell>
          <cell r="J219">
            <v>3133150</v>
          </cell>
          <cell r="K219">
            <v>3199343</v>
          </cell>
          <cell r="L219">
            <v>3268405</v>
          </cell>
          <cell r="M219">
            <v>3340422</v>
          </cell>
          <cell r="N219">
            <v>3415576</v>
          </cell>
          <cell r="O219">
            <v>3494004</v>
          </cell>
          <cell r="P219">
            <v>3575900</v>
          </cell>
          <cell r="Q219">
            <v>3661440</v>
          </cell>
          <cell r="R219">
            <v>3750782</v>
          </cell>
          <cell r="S219">
            <v>3844104</v>
          </cell>
          <cell r="T219">
            <v>3941618</v>
          </cell>
          <cell r="U219">
            <v>4041791</v>
          </cell>
          <cell r="V219">
            <v>4144554</v>
          </cell>
          <cell r="W219">
            <v>4253083</v>
          </cell>
          <cell r="X219">
            <v>4371714</v>
          </cell>
          <cell r="Y219">
            <v>4502604</v>
          </cell>
          <cell r="Z219">
            <v>4646489</v>
          </cell>
          <cell r="AA219">
            <v>4799434</v>
          </cell>
          <cell r="AB219">
            <v>4953151</v>
          </cell>
          <cell r="AC219">
            <v>5096482</v>
          </cell>
          <cell r="AD219">
            <v>5220747</v>
          </cell>
          <cell r="AE219">
            <v>5328164</v>
          </cell>
          <cell r="AF219">
            <v>5419809</v>
          </cell>
          <cell r="AG219">
            <v>5485282</v>
          </cell>
          <cell r="AH219">
            <v>5511579</v>
          </cell>
          <cell r="AI219">
            <v>5492623</v>
          </cell>
          <cell r="AJ219">
            <v>5420171</v>
          </cell>
          <cell r="AK219">
            <v>5305457</v>
          </cell>
          <cell r="AL219">
            <v>5185699</v>
          </cell>
          <cell r="AM219">
            <v>5111365</v>
          </cell>
          <cell r="AN219">
            <v>5118083</v>
          </cell>
          <cell r="AO219">
            <v>5221926</v>
          </cell>
          <cell r="AP219">
            <v>5411655</v>
          </cell>
          <cell r="AQ219">
            <v>5661942</v>
          </cell>
          <cell r="AR219">
            <v>5933882</v>
          </cell>
          <cell r="AS219">
            <v>6199394</v>
          </cell>
          <cell r="AT219">
            <v>6447793</v>
          </cell>
          <cell r="AU219">
            <v>6688226</v>
          </cell>
          <cell r="AV219">
            <v>6935676</v>
          </cell>
          <cell r="AW219">
            <v>7213351</v>
          </cell>
          <cell r="AX219">
            <v>7535932</v>
          </cell>
          <cell r="AY219">
            <v>7907406</v>
          </cell>
          <cell r="AZ219">
            <v>8315139</v>
          </cell>
          <cell r="BA219">
            <v>8736939</v>
          </cell>
          <cell r="BB219">
            <v>9142259</v>
          </cell>
          <cell r="BC219">
            <v>9508364</v>
          </cell>
          <cell r="BD219">
            <v>9830698</v>
          </cell>
          <cell r="BE219">
            <v>10113647</v>
          </cell>
          <cell r="BF219">
            <v>10355036</v>
          </cell>
          <cell r="BG219">
            <v>10554883</v>
          </cell>
          <cell r="BH219">
            <v>10715658</v>
          </cell>
          <cell r="BI219">
            <v>10832512</v>
          </cell>
          <cell r="BJ219">
            <v>10910759</v>
          </cell>
          <cell r="BK219">
            <v>10975920</v>
          </cell>
        </row>
        <row r="220">
          <cell r="B220" t="str">
            <v>SSF</v>
          </cell>
          <cell r="C220" t="str">
            <v>Population, total</v>
          </cell>
          <cell r="D220" t="str">
            <v>SP.POP.TOTL</v>
          </cell>
          <cell r="E220">
            <v>227233223</v>
          </cell>
          <cell r="F220">
            <v>232567038</v>
          </cell>
          <cell r="G220">
            <v>238121698</v>
          </cell>
          <cell r="H220">
            <v>243893426</v>
          </cell>
          <cell r="I220">
            <v>249873743</v>
          </cell>
          <cell r="J220">
            <v>256059811</v>
          </cell>
          <cell r="K220">
            <v>262454422</v>
          </cell>
          <cell r="L220">
            <v>269072224</v>
          </cell>
          <cell r="M220">
            <v>275937224</v>
          </cell>
          <cell r="N220">
            <v>283080084</v>
          </cell>
          <cell r="O220">
            <v>290526189</v>
          </cell>
          <cell r="P220">
            <v>298284068</v>
          </cell>
          <cell r="Q220">
            <v>306359274</v>
          </cell>
          <cell r="R220">
            <v>314761167</v>
          </cell>
          <cell r="S220">
            <v>323500188</v>
          </cell>
          <cell r="T220">
            <v>332583486</v>
          </cell>
          <cell r="U220">
            <v>342018831</v>
          </cell>
          <cell r="V220">
            <v>351808670</v>
          </cell>
          <cell r="W220">
            <v>361939361</v>
          </cell>
          <cell r="X220">
            <v>372404185</v>
          </cell>
          <cell r="Y220">
            <v>383188232</v>
          </cell>
          <cell r="Z220">
            <v>394281956</v>
          </cell>
          <cell r="AA220">
            <v>405688903</v>
          </cell>
          <cell r="AB220">
            <v>417425681</v>
          </cell>
          <cell r="AC220">
            <v>429521938</v>
          </cell>
          <cell r="AD220">
            <v>441988010</v>
          </cell>
          <cell r="AE220">
            <v>454835629</v>
          </cell>
          <cell r="AF220">
            <v>468053168</v>
          </cell>
          <cell r="AG220">
            <v>481594292</v>
          </cell>
          <cell r="AH220">
            <v>495407391</v>
          </cell>
          <cell r="AI220">
            <v>509451851</v>
          </cell>
          <cell r="AJ220">
            <v>523726913</v>
          </cell>
          <cell r="AK220">
            <v>538246469</v>
          </cell>
          <cell r="AL220">
            <v>553020362</v>
          </cell>
          <cell r="AM220">
            <v>568072008</v>
          </cell>
          <cell r="AN220">
            <v>583413261</v>
          </cell>
          <cell r="AO220">
            <v>599067779</v>
          </cell>
          <cell r="AP220">
            <v>615054371</v>
          </cell>
          <cell r="AQ220">
            <v>631400656</v>
          </cell>
          <cell r="AR220">
            <v>648148316</v>
          </cell>
          <cell r="AS220">
            <v>665327581</v>
          </cell>
          <cell r="AT220">
            <v>682956070</v>
          </cell>
          <cell r="AU220">
            <v>701066167</v>
          </cell>
          <cell r="AV220">
            <v>719716209</v>
          </cell>
          <cell r="AW220">
            <v>738983255</v>
          </cell>
          <cell r="AX220">
            <v>758924681</v>
          </cell>
          <cell r="AY220">
            <v>779566820</v>
          </cell>
          <cell r="AZ220">
            <v>800908534</v>
          </cell>
          <cell r="BA220">
            <v>822945457</v>
          </cell>
          <cell r="BB220">
            <v>845655214</v>
          </cell>
          <cell r="BC220">
            <v>869025106</v>
          </cell>
          <cell r="BD220">
            <v>893046172</v>
          </cell>
          <cell r="BE220">
            <v>917726973</v>
          </cell>
          <cell r="BF220">
            <v>943041070</v>
          </cell>
          <cell r="BG220">
            <v>968959787</v>
          </cell>
          <cell r="BH220">
            <v>995458478</v>
          </cell>
          <cell r="BI220">
            <v>1022526541</v>
          </cell>
          <cell r="BJ220">
            <v>1050153672</v>
          </cell>
          <cell r="BK220">
            <v>1078306520</v>
          </cell>
        </row>
        <row r="221">
          <cell r="B221" t="str">
            <v>SST</v>
          </cell>
          <cell r="C221" t="str">
            <v>Population, total</v>
          </cell>
          <cell r="D221" t="str">
            <v>SP.POP.TOTL</v>
          </cell>
          <cell r="E221">
            <v>14211639</v>
          </cell>
          <cell r="F221">
            <v>14483282</v>
          </cell>
          <cell r="G221">
            <v>14762138</v>
          </cell>
          <cell r="H221">
            <v>15045773</v>
          </cell>
          <cell r="I221">
            <v>15333405</v>
          </cell>
          <cell r="J221">
            <v>15621028</v>
          </cell>
          <cell r="K221">
            <v>15906032</v>
          </cell>
          <cell r="L221">
            <v>16189727</v>
          </cell>
          <cell r="M221">
            <v>16478305</v>
          </cell>
          <cell r="N221">
            <v>16772164</v>
          </cell>
          <cell r="O221">
            <v>17073346</v>
          </cell>
          <cell r="P221">
            <v>17384861</v>
          </cell>
          <cell r="Q221">
            <v>17702858</v>
          </cell>
          <cell r="R221">
            <v>18024937</v>
          </cell>
          <cell r="S221">
            <v>18352313</v>
          </cell>
          <cell r="T221">
            <v>18688110</v>
          </cell>
          <cell r="U221">
            <v>19027631</v>
          </cell>
          <cell r="V221">
            <v>19373936</v>
          </cell>
          <cell r="W221">
            <v>19729135</v>
          </cell>
          <cell r="X221">
            <v>20104292</v>
          </cell>
          <cell r="Y221">
            <v>20501059</v>
          </cell>
          <cell r="Z221">
            <v>20918882</v>
          </cell>
          <cell r="AA221">
            <v>21359026</v>
          </cell>
          <cell r="AB221">
            <v>21809947</v>
          </cell>
          <cell r="AC221">
            <v>22269313</v>
          </cell>
          <cell r="AD221">
            <v>22740402</v>
          </cell>
          <cell r="AE221">
            <v>23219524</v>
          </cell>
          <cell r="AF221">
            <v>23705899</v>
          </cell>
          <cell r="AG221">
            <v>24190638</v>
          </cell>
          <cell r="AH221">
            <v>24669512</v>
          </cell>
          <cell r="AI221">
            <v>25134362</v>
          </cell>
          <cell r="AJ221">
            <v>25593376</v>
          </cell>
          <cell r="AK221">
            <v>26020302</v>
          </cell>
          <cell r="AL221">
            <v>26428552</v>
          </cell>
          <cell r="AM221">
            <v>26841234</v>
          </cell>
          <cell r="AN221">
            <v>27247899</v>
          </cell>
          <cell r="AO221">
            <v>27660288</v>
          </cell>
          <cell r="AP221">
            <v>28081620</v>
          </cell>
          <cell r="AQ221">
            <v>28504847</v>
          </cell>
          <cell r="AR221">
            <v>28948606</v>
          </cell>
          <cell r="AS221">
            <v>29393029</v>
          </cell>
          <cell r="AT221">
            <v>29820335</v>
          </cell>
          <cell r="AU221">
            <v>30250175</v>
          </cell>
          <cell r="AV221">
            <v>30697311</v>
          </cell>
          <cell r="AW221">
            <v>31189626</v>
          </cell>
          <cell r="AX221">
            <v>31746604</v>
          </cell>
          <cell r="AY221">
            <v>32375210</v>
          </cell>
          <cell r="AZ221">
            <v>33066727</v>
          </cell>
          <cell r="BA221">
            <v>33798838</v>
          </cell>
          <cell r="BB221">
            <v>34529596</v>
          </cell>
          <cell r="BC221">
            <v>35238667</v>
          </cell>
          <cell r="BD221">
            <v>35912147</v>
          </cell>
          <cell r="BE221">
            <v>36568692</v>
          </cell>
          <cell r="BF221">
            <v>37214028</v>
          </cell>
          <cell r="BG221">
            <v>37862981</v>
          </cell>
          <cell r="BH221">
            <v>38526753</v>
          </cell>
          <cell r="BI221">
            <v>39200572</v>
          </cell>
          <cell r="BJ221">
            <v>39885876</v>
          </cell>
          <cell r="BK221">
            <v>40575321</v>
          </cell>
        </row>
        <row r="222">
          <cell r="B222" t="str">
            <v>STP</v>
          </cell>
          <cell r="C222" t="str">
            <v>Population, total</v>
          </cell>
          <cell r="D222" t="str">
            <v>SP.POP.TOTL</v>
          </cell>
          <cell r="E222">
            <v>64302</v>
          </cell>
          <cell r="F222">
            <v>64602</v>
          </cell>
          <cell r="G222">
            <v>64479</v>
          </cell>
          <cell r="H222">
            <v>64231</v>
          </cell>
          <cell r="I222">
            <v>64277</v>
          </cell>
          <cell r="J222">
            <v>64892</v>
          </cell>
          <cell r="K222">
            <v>66183</v>
          </cell>
          <cell r="L222">
            <v>68047</v>
          </cell>
          <cell r="M222">
            <v>70257</v>
          </cell>
          <cell r="N222">
            <v>72507</v>
          </cell>
          <cell r="O222">
            <v>74564</v>
          </cell>
          <cell r="P222">
            <v>76347</v>
          </cell>
          <cell r="Q222">
            <v>77934</v>
          </cell>
          <cell r="R222">
            <v>79464</v>
          </cell>
          <cell r="S222">
            <v>81152</v>
          </cell>
          <cell r="T222">
            <v>83138</v>
          </cell>
          <cell r="U222">
            <v>85481</v>
          </cell>
          <cell r="V222">
            <v>88110</v>
          </cell>
          <cell r="W222">
            <v>90843</v>
          </cell>
          <cell r="X222">
            <v>93461</v>
          </cell>
          <cell r="Y222">
            <v>95794</v>
          </cell>
          <cell r="Z222">
            <v>97770</v>
          </cell>
          <cell r="AA222">
            <v>99473</v>
          </cell>
          <cell r="AB222">
            <v>101066</v>
          </cell>
          <cell r="AC222">
            <v>102829</v>
          </cell>
          <cell r="AD222">
            <v>104924</v>
          </cell>
          <cell r="AE222">
            <v>107429</v>
          </cell>
          <cell r="AF222">
            <v>110254</v>
          </cell>
          <cell r="AG222">
            <v>113285</v>
          </cell>
          <cell r="AH222">
            <v>116320</v>
          </cell>
          <cell r="AI222">
            <v>119209</v>
          </cell>
          <cell r="AJ222">
            <v>121956</v>
          </cell>
          <cell r="AK222">
            <v>124576</v>
          </cell>
          <cell r="AL222">
            <v>127062</v>
          </cell>
          <cell r="AM222">
            <v>129427</v>
          </cell>
          <cell r="AN222">
            <v>131678</v>
          </cell>
          <cell r="AO222">
            <v>133806</v>
          </cell>
          <cell r="AP222">
            <v>135832</v>
          </cell>
          <cell r="AQ222">
            <v>137848</v>
          </cell>
          <cell r="AR222">
            <v>139959</v>
          </cell>
          <cell r="AS222">
            <v>142262</v>
          </cell>
          <cell r="AT222">
            <v>144755</v>
          </cell>
          <cell r="AU222">
            <v>147447</v>
          </cell>
          <cell r="AV222">
            <v>150415</v>
          </cell>
          <cell r="AW222">
            <v>153737</v>
          </cell>
          <cell r="AX222">
            <v>157472</v>
          </cell>
          <cell r="AY222">
            <v>161681</v>
          </cell>
          <cell r="AZ222">
            <v>166300</v>
          </cell>
          <cell r="BA222">
            <v>171120</v>
          </cell>
          <cell r="BB222">
            <v>175876</v>
          </cell>
          <cell r="BC222">
            <v>180371</v>
          </cell>
          <cell r="BD222">
            <v>184524</v>
          </cell>
          <cell r="BE222">
            <v>188404</v>
          </cell>
          <cell r="BF222">
            <v>192087</v>
          </cell>
          <cell r="BG222">
            <v>195727</v>
          </cell>
          <cell r="BH222">
            <v>199432</v>
          </cell>
          <cell r="BI222">
            <v>203227</v>
          </cell>
          <cell r="BJ222">
            <v>207089</v>
          </cell>
          <cell r="BK222">
            <v>211028</v>
          </cell>
        </row>
        <row r="223">
          <cell r="B223" t="str">
            <v>SUR</v>
          </cell>
          <cell r="C223" t="str">
            <v>Population, total</v>
          </cell>
          <cell r="D223" t="str">
            <v>SP.POP.TOTL</v>
          </cell>
          <cell r="E223">
            <v>287871</v>
          </cell>
          <cell r="F223">
            <v>295916</v>
          </cell>
          <cell r="G223">
            <v>303895</v>
          </cell>
          <cell r="H223">
            <v>311947</v>
          </cell>
          <cell r="I223">
            <v>320270</v>
          </cell>
          <cell r="J223">
            <v>328936</v>
          </cell>
          <cell r="K223">
            <v>338158</v>
          </cell>
          <cell r="L223">
            <v>347660</v>
          </cell>
          <cell r="M223">
            <v>356550</v>
          </cell>
          <cell r="N223">
            <v>363575</v>
          </cell>
          <cell r="O223">
            <v>367931</v>
          </cell>
          <cell r="P223">
            <v>369236</v>
          </cell>
          <cell r="Q223">
            <v>367907</v>
          </cell>
          <cell r="R223">
            <v>364915</v>
          </cell>
          <cell r="S223">
            <v>361667</v>
          </cell>
          <cell r="T223">
            <v>359226</v>
          </cell>
          <cell r="U223">
            <v>357953</v>
          </cell>
          <cell r="V223">
            <v>357659</v>
          </cell>
          <cell r="W223">
            <v>358099</v>
          </cell>
          <cell r="X223">
            <v>358818</v>
          </cell>
          <cell r="Y223">
            <v>359519</v>
          </cell>
          <cell r="Z223">
            <v>360143</v>
          </cell>
          <cell r="AA223">
            <v>360920</v>
          </cell>
          <cell r="AB223">
            <v>362276</v>
          </cell>
          <cell r="AC223">
            <v>364733</v>
          </cell>
          <cell r="AD223">
            <v>368638</v>
          </cell>
          <cell r="AE223">
            <v>374140</v>
          </cell>
          <cell r="AF223">
            <v>381037</v>
          </cell>
          <cell r="AG223">
            <v>388881</v>
          </cell>
          <cell r="AH223">
            <v>397085</v>
          </cell>
          <cell r="AI223">
            <v>405168</v>
          </cell>
          <cell r="AJ223">
            <v>413005</v>
          </cell>
          <cell r="AK223">
            <v>420655</v>
          </cell>
          <cell r="AL223">
            <v>428030</v>
          </cell>
          <cell r="AM223">
            <v>435105</v>
          </cell>
          <cell r="AN223">
            <v>441851</v>
          </cell>
          <cell r="AO223">
            <v>448213</v>
          </cell>
          <cell r="AP223">
            <v>454161</v>
          </cell>
          <cell r="AQ223">
            <v>459831</v>
          </cell>
          <cell r="AR223">
            <v>465385</v>
          </cell>
          <cell r="AS223">
            <v>470949</v>
          </cell>
          <cell r="AT223">
            <v>476579</v>
          </cell>
          <cell r="AU223">
            <v>482235</v>
          </cell>
          <cell r="AV223">
            <v>487942</v>
          </cell>
          <cell r="AW223">
            <v>493679</v>
          </cell>
          <cell r="AX223">
            <v>499464</v>
          </cell>
          <cell r="AY223">
            <v>505295</v>
          </cell>
          <cell r="AZ223">
            <v>511181</v>
          </cell>
          <cell r="BA223">
            <v>517123</v>
          </cell>
          <cell r="BB223">
            <v>523111</v>
          </cell>
          <cell r="BC223">
            <v>529131</v>
          </cell>
          <cell r="BD223">
            <v>535179</v>
          </cell>
          <cell r="BE223">
            <v>541245</v>
          </cell>
          <cell r="BF223">
            <v>547291</v>
          </cell>
          <cell r="BG223">
            <v>553273</v>
          </cell>
          <cell r="BH223">
            <v>559143</v>
          </cell>
          <cell r="BI223">
            <v>564888</v>
          </cell>
          <cell r="BJ223">
            <v>570496</v>
          </cell>
          <cell r="BK223">
            <v>575991</v>
          </cell>
        </row>
        <row r="224">
          <cell r="B224" t="str">
            <v>SVK</v>
          </cell>
          <cell r="C224" t="str">
            <v>Population, total</v>
          </cell>
          <cell r="D224" t="str">
            <v>SP.POP.TOTL</v>
          </cell>
          <cell r="E224">
            <v>4068095</v>
          </cell>
          <cell r="F224">
            <v>4191667</v>
          </cell>
          <cell r="G224">
            <v>4238188</v>
          </cell>
          <cell r="H224">
            <v>4282017</v>
          </cell>
          <cell r="I224">
            <v>4327341</v>
          </cell>
          <cell r="J224">
            <v>4370983</v>
          </cell>
          <cell r="K224">
            <v>4411666</v>
          </cell>
          <cell r="L224">
            <v>4449367</v>
          </cell>
          <cell r="M224">
            <v>4483915</v>
          </cell>
          <cell r="N224">
            <v>4518607</v>
          </cell>
          <cell r="O224">
            <v>4538223</v>
          </cell>
          <cell r="P224">
            <v>4557449</v>
          </cell>
          <cell r="Q224">
            <v>4596622</v>
          </cell>
          <cell r="R224">
            <v>4641445</v>
          </cell>
          <cell r="S224">
            <v>4689623</v>
          </cell>
          <cell r="T224">
            <v>4739105</v>
          </cell>
          <cell r="U224">
            <v>4789507</v>
          </cell>
          <cell r="V224">
            <v>4840501</v>
          </cell>
          <cell r="W224">
            <v>4890125</v>
          </cell>
          <cell r="X224">
            <v>4938973</v>
          </cell>
          <cell r="Y224">
            <v>4979815</v>
          </cell>
          <cell r="Z224">
            <v>5016105</v>
          </cell>
          <cell r="AA224">
            <v>5055099</v>
          </cell>
          <cell r="AB224">
            <v>5091971</v>
          </cell>
          <cell r="AC224">
            <v>5127097</v>
          </cell>
          <cell r="AD224">
            <v>5161768</v>
          </cell>
          <cell r="AE224">
            <v>5193838</v>
          </cell>
          <cell r="AF224">
            <v>5222840</v>
          </cell>
          <cell r="AG224">
            <v>5250596</v>
          </cell>
          <cell r="AH224">
            <v>5275942</v>
          </cell>
          <cell r="AI224">
            <v>5299187</v>
          </cell>
          <cell r="AJ224">
            <v>5303294</v>
          </cell>
          <cell r="AK224">
            <v>5305016</v>
          </cell>
          <cell r="AL224">
            <v>5325305</v>
          </cell>
          <cell r="AM224">
            <v>5346331</v>
          </cell>
          <cell r="AN224">
            <v>5361999</v>
          </cell>
          <cell r="AO224">
            <v>5373361</v>
          </cell>
          <cell r="AP224">
            <v>5383291</v>
          </cell>
          <cell r="AQ224">
            <v>5390516</v>
          </cell>
          <cell r="AR224">
            <v>5396020</v>
          </cell>
          <cell r="AS224">
            <v>5388720</v>
          </cell>
          <cell r="AT224">
            <v>5378867</v>
          </cell>
          <cell r="AU224">
            <v>5376912</v>
          </cell>
          <cell r="AV224">
            <v>5373374</v>
          </cell>
          <cell r="AW224">
            <v>5372280</v>
          </cell>
          <cell r="AX224">
            <v>5372807</v>
          </cell>
          <cell r="AY224">
            <v>5373054</v>
          </cell>
          <cell r="AZ224">
            <v>5374622</v>
          </cell>
          <cell r="BA224">
            <v>5379233</v>
          </cell>
          <cell r="BB224">
            <v>5386406</v>
          </cell>
          <cell r="BC224">
            <v>5391428</v>
          </cell>
          <cell r="BD224">
            <v>5398384</v>
          </cell>
          <cell r="BE224">
            <v>5407579</v>
          </cell>
          <cell r="BF224">
            <v>5413393</v>
          </cell>
          <cell r="BG224">
            <v>5418649</v>
          </cell>
          <cell r="BH224">
            <v>5423801</v>
          </cell>
          <cell r="BI224">
            <v>5430798</v>
          </cell>
          <cell r="BJ224">
            <v>5439232</v>
          </cell>
          <cell r="BK224">
            <v>5446771</v>
          </cell>
        </row>
        <row r="225">
          <cell r="B225" t="str">
            <v>SVN</v>
          </cell>
          <cell r="C225" t="str">
            <v>Population, total</v>
          </cell>
          <cell r="D225" t="str">
            <v>SP.POP.TOTL</v>
          </cell>
          <cell r="E225">
            <v>1584720</v>
          </cell>
          <cell r="F225">
            <v>1594131</v>
          </cell>
          <cell r="G225">
            <v>1603649</v>
          </cell>
          <cell r="H225">
            <v>1616971</v>
          </cell>
          <cell r="I225">
            <v>1632114</v>
          </cell>
          <cell r="J225">
            <v>1649160</v>
          </cell>
          <cell r="K225">
            <v>1669905</v>
          </cell>
          <cell r="L225">
            <v>1689528</v>
          </cell>
          <cell r="M225">
            <v>1704546</v>
          </cell>
          <cell r="N225">
            <v>1713874</v>
          </cell>
          <cell r="O225">
            <v>1724891</v>
          </cell>
          <cell r="P225">
            <v>1738335</v>
          </cell>
          <cell r="Q225">
            <v>1752233</v>
          </cell>
          <cell r="R225">
            <v>1766697</v>
          </cell>
          <cell r="S225">
            <v>1776132</v>
          </cell>
          <cell r="T225">
            <v>1793581</v>
          </cell>
          <cell r="U225">
            <v>1820249</v>
          </cell>
          <cell r="V225">
            <v>1842377</v>
          </cell>
          <cell r="W225">
            <v>1862548</v>
          </cell>
          <cell r="X225">
            <v>1882599</v>
          </cell>
          <cell r="Y225">
            <v>1901315</v>
          </cell>
          <cell r="Z225">
            <v>1906531</v>
          </cell>
          <cell r="AA225">
            <v>1910334</v>
          </cell>
          <cell r="AB225">
            <v>1922321</v>
          </cell>
          <cell r="AC225">
            <v>1932154</v>
          </cell>
          <cell r="AD225">
            <v>1941641</v>
          </cell>
          <cell r="AE225">
            <v>1965964</v>
          </cell>
          <cell r="AF225">
            <v>1989776</v>
          </cell>
          <cell r="AG225">
            <v>1995196</v>
          </cell>
          <cell r="AH225">
            <v>1996351</v>
          </cell>
          <cell r="AI225">
            <v>1998161</v>
          </cell>
          <cell r="AJ225">
            <v>1999429</v>
          </cell>
          <cell r="AK225">
            <v>1996498</v>
          </cell>
          <cell r="AL225">
            <v>1991746</v>
          </cell>
          <cell r="AM225">
            <v>1989443</v>
          </cell>
          <cell r="AN225">
            <v>1989872</v>
          </cell>
          <cell r="AO225">
            <v>1988628</v>
          </cell>
          <cell r="AP225">
            <v>1985956</v>
          </cell>
          <cell r="AQ225">
            <v>1981629</v>
          </cell>
          <cell r="AR225">
            <v>1983045</v>
          </cell>
          <cell r="AS225">
            <v>1988925</v>
          </cell>
          <cell r="AT225">
            <v>1992060</v>
          </cell>
          <cell r="AU225">
            <v>1994530</v>
          </cell>
          <cell r="AV225">
            <v>1995733</v>
          </cell>
          <cell r="AW225">
            <v>1997012</v>
          </cell>
          <cell r="AX225">
            <v>2000474</v>
          </cell>
          <cell r="AY225">
            <v>2006868</v>
          </cell>
          <cell r="AZ225">
            <v>2018122</v>
          </cell>
          <cell r="BA225">
            <v>2021316</v>
          </cell>
          <cell r="BB225">
            <v>2039669</v>
          </cell>
          <cell r="BC225">
            <v>2048583</v>
          </cell>
          <cell r="BD225">
            <v>2052843</v>
          </cell>
          <cell r="BE225">
            <v>2057159</v>
          </cell>
          <cell r="BF225">
            <v>2059953</v>
          </cell>
          <cell r="BG225">
            <v>2061980</v>
          </cell>
          <cell r="BH225">
            <v>2063531</v>
          </cell>
          <cell r="BI225">
            <v>2065042</v>
          </cell>
          <cell r="BJ225">
            <v>2066388</v>
          </cell>
          <cell r="BK225">
            <v>2073894</v>
          </cell>
        </row>
        <row r="226">
          <cell r="B226" t="str">
            <v>SWE</v>
          </cell>
          <cell r="C226" t="str">
            <v>Population, total</v>
          </cell>
          <cell r="D226" t="str">
            <v>SP.POP.TOTL</v>
          </cell>
          <cell r="E226">
            <v>7484656</v>
          </cell>
          <cell r="F226">
            <v>7519998</v>
          </cell>
          <cell r="G226">
            <v>7561588</v>
          </cell>
          <cell r="H226">
            <v>7604328</v>
          </cell>
          <cell r="I226">
            <v>7661354</v>
          </cell>
          <cell r="J226">
            <v>7733853</v>
          </cell>
          <cell r="K226">
            <v>7807797</v>
          </cell>
          <cell r="L226">
            <v>7867931</v>
          </cell>
          <cell r="M226">
            <v>7912273</v>
          </cell>
          <cell r="N226">
            <v>7968072</v>
          </cell>
          <cell r="O226">
            <v>8042801</v>
          </cell>
          <cell r="P226">
            <v>8098334</v>
          </cell>
          <cell r="Q226">
            <v>8122300</v>
          </cell>
          <cell r="R226">
            <v>8136312</v>
          </cell>
          <cell r="S226">
            <v>8159955</v>
          </cell>
          <cell r="T226">
            <v>8192437</v>
          </cell>
          <cell r="U226">
            <v>8222286</v>
          </cell>
          <cell r="V226">
            <v>8251540</v>
          </cell>
          <cell r="W226">
            <v>8275599</v>
          </cell>
          <cell r="X226">
            <v>8293678</v>
          </cell>
          <cell r="Y226">
            <v>8310531</v>
          </cell>
          <cell r="Z226">
            <v>8320503</v>
          </cell>
          <cell r="AA226">
            <v>8325263</v>
          </cell>
          <cell r="AB226">
            <v>8329033</v>
          </cell>
          <cell r="AC226">
            <v>8336605</v>
          </cell>
          <cell r="AD226">
            <v>8350386</v>
          </cell>
          <cell r="AE226">
            <v>8369829</v>
          </cell>
          <cell r="AF226">
            <v>8397804</v>
          </cell>
          <cell r="AG226">
            <v>8436489</v>
          </cell>
          <cell r="AH226">
            <v>8492964</v>
          </cell>
          <cell r="AI226">
            <v>8558835</v>
          </cell>
          <cell r="AJ226">
            <v>8617375</v>
          </cell>
          <cell r="AK226">
            <v>8668067</v>
          </cell>
          <cell r="AL226">
            <v>8718561</v>
          </cell>
          <cell r="AM226">
            <v>8780745</v>
          </cell>
          <cell r="AN226">
            <v>8826939</v>
          </cell>
          <cell r="AO226">
            <v>8840998</v>
          </cell>
          <cell r="AP226">
            <v>8846062</v>
          </cell>
          <cell r="AQ226">
            <v>8850974</v>
          </cell>
          <cell r="AR226">
            <v>8857874</v>
          </cell>
          <cell r="AS226">
            <v>8872109</v>
          </cell>
          <cell r="AT226">
            <v>8895960</v>
          </cell>
          <cell r="AU226">
            <v>8924958</v>
          </cell>
          <cell r="AV226">
            <v>8958229</v>
          </cell>
          <cell r="AW226">
            <v>8993531</v>
          </cell>
          <cell r="AX226">
            <v>9029572</v>
          </cell>
          <cell r="AY226">
            <v>9080505</v>
          </cell>
          <cell r="AZ226">
            <v>9148092</v>
          </cell>
          <cell r="BA226">
            <v>9219637</v>
          </cell>
          <cell r="BB226">
            <v>9298515</v>
          </cell>
          <cell r="BC226">
            <v>9378126</v>
          </cell>
          <cell r="BD226">
            <v>9449213</v>
          </cell>
          <cell r="BE226">
            <v>9519374</v>
          </cell>
          <cell r="BF226">
            <v>9600379</v>
          </cell>
          <cell r="BG226">
            <v>9696110</v>
          </cell>
          <cell r="BH226">
            <v>9799186</v>
          </cell>
          <cell r="BI226">
            <v>9923085</v>
          </cell>
          <cell r="BJ226">
            <v>10057698</v>
          </cell>
          <cell r="BK226">
            <v>10175214</v>
          </cell>
        </row>
        <row r="227">
          <cell r="B227" t="str">
            <v>SWZ</v>
          </cell>
          <cell r="C227" t="str">
            <v>Population, total</v>
          </cell>
          <cell r="D227" t="str">
            <v>SP.POP.TOTL</v>
          </cell>
          <cell r="E227">
            <v>336583</v>
          </cell>
          <cell r="F227">
            <v>343345</v>
          </cell>
          <cell r="G227">
            <v>350156</v>
          </cell>
          <cell r="H227">
            <v>357292</v>
          </cell>
          <cell r="I227">
            <v>365122</v>
          </cell>
          <cell r="J227">
            <v>373919</v>
          </cell>
          <cell r="K227">
            <v>383826</v>
          </cell>
          <cell r="L227">
            <v>394757</v>
          </cell>
          <cell r="M227">
            <v>406506</v>
          </cell>
          <cell r="N227">
            <v>418747</v>
          </cell>
          <cell r="O227">
            <v>431253</v>
          </cell>
          <cell r="P227">
            <v>443977</v>
          </cell>
          <cell r="Q227">
            <v>457039</v>
          </cell>
          <cell r="R227">
            <v>470559</v>
          </cell>
          <cell r="S227">
            <v>484749</v>
          </cell>
          <cell r="T227">
            <v>499763</v>
          </cell>
          <cell r="U227">
            <v>515599</v>
          </cell>
          <cell r="V227">
            <v>532260</v>
          </cell>
          <cell r="W227">
            <v>549796</v>
          </cell>
          <cell r="X227">
            <v>568315</v>
          </cell>
          <cell r="Y227">
            <v>587858</v>
          </cell>
          <cell r="Z227">
            <v>608380</v>
          </cell>
          <cell r="AA227">
            <v>629811</v>
          </cell>
          <cell r="AB227">
            <v>652115</v>
          </cell>
          <cell r="AC227">
            <v>675239</v>
          </cell>
          <cell r="AD227">
            <v>699080</v>
          </cell>
          <cell r="AE227">
            <v>723595</v>
          </cell>
          <cell r="AF227">
            <v>748632</v>
          </cell>
          <cell r="AG227">
            <v>773768</v>
          </cell>
          <cell r="AH227">
            <v>798507</v>
          </cell>
          <cell r="AI227">
            <v>822420</v>
          </cell>
          <cell r="AJ227">
            <v>845266</v>
          </cell>
          <cell r="AK227">
            <v>866993</v>
          </cell>
          <cell r="AL227">
            <v>887706</v>
          </cell>
          <cell r="AM227">
            <v>907620</v>
          </cell>
          <cell r="AN227">
            <v>926841</v>
          </cell>
          <cell r="AO227">
            <v>945508</v>
          </cell>
          <cell r="AP227">
            <v>963426</v>
          </cell>
          <cell r="AQ227">
            <v>979918</v>
          </cell>
          <cell r="AR227">
            <v>994108</v>
          </cell>
          <cell r="AS227">
            <v>1005435</v>
          </cell>
          <cell r="AT227">
            <v>1013609</v>
          </cell>
          <cell r="AU227">
            <v>1019059</v>
          </cell>
          <cell r="AV227">
            <v>1022802</v>
          </cell>
          <cell r="AW227">
            <v>1026286</v>
          </cell>
          <cell r="AX227">
            <v>1030579</v>
          </cell>
          <cell r="AY227">
            <v>1036092</v>
          </cell>
          <cell r="AZ227">
            <v>1042652</v>
          </cell>
          <cell r="BA227">
            <v>1049945</v>
          </cell>
          <cell r="BB227">
            <v>1057467</v>
          </cell>
          <cell r="BC227">
            <v>1064837</v>
          </cell>
          <cell r="BD227">
            <v>1072032</v>
          </cell>
          <cell r="BE227">
            <v>1079288</v>
          </cell>
          <cell r="BF227">
            <v>1086839</v>
          </cell>
          <cell r="BG227">
            <v>1095021</v>
          </cell>
          <cell r="BH227">
            <v>1104044</v>
          </cell>
          <cell r="BI227">
            <v>1113984</v>
          </cell>
          <cell r="BJ227">
            <v>1124753</v>
          </cell>
          <cell r="BK227">
            <v>1136191</v>
          </cell>
        </row>
        <row r="228">
          <cell r="B228" t="str">
            <v>SXM</v>
          </cell>
          <cell r="C228" t="str">
            <v>Population, total</v>
          </cell>
          <cell r="D228" t="str">
            <v>SP.POP.TOTL</v>
          </cell>
          <cell r="AQ228">
            <v>31240</v>
          </cell>
          <cell r="AR228">
            <v>31084</v>
          </cell>
          <cell r="AS228">
            <v>30519</v>
          </cell>
          <cell r="AT228">
            <v>30600</v>
          </cell>
          <cell r="AU228">
            <v>30777</v>
          </cell>
          <cell r="AV228">
            <v>31472</v>
          </cell>
          <cell r="AW228">
            <v>32488</v>
          </cell>
          <cell r="AX228">
            <v>33011</v>
          </cell>
          <cell r="AY228">
            <v>33441</v>
          </cell>
          <cell r="AZ228">
            <v>33811</v>
          </cell>
          <cell r="BA228">
            <v>33964</v>
          </cell>
          <cell r="BB228">
            <v>34238</v>
          </cell>
          <cell r="BC228">
            <v>34056</v>
          </cell>
          <cell r="BD228">
            <v>33435</v>
          </cell>
          <cell r="BE228">
            <v>34640</v>
          </cell>
          <cell r="BF228">
            <v>36607</v>
          </cell>
          <cell r="BG228">
            <v>37685</v>
          </cell>
          <cell r="BH228">
            <v>38825</v>
          </cell>
          <cell r="BI228">
            <v>39969</v>
          </cell>
          <cell r="BJ228">
            <v>40574</v>
          </cell>
          <cell r="BK228">
            <v>40654</v>
          </cell>
        </row>
        <row r="229">
          <cell r="B229" t="str">
            <v>SYC</v>
          </cell>
          <cell r="C229" t="str">
            <v>Population, total</v>
          </cell>
          <cell r="D229" t="str">
            <v>SP.POP.TOTL</v>
          </cell>
          <cell r="E229">
            <v>41700</v>
          </cell>
          <cell r="F229">
            <v>42889</v>
          </cell>
          <cell r="G229">
            <v>44042</v>
          </cell>
          <cell r="H229">
            <v>45176</v>
          </cell>
          <cell r="I229">
            <v>46322</v>
          </cell>
          <cell r="J229">
            <v>47500</v>
          </cell>
          <cell r="K229">
            <v>48699</v>
          </cell>
          <cell r="L229">
            <v>49911</v>
          </cell>
          <cell r="M229">
            <v>51134</v>
          </cell>
          <cell r="N229">
            <v>52365</v>
          </cell>
          <cell r="O229">
            <v>53600</v>
          </cell>
          <cell r="P229">
            <v>54695</v>
          </cell>
          <cell r="Q229">
            <v>56029</v>
          </cell>
          <cell r="R229">
            <v>56892</v>
          </cell>
          <cell r="S229">
            <v>57937</v>
          </cell>
          <cell r="T229">
            <v>59292</v>
          </cell>
          <cell r="U229">
            <v>60504</v>
          </cell>
          <cell r="V229">
            <v>61786</v>
          </cell>
          <cell r="W229">
            <v>62150</v>
          </cell>
          <cell r="X229">
            <v>62686</v>
          </cell>
          <cell r="Y229">
            <v>63261</v>
          </cell>
          <cell r="Z229">
            <v>64035</v>
          </cell>
          <cell r="AA229">
            <v>64413</v>
          </cell>
          <cell r="AB229">
            <v>64335</v>
          </cell>
          <cell r="AC229">
            <v>64717</v>
          </cell>
          <cell r="AD229">
            <v>65244</v>
          </cell>
          <cell r="AE229">
            <v>65652</v>
          </cell>
          <cell r="AF229">
            <v>68499</v>
          </cell>
          <cell r="AG229">
            <v>68755</v>
          </cell>
          <cell r="AH229">
            <v>69167</v>
          </cell>
          <cell r="AI229">
            <v>69507</v>
          </cell>
          <cell r="AJ229">
            <v>70439</v>
          </cell>
          <cell r="AK229">
            <v>70763</v>
          </cell>
          <cell r="AL229">
            <v>72253</v>
          </cell>
          <cell r="AM229">
            <v>74205</v>
          </cell>
          <cell r="AN229">
            <v>75304</v>
          </cell>
          <cell r="AO229">
            <v>76417</v>
          </cell>
          <cell r="AP229">
            <v>77319</v>
          </cell>
          <cell r="AQ229">
            <v>78846</v>
          </cell>
          <cell r="AR229">
            <v>80410</v>
          </cell>
          <cell r="AS229">
            <v>81131</v>
          </cell>
          <cell r="AT229">
            <v>81202</v>
          </cell>
          <cell r="AU229">
            <v>83723</v>
          </cell>
          <cell r="AV229">
            <v>82781</v>
          </cell>
          <cell r="AW229">
            <v>82475</v>
          </cell>
          <cell r="AX229">
            <v>82858</v>
          </cell>
          <cell r="AY229">
            <v>84600</v>
          </cell>
          <cell r="AZ229">
            <v>85033</v>
          </cell>
          <cell r="BA229">
            <v>86956</v>
          </cell>
          <cell r="BB229">
            <v>87298</v>
          </cell>
          <cell r="BC229">
            <v>89770</v>
          </cell>
          <cell r="BD229">
            <v>87441</v>
          </cell>
          <cell r="BE229">
            <v>88303</v>
          </cell>
          <cell r="BF229">
            <v>89949</v>
          </cell>
          <cell r="BG229">
            <v>91359</v>
          </cell>
          <cell r="BH229">
            <v>93419</v>
          </cell>
          <cell r="BI229">
            <v>94677</v>
          </cell>
          <cell r="BJ229">
            <v>95843</v>
          </cell>
          <cell r="BK229">
            <v>96762</v>
          </cell>
        </row>
        <row r="230">
          <cell r="B230" t="str">
            <v>SYR</v>
          </cell>
          <cell r="C230" t="str">
            <v>Population, total</v>
          </cell>
          <cell r="D230" t="str">
            <v>SP.POP.TOTL</v>
          </cell>
          <cell r="E230">
            <v>4573512</v>
          </cell>
          <cell r="F230">
            <v>4721896</v>
          </cell>
          <cell r="G230">
            <v>4875422</v>
          </cell>
          <cell r="H230">
            <v>5034646</v>
          </cell>
          <cell r="I230">
            <v>5200336</v>
          </cell>
          <cell r="J230">
            <v>5373137</v>
          </cell>
          <cell r="K230">
            <v>5553246</v>
          </cell>
          <cell r="L230">
            <v>5740710</v>
          </cell>
          <cell r="M230">
            <v>5935860</v>
          </cell>
          <cell r="N230">
            <v>6139048</v>
          </cell>
          <cell r="O230">
            <v>6350541</v>
          </cell>
          <cell r="P230">
            <v>6570857</v>
          </cell>
          <cell r="Q230">
            <v>6800141</v>
          </cell>
          <cell r="R230">
            <v>7037851</v>
          </cell>
          <cell r="S230">
            <v>7283177</v>
          </cell>
          <cell r="T230">
            <v>7535714</v>
          </cell>
          <cell r="U230">
            <v>7794662</v>
          </cell>
          <cell r="V230">
            <v>8060649</v>
          </cell>
          <cell r="W230">
            <v>8336418</v>
          </cell>
          <cell r="X230">
            <v>8625690</v>
          </cell>
          <cell r="Y230">
            <v>8930774</v>
          </cell>
          <cell r="Z230">
            <v>9252851</v>
          </cell>
          <cell r="AA230">
            <v>9590227</v>
          </cell>
          <cell r="AB230">
            <v>9938847</v>
          </cell>
          <cell r="AC230">
            <v>10293049</v>
          </cell>
          <cell r="AD230">
            <v>10648632</v>
          </cell>
          <cell r="AE230">
            <v>11004272</v>
          </cell>
          <cell r="AF230">
            <v>11360852</v>
          </cell>
          <cell r="AG230">
            <v>11719071</v>
          </cell>
          <cell r="AH230">
            <v>12080444</v>
          </cell>
          <cell r="AI230">
            <v>12446171</v>
          </cell>
          <cell r="AJ230">
            <v>12815401</v>
          </cell>
          <cell r="AK230">
            <v>13187663</v>
          </cell>
          <cell r="AL230">
            <v>13565072</v>
          </cell>
          <cell r="AM230">
            <v>13950476</v>
          </cell>
          <cell r="AN230">
            <v>14345492</v>
          </cell>
          <cell r="AO230">
            <v>14754142</v>
          </cell>
          <cell r="AP230">
            <v>15175316</v>
          </cell>
          <cell r="AQ230">
            <v>15599591</v>
          </cell>
          <cell r="AR230">
            <v>16013985</v>
          </cell>
          <cell r="AS230">
            <v>16410848</v>
          </cell>
          <cell r="AT230">
            <v>16766561</v>
          </cell>
          <cell r="AU230">
            <v>17084632</v>
          </cell>
          <cell r="AV230">
            <v>17415214</v>
          </cell>
          <cell r="AW230">
            <v>17827825</v>
          </cell>
          <cell r="AX230">
            <v>18361176</v>
          </cell>
          <cell r="AY230">
            <v>19059258</v>
          </cell>
          <cell r="AZ230">
            <v>19878254</v>
          </cell>
          <cell r="BA230">
            <v>20664038</v>
          </cell>
          <cell r="BB230">
            <v>21205873</v>
          </cell>
          <cell r="BC230">
            <v>21362529</v>
          </cell>
          <cell r="BD230">
            <v>21082966</v>
          </cell>
          <cell r="BE230">
            <v>20442541</v>
          </cell>
          <cell r="BF230">
            <v>19584274</v>
          </cell>
          <cell r="BG230">
            <v>18715672</v>
          </cell>
          <cell r="BH230">
            <v>17997408</v>
          </cell>
          <cell r="BI230">
            <v>17453933</v>
          </cell>
          <cell r="BJ230">
            <v>17068002</v>
          </cell>
          <cell r="BK230">
            <v>16906283</v>
          </cell>
        </row>
        <row r="231">
          <cell r="B231" t="str">
            <v>TCA</v>
          </cell>
          <cell r="C231" t="str">
            <v>Population, total</v>
          </cell>
          <cell r="D231" t="str">
            <v>SP.POP.TOTL</v>
          </cell>
          <cell r="E231">
            <v>5824</v>
          </cell>
          <cell r="F231">
            <v>5874</v>
          </cell>
          <cell r="G231">
            <v>5884</v>
          </cell>
          <cell r="H231">
            <v>5870</v>
          </cell>
          <cell r="I231">
            <v>5848</v>
          </cell>
          <cell r="J231">
            <v>5823</v>
          </cell>
          <cell r="K231">
            <v>5791</v>
          </cell>
          <cell r="L231">
            <v>5764</v>
          </cell>
          <cell r="M231">
            <v>5744</v>
          </cell>
          <cell r="N231">
            <v>5773</v>
          </cell>
          <cell r="O231">
            <v>5841</v>
          </cell>
          <cell r="P231">
            <v>5971</v>
          </cell>
          <cell r="Q231">
            <v>6157</v>
          </cell>
          <cell r="R231">
            <v>6381</v>
          </cell>
          <cell r="S231">
            <v>6606</v>
          </cell>
          <cell r="T231">
            <v>6827</v>
          </cell>
          <cell r="U231">
            <v>7015</v>
          </cell>
          <cell r="V231">
            <v>7198</v>
          </cell>
          <cell r="W231">
            <v>7385</v>
          </cell>
          <cell r="X231">
            <v>7613</v>
          </cell>
          <cell r="Y231">
            <v>7888</v>
          </cell>
          <cell r="Z231">
            <v>8235</v>
          </cell>
          <cell r="AA231">
            <v>8654</v>
          </cell>
          <cell r="AB231">
            <v>9104</v>
          </cell>
          <cell r="AC231">
            <v>9556</v>
          </cell>
          <cell r="AD231">
            <v>9970</v>
          </cell>
          <cell r="AE231">
            <v>10357</v>
          </cell>
          <cell r="AF231">
            <v>10724</v>
          </cell>
          <cell r="AG231">
            <v>11093</v>
          </cell>
          <cell r="AH231">
            <v>11548</v>
          </cell>
          <cell r="AI231">
            <v>12111</v>
          </cell>
          <cell r="AJ231">
            <v>12811</v>
          </cell>
          <cell r="AK231">
            <v>13632</v>
          </cell>
          <cell r="AL231">
            <v>14526</v>
          </cell>
          <cell r="AM231">
            <v>15407</v>
          </cell>
          <cell r="AN231">
            <v>16216</v>
          </cell>
          <cell r="AO231">
            <v>16926</v>
          </cell>
          <cell r="AP231">
            <v>17567</v>
          </cell>
          <cell r="AQ231">
            <v>18232</v>
          </cell>
          <cell r="AR231">
            <v>19065</v>
          </cell>
          <cell r="AS231">
            <v>20164</v>
          </cell>
          <cell r="AT231">
            <v>21573</v>
          </cell>
          <cell r="AU231">
            <v>23232</v>
          </cell>
          <cell r="AV231">
            <v>25011</v>
          </cell>
          <cell r="AW231">
            <v>26700</v>
          </cell>
          <cell r="AX231">
            <v>28180</v>
          </cell>
          <cell r="AY231">
            <v>29391</v>
          </cell>
          <cell r="AZ231">
            <v>30385</v>
          </cell>
          <cell r="BA231">
            <v>31202</v>
          </cell>
          <cell r="BB231">
            <v>31934</v>
          </cell>
          <cell r="BC231">
            <v>32660</v>
          </cell>
          <cell r="BD231">
            <v>33377</v>
          </cell>
          <cell r="BE231">
            <v>34066</v>
          </cell>
          <cell r="BF231">
            <v>34731</v>
          </cell>
          <cell r="BG231">
            <v>35369</v>
          </cell>
          <cell r="BH231">
            <v>35981</v>
          </cell>
          <cell r="BI231">
            <v>36559</v>
          </cell>
          <cell r="BJ231">
            <v>37115</v>
          </cell>
          <cell r="BK231">
            <v>37665</v>
          </cell>
        </row>
        <row r="232">
          <cell r="B232" t="str">
            <v>TCD</v>
          </cell>
          <cell r="C232" t="str">
            <v>Population, total</v>
          </cell>
          <cell r="D232" t="str">
            <v>SP.POP.TOTL</v>
          </cell>
          <cell r="E232">
            <v>3001609</v>
          </cell>
          <cell r="F232">
            <v>3060368</v>
          </cell>
          <cell r="G232">
            <v>3121236</v>
          </cell>
          <cell r="H232">
            <v>3183572</v>
          </cell>
          <cell r="I232">
            <v>3246523</v>
          </cell>
          <cell r="J232">
            <v>3309586</v>
          </cell>
          <cell r="K232">
            <v>3372189</v>
          </cell>
          <cell r="L232">
            <v>3434825</v>
          </cell>
          <cell r="M232">
            <v>3499362</v>
          </cell>
          <cell r="N232">
            <v>3568398</v>
          </cell>
          <cell r="O232">
            <v>3643604</v>
          </cell>
          <cell r="P232">
            <v>3726189</v>
          </cell>
          <cell r="Q232">
            <v>3815260</v>
          </cell>
          <cell r="R232">
            <v>3907889</v>
          </cell>
          <cell r="S232">
            <v>3999921</v>
          </cell>
          <cell r="T232">
            <v>4088564</v>
          </cell>
          <cell r="U232">
            <v>4173135</v>
          </cell>
          <cell r="V232">
            <v>4255248</v>
          </cell>
          <cell r="W232">
            <v>4337291</v>
          </cell>
          <cell r="X232">
            <v>4422745</v>
          </cell>
          <cell r="Y232">
            <v>4514430</v>
          </cell>
          <cell r="Z232">
            <v>4612849</v>
          </cell>
          <cell r="AA232">
            <v>4718162</v>
          </cell>
          <cell r="AB232">
            <v>4832321</v>
          </cell>
          <cell r="AC232">
            <v>4957558</v>
          </cell>
          <cell r="AD232">
            <v>5095401</v>
          </cell>
          <cell r="AE232">
            <v>5247283</v>
          </cell>
          <cell r="AF232">
            <v>5412847</v>
          </cell>
          <cell r="AG232">
            <v>5589626</v>
          </cell>
          <cell r="AH232">
            <v>5773920</v>
          </cell>
          <cell r="AI232">
            <v>5963252</v>
          </cell>
          <cell r="AJ232">
            <v>6157079</v>
          </cell>
          <cell r="AK232">
            <v>6356748</v>
          </cell>
          <cell r="AL232">
            <v>6563922</v>
          </cell>
          <cell r="AM232">
            <v>6781053</v>
          </cell>
          <cell r="AN232">
            <v>7010145</v>
          </cell>
          <cell r="AO232">
            <v>7250975</v>
          </cell>
          <cell r="AP232">
            <v>7503493</v>
          </cell>
          <cell r="AQ232">
            <v>7770048</v>
          </cell>
          <cell r="AR232">
            <v>8053536</v>
          </cell>
          <cell r="AS232">
            <v>8355654</v>
          </cell>
          <cell r="AT232">
            <v>8678051</v>
          </cell>
          <cell r="AU232">
            <v>9019233</v>
          </cell>
          <cell r="AV232">
            <v>9373916</v>
          </cell>
          <cell r="AW232">
            <v>9734767</v>
          </cell>
          <cell r="AX232">
            <v>10096633</v>
          </cell>
          <cell r="AY232">
            <v>10457124</v>
          </cell>
          <cell r="AZ232">
            <v>10818024</v>
          </cell>
          <cell r="BA232">
            <v>11183588</v>
          </cell>
          <cell r="BB232">
            <v>11560147</v>
          </cell>
          <cell r="BC232">
            <v>11952136</v>
          </cell>
          <cell r="BD232">
            <v>12360989</v>
          </cell>
          <cell r="BE232">
            <v>12784750</v>
          </cell>
          <cell r="BF232">
            <v>13220424</v>
          </cell>
          <cell r="BG232">
            <v>13663559</v>
          </cell>
          <cell r="BH232">
            <v>14110975</v>
          </cell>
          <cell r="BI232">
            <v>14561666</v>
          </cell>
          <cell r="BJ232">
            <v>15016773</v>
          </cell>
          <cell r="BK232">
            <v>15477751</v>
          </cell>
        </row>
        <row r="233">
          <cell r="B233" t="str">
            <v>TEA</v>
          </cell>
          <cell r="C233" t="str">
            <v>Population, total</v>
          </cell>
          <cell r="D233" t="str">
            <v>SP.POP.TOTL</v>
          </cell>
          <cell r="E233">
            <v>883445573</v>
          </cell>
          <cell r="F233">
            <v>882807967</v>
          </cell>
          <cell r="G233">
            <v>894536179</v>
          </cell>
          <cell r="H233">
            <v>917563055</v>
          </cell>
          <cell r="I233">
            <v>940205368</v>
          </cell>
          <cell r="J233">
            <v>963806254</v>
          </cell>
          <cell r="K233">
            <v>990927389</v>
          </cell>
          <cell r="L233">
            <v>1017110646</v>
          </cell>
          <cell r="M233">
            <v>1044230714</v>
          </cell>
          <cell r="N233">
            <v>1073035641</v>
          </cell>
          <cell r="O233">
            <v>1102743566</v>
          </cell>
          <cell r="P233">
            <v>1133088651</v>
          </cell>
          <cell r="Q233">
            <v>1161692276</v>
          </cell>
          <cell r="R233">
            <v>1189353307</v>
          </cell>
          <cell r="S233">
            <v>1215519616</v>
          </cell>
          <cell r="T233">
            <v>1239283620</v>
          </cell>
          <cell r="U233">
            <v>1261221825</v>
          </cell>
          <cell r="V233">
            <v>1281596026</v>
          </cell>
          <cell r="W233">
            <v>1301958160</v>
          </cell>
          <cell r="X233">
            <v>1322627335</v>
          </cell>
          <cell r="Y233">
            <v>1342952245</v>
          </cell>
          <cell r="Z233">
            <v>1363987509</v>
          </cell>
          <cell r="AA233">
            <v>1387365773</v>
          </cell>
          <cell r="AB233">
            <v>1410865625</v>
          </cell>
          <cell r="AC233">
            <v>1433295147</v>
          </cell>
          <cell r="AD233">
            <v>1456445290</v>
          </cell>
          <cell r="AE233">
            <v>1481135087</v>
          </cell>
          <cell r="AF233">
            <v>1507322668</v>
          </cell>
          <cell r="AG233">
            <v>1533819043</v>
          </cell>
          <cell r="AH233">
            <v>1559650576</v>
          </cell>
          <cell r="AI233">
            <v>1584871832</v>
          </cell>
          <cell r="AJ233">
            <v>1608999005</v>
          </cell>
          <cell r="AK233">
            <v>1631566815</v>
          </cell>
          <cell r="AL233">
            <v>1653289954</v>
          </cell>
          <cell r="AM233">
            <v>1674861279</v>
          </cell>
          <cell r="AN233">
            <v>1696014016</v>
          </cell>
          <cell r="AO233">
            <v>1716810429</v>
          </cell>
          <cell r="AP233">
            <v>1737388752</v>
          </cell>
          <cell r="AQ233">
            <v>1757224494</v>
          </cell>
          <cell r="AR233">
            <v>1775880231</v>
          </cell>
          <cell r="AS233">
            <v>1793498351</v>
          </cell>
          <cell r="AT233">
            <v>1810261141</v>
          </cell>
          <cell r="AU233">
            <v>1826238744</v>
          </cell>
          <cell r="AV233">
            <v>1841560579</v>
          </cell>
          <cell r="AW233">
            <v>1856486252</v>
          </cell>
          <cell r="AX233">
            <v>1871341375</v>
          </cell>
          <cell r="AY233">
            <v>1885806859</v>
          </cell>
          <cell r="AZ233">
            <v>1899800530</v>
          </cell>
          <cell r="BA233">
            <v>1913718210</v>
          </cell>
          <cell r="BB233">
            <v>1927560609</v>
          </cell>
          <cell r="BC233">
            <v>1941377349</v>
          </cell>
          <cell r="BD233">
            <v>1955334267</v>
          </cell>
          <cell r="BE233">
            <v>1969562739</v>
          </cell>
          <cell r="BF233">
            <v>1983964453</v>
          </cell>
          <cell r="BG233">
            <v>1998513398</v>
          </cell>
          <cell r="BH233">
            <v>2012980531</v>
          </cell>
          <cell r="BI233">
            <v>2027771091</v>
          </cell>
          <cell r="BJ233">
            <v>2042687863</v>
          </cell>
          <cell r="BK233">
            <v>2056064424</v>
          </cell>
        </row>
        <row r="234">
          <cell r="B234" t="str">
            <v>TEC</v>
          </cell>
          <cell r="C234" t="str">
            <v>Population, total</v>
          </cell>
          <cell r="D234" t="str">
            <v>SP.POP.TOTL</v>
          </cell>
          <cell r="E234">
            <v>308925209</v>
          </cell>
          <cell r="F234">
            <v>313575168</v>
          </cell>
          <cell r="G234">
            <v>318268089</v>
          </cell>
          <cell r="H234">
            <v>323037300</v>
          </cell>
          <cell r="I234">
            <v>327816760</v>
          </cell>
          <cell r="J234">
            <v>332408546</v>
          </cell>
          <cell r="K234">
            <v>336269817</v>
          </cell>
          <cell r="L234">
            <v>340266714</v>
          </cell>
          <cell r="M234">
            <v>344176940</v>
          </cell>
          <cell r="N234">
            <v>347963199</v>
          </cell>
          <cell r="O234">
            <v>351616528</v>
          </cell>
          <cell r="P234">
            <v>355267605</v>
          </cell>
          <cell r="Q234">
            <v>359067136</v>
          </cell>
          <cell r="R234">
            <v>362873895</v>
          </cell>
          <cell r="S234">
            <v>366718674</v>
          </cell>
          <cell r="T234">
            <v>370598463</v>
          </cell>
          <cell r="U234">
            <v>374638948</v>
          </cell>
          <cell r="V234">
            <v>378610495</v>
          </cell>
          <cell r="W234">
            <v>382483487</v>
          </cell>
          <cell r="X234">
            <v>386331985</v>
          </cell>
          <cell r="Y234">
            <v>390313394</v>
          </cell>
          <cell r="Z234">
            <v>394369212</v>
          </cell>
          <cell r="AA234">
            <v>398263895</v>
          </cell>
          <cell r="AB234">
            <v>402150952</v>
          </cell>
          <cell r="AC234">
            <v>406270520</v>
          </cell>
          <cell r="AD234">
            <v>410367344</v>
          </cell>
          <cell r="AE234">
            <v>414388121</v>
          </cell>
          <cell r="AF234">
            <v>418349572</v>
          </cell>
          <cell r="AG234">
            <v>422137029</v>
          </cell>
          <cell r="AH234">
            <v>425529430</v>
          </cell>
          <cell r="AI234">
            <v>428315751</v>
          </cell>
          <cell r="AJ234">
            <v>430330022</v>
          </cell>
          <cell r="AK234">
            <v>431944610</v>
          </cell>
          <cell r="AL234">
            <v>433317638</v>
          </cell>
          <cell r="AM234">
            <v>434073825</v>
          </cell>
          <cell r="AN234">
            <v>434508847</v>
          </cell>
          <cell r="AO234">
            <v>434834171</v>
          </cell>
          <cell r="AP234">
            <v>435191660</v>
          </cell>
          <cell r="AQ234">
            <v>435439577</v>
          </cell>
          <cell r="AR234">
            <v>435384574</v>
          </cell>
          <cell r="AS234">
            <v>435028415</v>
          </cell>
          <cell r="AT234">
            <v>434598276</v>
          </cell>
          <cell r="AU234">
            <v>434253516</v>
          </cell>
          <cell r="AV234">
            <v>434390419</v>
          </cell>
          <cell r="AW234">
            <v>434730803</v>
          </cell>
          <cell r="AX234">
            <v>435134576</v>
          </cell>
          <cell r="AY234">
            <v>435669295</v>
          </cell>
          <cell r="AZ234">
            <v>436349814</v>
          </cell>
          <cell r="BA234">
            <v>437427283</v>
          </cell>
          <cell r="BB234">
            <v>439200178</v>
          </cell>
          <cell r="BC234">
            <v>441121359</v>
          </cell>
          <cell r="BD234">
            <v>443356614</v>
          </cell>
          <cell r="BE234">
            <v>445596591</v>
          </cell>
          <cell r="BF234">
            <v>448074081</v>
          </cell>
          <cell r="BG234">
            <v>450528180</v>
          </cell>
          <cell r="BH234">
            <v>453034345</v>
          </cell>
          <cell r="BI234">
            <v>455505650</v>
          </cell>
          <cell r="BJ234">
            <v>457810292</v>
          </cell>
          <cell r="BK234">
            <v>459865205</v>
          </cell>
        </row>
        <row r="235">
          <cell r="B235" t="str">
            <v>TGO</v>
          </cell>
          <cell r="C235" t="str">
            <v>Population, total</v>
          </cell>
          <cell r="D235" t="str">
            <v>SP.POP.TOTL</v>
          </cell>
          <cell r="E235">
            <v>1580513</v>
          </cell>
          <cell r="F235">
            <v>1597526</v>
          </cell>
          <cell r="G235">
            <v>1612755</v>
          </cell>
          <cell r="H235">
            <v>1631764</v>
          </cell>
          <cell r="I235">
            <v>1662073</v>
          </cell>
          <cell r="J235">
            <v>1708630</v>
          </cell>
          <cell r="K235">
            <v>1774029</v>
          </cell>
          <cell r="L235">
            <v>1855442</v>
          </cell>
          <cell r="M235">
            <v>1945780</v>
          </cell>
          <cell r="N235">
            <v>2034907</v>
          </cell>
          <cell r="O235">
            <v>2115522</v>
          </cell>
          <cell r="P235">
            <v>2185662</v>
          </cell>
          <cell r="Q235">
            <v>2247582</v>
          </cell>
          <cell r="R235">
            <v>2303345</v>
          </cell>
          <cell r="S235">
            <v>2356622</v>
          </cell>
          <cell r="T235">
            <v>2410446</v>
          </cell>
          <cell r="U235">
            <v>2464423</v>
          </cell>
          <cell r="V235">
            <v>2518457</v>
          </cell>
          <cell r="W235">
            <v>2576292</v>
          </cell>
          <cell r="X235">
            <v>2642696</v>
          </cell>
          <cell r="Y235">
            <v>2720839</v>
          </cell>
          <cell r="Z235">
            <v>2812307</v>
          </cell>
          <cell r="AA235">
            <v>2915620</v>
          </cell>
          <cell r="AB235">
            <v>3026973</v>
          </cell>
          <cell r="AC235">
            <v>3140846</v>
          </cell>
          <cell r="AD235">
            <v>3252994</v>
          </cell>
          <cell r="AE235">
            <v>3363042</v>
          </cell>
          <cell r="AF235">
            <v>3471739</v>
          </cell>
          <cell r="AG235">
            <v>3577468</v>
          </cell>
          <cell r="AH235">
            <v>3678567</v>
          </cell>
          <cell r="AI235">
            <v>3774312</v>
          </cell>
          <cell r="AJ235">
            <v>3862992</v>
          </cell>
          <cell r="AK235">
            <v>3945905</v>
          </cell>
          <cell r="AL235">
            <v>4029053</v>
          </cell>
          <cell r="AM235">
            <v>4120616</v>
          </cell>
          <cell r="AN235">
            <v>4226291</v>
          </cell>
          <cell r="AO235">
            <v>4348805</v>
          </cell>
          <cell r="AP235">
            <v>4485951</v>
          </cell>
          <cell r="AQ235">
            <v>4632446</v>
          </cell>
          <cell r="AR235">
            <v>4780448</v>
          </cell>
          <cell r="AS235">
            <v>4924402</v>
          </cell>
          <cell r="AT235">
            <v>5062567</v>
          </cell>
          <cell r="AU235">
            <v>5197031</v>
          </cell>
          <cell r="AV235">
            <v>5330639</v>
          </cell>
          <cell r="AW235">
            <v>5467766</v>
          </cell>
          <cell r="AX235">
            <v>5611640</v>
          </cell>
          <cell r="AY235">
            <v>5762880</v>
          </cell>
          <cell r="AZ235">
            <v>5920359</v>
          </cell>
          <cell r="BA235">
            <v>6083420</v>
          </cell>
          <cell r="BB235">
            <v>6250835</v>
          </cell>
          <cell r="BC235">
            <v>6421679</v>
          </cell>
          <cell r="BD235">
            <v>6595943</v>
          </cell>
          <cell r="BE235">
            <v>6773807</v>
          </cell>
          <cell r="BF235">
            <v>6954721</v>
          </cell>
          <cell r="BG235">
            <v>7137997</v>
          </cell>
          <cell r="BH235">
            <v>7323158</v>
          </cell>
          <cell r="BI235">
            <v>7509952</v>
          </cell>
          <cell r="BJ235">
            <v>7698475</v>
          </cell>
          <cell r="BK235">
            <v>7889094</v>
          </cell>
        </row>
        <row r="236">
          <cell r="B236" t="str">
            <v>THA</v>
          </cell>
          <cell r="C236" t="str">
            <v>Population, total</v>
          </cell>
          <cell r="D236" t="str">
            <v>SP.POP.TOTL</v>
          </cell>
          <cell r="E236">
            <v>27397207</v>
          </cell>
          <cell r="F236">
            <v>28224187</v>
          </cell>
          <cell r="G236">
            <v>29080938</v>
          </cell>
          <cell r="H236">
            <v>29966865</v>
          </cell>
          <cell r="I236">
            <v>30881138</v>
          </cell>
          <cell r="J236">
            <v>31822660</v>
          </cell>
          <cell r="K236">
            <v>32789130</v>
          </cell>
          <cell r="L236">
            <v>33778799</v>
          </cell>
          <cell r="M236">
            <v>34791409</v>
          </cell>
          <cell r="N236">
            <v>35827092</v>
          </cell>
          <cell r="O236">
            <v>36884536</v>
          </cell>
          <cell r="P236">
            <v>37963278</v>
          </cell>
          <cell r="Q236">
            <v>39058603</v>
          </cell>
          <cell r="R236">
            <v>40159582</v>
          </cell>
          <cell r="S236">
            <v>41252324</v>
          </cell>
          <cell r="T236">
            <v>42326312</v>
          </cell>
          <cell r="U236">
            <v>43377271</v>
          </cell>
          <cell r="V236">
            <v>44405904</v>
          </cell>
          <cell r="W236">
            <v>45413080</v>
          </cell>
          <cell r="X236">
            <v>46401754</v>
          </cell>
          <cell r="Y236">
            <v>47374472</v>
          </cell>
          <cell r="Z236">
            <v>48326274</v>
          </cell>
          <cell r="AA236">
            <v>49255900</v>
          </cell>
          <cell r="AB236">
            <v>50173924</v>
          </cell>
          <cell r="AC236">
            <v>51094868</v>
          </cell>
          <cell r="AD236">
            <v>52026901</v>
          </cell>
          <cell r="AE236">
            <v>52980094</v>
          </cell>
          <cell r="AF236">
            <v>53945881</v>
          </cell>
          <cell r="AG236">
            <v>54891520</v>
          </cell>
          <cell r="AH236">
            <v>55772169</v>
          </cell>
          <cell r="AI236">
            <v>56558186</v>
          </cell>
          <cell r="AJ236">
            <v>57232465</v>
          </cell>
          <cell r="AK236">
            <v>57811021</v>
          </cell>
          <cell r="AL236">
            <v>58337773</v>
          </cell>
          <cell r="AM236">
            <v>58875269</v>
          </cell>
          <cell r="AN236">
            <v>59467274</v>
          </cell>
          <cell r="AO236">
            <v>60130186</v>
          </cell>
          <cell r="AP236">
            <v>60846582</v>
          </cell>
          <cell r="AQ236">
            <v>61585103</v>
          </cell>
          <cell r="AR236">
            <v>62298571</v>
          </cell>
          <cell r="AS236">
            <v>62952642</v>
          </cell>
          <cell r="AT236">
            <v>63539196</v>
          </cell>
          <cell r="AU236">
            <v>64069087</v>
          </cell>
          <cell r="AV236">
            <v>64549866</v>
          </cell>
          <cell r="AW236">
            <v>64995299</v>
          </cell>
          <cell r="AX236">
            <v>65416189</v>
          </cell>
          <cell r="AY236">
            <v>65812536</v>
          </cell>
          <cell r="AZ236">
            <v>66182067</v>
          </cell>
          <cell r="BA236">
            <v>66530984</v>
          </cell>
          <cell r="BB236">
            <v>66866839</v>
          </cell>
          <cell r="BC236">
            <v>67195028</v>
          </cell>
          <cell r="BD236">
            <v>67518382</v>
          </cell>
          <cell r="BE236">
            <v>67835957</v>
          </cell>
          <cell r="BF236">
            <v>68144501</v>
          </cell>
          <cell r="BG236">
            <v>68438730</v>
          </cell>
          <cell r="BH236">
            <v>68714511</v>
          </cell>
          <cell r="BI236">
            <v>68971331</v>
          </cell>
          <cell r="BJ236">
            <v>69209858</v>
          </cell>
          <cell r="BK236">
            <v>69428524</v>
          </cell>
        </row>
        <row r="237">
          <cell r="B237" t="str">
            <v>TJK</v>
          </cell>
          <cell r="C237" t="str">
            <v>Population, total</v>
          </cell>
          <cell r="D237" t="str">
            <v>SP.POP.TOTL</v>
          </cell>
          <cell r="E237">
            <v>2087049</v>
          </cell>
          <cell r="F237">
            <v>2159134</v>
          </cell>
          <cell r="G237">
            <v>2236574</v>
          </cell>
          <cell r="H237">
            <v>2318248</v>
          </cell>
          <cell r="I237">
            <v>2402477</v>
          </cell>
          <cell r="J237">
            <v>2487976</v>
          </cell>
          <cell r="K237">
            <v>2574511</v>
          </cell>
          <cell r="L237">
            <v>2662253</v>
          </cell>
          <cell r="M237">
            <v>2750928</v>
          </cell>
          <cell r="N237">
            <v>2840262</v>
          </cell>
          <cell r="O237">
            <v>2930107</v>
          </cell>
          <cell r="P237">
            <v>3020413</v>
          </cell>
          <cell r="Q237">
            <v>3111282</v>
          </cell>
          <cell r="R237">
            <v>3203029</v>
          </cell>
          <cell r="S237">
            <v>3296103</v>
          </cell>
          <cell r="T237">
            <v>3390941</v>
          </cell>
          <cell r="U237">
            <v>3487652</v>
          </cell>
          <cell r="V237">
            <v>3586515</v>
          </cell>
          <cell r="W237">
            <v>3688419</v>
          </cell>
          <cell r="X237">
            <v>3794451</v>
          </cell>
          <cell r="Y237">
            <v>3905446</v>
          </cell>
          <cell r="Z237">
            <v>4020821</v>
          </cell>
          <cell r="AA237">
            <v>4140295</v>
          </cell>
          <cell r="AB237">
            <v>4265274</v>
          </cell>
          <cell r="AC237">
            <v>4397562</v>
          </cell>
          <cell r="AD237">
            <v>4537822</v>
          </cell>
          <cell r="AE237">
            <v>4687325</v>
          </cell>
          <cell r="AF237">
            <v>4844002</v>
          </cell>
          <cell r="AG237">
            <v>5001169</v>
          </cell>
          <cell r="AH237">
            <v>5149874</v>
          </cell>
          <cell r="AI237">
            <v>5283814</v>
          </cell>
          <cell r="AJ237">
            <v>5400630</v>
          </cell>
          <cell r="AK237">
            <v>5502494</v>
          </cell>
          <cell r="AL237">
            <v>5593315</v>
          </cell>
          <cell r="AM237">
            <v>5679167</v>
          </cell>
          <cell r="AN237">
            <v>5764810</v>
          </cell>
          <cell r="AO237">
            <v>5851355</v>
          </cell>
          <cell r="AP237">
            <v>5938405</v>
          </cell>
          <cell r="AQ237">
            <v>6027388</v>
          </cell>
          <cell r="AR237">
            <v>6119661</v>
          </cell>
          <cell r="AS237">
            <v>6216341</v>
          </cell>
          <cell r="AT237">
            <v>6318513</v>
          </cell>
          <cell r="AU237">
            <v>6426867</v>
          </cell>
          <cell r="AV237">
            <v>6541547</v>
          </cell>
          <cell r="AW237">
            <v>6662389</v>
          </cell>
          <cell r="AX237">
            <v>6789321</v>
          </cell>
          <cell r="AY237">
            <v>6922587</v>
          </cell>
          <cell r="AZ237">
            <v>7062672</v>
          </cell>
          <cell r="BA237">
            <v>7209930</v>
          </cell>
          <cell r="BB237">
            <v>7364753</v>
          </cell>
          <cell r="BC237">
            <v>7527394</v>
          </cell>
          <cell r="BD237">
            <v>7697510</v>
          </cell>
          <cell r="BE237">
            <v>7874835</v>
          </cell>
          <cell r="BF237">
            <v>8059769</v>
          </cell>
          <cell r="BG237">
            <v>8252833</v>
          </cell>
          <cell r="BH237">
            <v>8454028</v>
          </cell>
          <cell r="BI237">
            <v>8663579</v>
          </cell>
          <cell r="BJ237">
            <v>8880268</v>
          </cell>
          <cell r="BK237">
            <v>9100837</v>
          </cell>
        </row>
        <row r="238">
          <cell r="B238" t="str">
            <v>TKM</v>
          </cell>
          <cell r="C238" t="str">
            <v>Population, total</v>
          </cell>
          <cell r="D238" t="str">
            <v>SP.POP.TOTL</v>
          </cell>
          <cell r="E238">
            <v>1603258</v>
          </cell>
          <cell r="F238">
            <v>1658362</v>
          </cell>
          <cell r="G238">
            <v>1715408</v>
          </cell>
          <cell r="H238">
            <v>1773853</v>
          </cell>
          <cell r="I238">
            <v>1833064</v>
          </cell>
          <cell r="J238">
            <v>1892599</v>
          </cell>
          <cell r="K238">
            <v>1952141</v>
          </cell>
          <cell r="L238">
            <v>2011764</v>
          </cell>
          <cell r="M238">
            <v>2071790</v>
          </cell>
          <cell r="N238">
            <v>2132802</v>
          </cell>
          <cell r="O238">
            <v>2195175</v>
          </cell>
          <cell r="P238">
            <v>2258965</v>
          </cell>
          <cell r="Q238">
            <v>2324015</v>
          </cell>
          <cell r="R238">
            <v>2390216</v>
          </cell>
          <cell r="S238">
            <v>2457384</v>
          </cell>
          <cell r="T238">
            <v>2525364</v>
          </cell>
          <cell r="U238">
            <v>2594313</v>
          </cell>
          <cell r="V238">
            <v>2664258</v>
          </cell>
          <cell r="W238">
            <v>2734895</v>
          </cell>
          <cell r="X238">
            <v>2805819</v>
          </cell>
          <cell r="Y238">
            <v>2876808</v>
          </cell>
          <cell r="Z238">
            <v>2947779</v>
          </cell>
          <cell r="AA238">
            <v>3019066</v>
          </cell>
          <cell r="AB238">
            <v>3091513</v>
          </cell>
          <cell r="AC238">
            <v>3166221</v>
          </cell>
          <cell r="AD238">
            <v>3244018</v>
          </cell>
          <cell r="AE238">
            <v>3324458</v>
          </cell>
          <cell r="AF238">
            <v>3407321</v>
          </cell>
          <cell r="AG238">
            <v>3493895</v>
          </cell>
          <cell r="AH238">
            <v>3585868</v>
          </cell>
          <cell r="AI238">
            <v>3683967</v>
          </cell>
          <cell r="AJ238">
            <v>3789185</v>
          </cell>
          <cell r="AK238">
            <v>3899843</v>
          </cell>
          <cell r="AL238">
            <v>4010789</v>
          </cell>
          <cell r="AM238">
            <v>4115102</v>
          </cell>
          <cell r="AN238">
            <v>4207841</v>
          </cell>
          <cell r="AO238">
            <v>4287346</v>
          </cell>
          <cell r="AP238">
            <v>4355116</v>
          </cell>
          <cell r="AQ238">
            <v>4413479</v>
          </cell>
          <cell r="AR238">
            <v>4466135</v>
          </cell>
          <cell r="AS238">
            <v>4516133</v>
          </cell>
          <cell r="AT238">
            <v>4564083</v>
          </cell>
          <cell r="AU238">
            <v>4610005</v>
          </cell>
          <cell r="AV238">
            <v>4655743</v>
          </cell>
          <cell r="AW238">
            <v>4703401</v>
          </cell>
          <cell r="AX238">
            <v>4754646</v>
          </cell>
          <cell r="AY238">
            <v>4810109</v>
          </cell>
          <cell r="AZ238">
            <v>4870141</v>
          </cell>
          <cell r="BA238">
            <v>4935767</v>
          </cell>
          <cell r="BB238">
            <v>5007954</v>
          </cell>
          <cell r="BC238">
            <v>5087213</v>
          </cell>
          <cell r="BD238">
            <v>5174085</v>
          </cell>
          <cell r="BE238">
            <v>5267900</v>
          </cell>
          <cell r="BF238">
            <v>5366375</v>
          </cell>
          <cell r="BG238">
            <v>5466328</v>
          </cell>
          <cell r="BH238">
            <v>5565287</v>
          </cell>
          <cell r="BI238">
            <v>5662372</v>
          </cell>
          <cell r="BJ238">
            <v>5757669</v>
          </cell>
          <cell r="BK238">
            <v>5850908</v>
          </cell>
        </row>
        <row r="239">
          <cell r="B239" t="str">
            <v>TLA</v>
          </cell>
          <cell r="C239" t="str">
            <v>Population, total</v>
          </cell>
          <cell r="D239" t="str">
            <v>SP.POP.TOTL</v>
          </cell>
          <cell r="E239">
            <v>209830870</v>
          </cell>
          <cell r="F239">
            <v>215714204</v>
          </cell>
          <cell r="G239">
            <v>221761892</v>
          </cell>
          <cell r="H239">
            <v>227953108</v>
          </cell>
          <cell r="I239">
            <v>234259729</v>
          </cell>
          <cell r="J239">
            <v>240659602</v>
          </cell>
          <cell r="K239">
            <v>247146615</v>
          </cell>
          <cell r="L239">
            <v>253720596</v>
          </cell>
          <cell r="M239">
            <v>260373635</v>
          </cell>
          <cell r="N239">
            <v>267098365</v>
          </cell>
          <cell r="O239">
            <v>273890550</v>
          </cell>
          <cell r="P239">
            <v>280743854</v>
          </cell>
          <cell r="Q239">
            <v>287660314</v>
          </cell>
          <cell r="R239">
            <v>294655159</v>
          </cell>
          <cell r="S239">
            <v>301749862</v>
          </cell>
          <cell r="T239">
            <v>308960344</v>
          </cell>
          <cell r="U239">
            <v>316284425</v>
          </cell>
          <cell r="V239">
            <v>323716454</v>
          </cell>
          <cell r="W239">
            <v>331262793</v>
          </cell>
          <cell r="X239">
            <v>338930835</v>
          </cell>
          <cell r="Y239">
            <v>346721295</v>
          </cell>
          <cell r="Z239">
            <v>354637282</v>
          </cell>
          <cell r="AA239">
            <v>362664167</v>
          </cell>
          <cell r="AB239">
            <v>370762243</v>
          </cell>
          <cell r="AC239">
            <v>378879107</v>
          </cell>
          <cell r="AD239">
            <v>386975093</v>
          </cell>
          <cell r="AE239">
            <v>395030890</v>
          </cell>
          <cell r="AF239">
            <v>403048813</v>
          </cell>
          <cell r="AG239">
            <v>411037290</v>
          </cell>
          <cell r="AH239">
            <v>419014393</v>
          </cell>
          <cell r="AI239">
            <v>426991606</v>
          </cell>
          <cell r="AJ239">
            <v>434963098</v>
          </cell>
          <cell r="AK239">
            <v>442915528</v>
          </cell>
          <cell r="AL239">
            <v>450843971</v>
          </cell>
          <cell r="AM239">
            <v>458742858</v>
          </cell>
          <cell r="AN239">
            <v>466604856</v>
          </cell>
          <cell r="AO239">
            <v>474430763</v>
          </cell>
          <cell r="AP239">
            <v>482211642</v>
          </cell>
          <cell r="AQ239">
            <v>489919322</v>
          </cell>
          <cell r="AR239">
            <v>497517841</v>
          </cell>
          <cell r="AS239">
            <v>504982243</v>
          </cell>
          <cell r="AT239">
            <v>512300865</v>
          </cell>
          <cell r="AU239">
            <v>519482148</v>
          </cell>
          <cell r="AV239">
            <v>526547684</v>
          </cell>
          <cell r="AW239">
            <v>533529987</v>
          </cell>
          <cell r="AX239">
            <v>540453950</v>
          </cell>
          <cell r="AY239">
            <v>547323121</v>
          </cell>
          <cell r="AZ239">
            <v>554133291</v>
          </cell>
          <cell r="BA239">
            <v>560891799</v>
          </cell>
          <cell r="BB239">
            <v>567605672</v>
          </cell>
          <cell r="BC239">
            <v>574171371</v>
          </cell>
          <cell r="BD239">
            <v>580856609</v>
          </cell>
          <cell r="BE239">
            <v>587491182</v>
          </cell>
          <cell r="BF239">
            <v>594063071</v>
          </cell>
          <cell r="BG239">
            <v>600555906</v>
          </cell>
          <cell r="BH239">
            <v>606956985</v>
          </cell>
          <cell r="BI239">
            <v>613258172</v>
          </cell>
          <cell r="BJ239">
            <v>619460244</v>
          </cell>
          <cell r="BK239">
            <v>625569713</v>
          </cell>
        </row>
        <row r="240">
          <cell r="B240" t="str">
            <v>TLS</v>
          </cell>
          <cell r="C240" t="str">
            <v>Population, total</v>
          </cell>
          <cell r="D240" t="str">
            <v>SP.POP.TOTL</v>
          </cell>
          <cell r="E240">
            <v>474532</v>
          </cell>
          <cell r="F240">
            <v>482854</v>
          </cell>
          <cell r="G240">
            <v>491571</v>
          </cell>
          <cell r="H240">
            <v>500647</v>
          </cell>
          <cell r="I240">
            <v>510034</v>
          </cell>
          <cell r="J240">
            <v>519686</v>
          </cell>
          <cell r="K240">
            <v>529327</v>
          </cell>
          <cell r="L240">
            <v>538909</v>
          </cell>
          <cell r="M240">
            <v>548825</v>
          </cell>
          <cell r="N240">
            <v>559626</v>
          </cell>
          <cell r="O240">
            <v>571565</v>
          </cell>
          <cell r="P240">
            <v>585251</v>
          </cell>
          <cell r="Q240">
            <v>600192</v>
          </cell>
          <cell r="R240">
            <v>614253</v>
          </cell>
          <cell r="S240">
            <v>624555</v>
          </cell>
          <cell r="T240">
            <v>629227</v>
          </cell>
          <cell r="U240">
            <v>627251</v>
          </cell>
          <cell r="V240">
            <v>619816</v>
          </cell>
          <cell r="W240">
            <v>610054</v>
          </cell>
          <cell r="X240">
            <v>602358</v>
          </cell>
          <cell r="Y240">
            <v>599905</v>
          </cell>
          <cell r="Z240">
            <v>603842</v>
          </cell>
          <cell r="AA240">
            <v>613238</v>
          </cell>
          <cell r="AB240">
            <v>626675</v>
          </cell>
          <cell r="AC240">
            <v>641844</v>
          </cell>
          <cell r="AD240">
            <v>657053</v>
          </cell>
          <cell r="AE240">
            <v>671752</v>
          </cell>
          <cell r="AF240">
            <v>686471</v>
          </cell>
          <cell r="AG240">
            <v>701809</v>
          </cell>
          <cell r="AH240">
            <v>718741</v>
          </cell>
          <cell r="AI240">
            <v>737814</v>
          </cell>
          <cell r="AJ240">
            <v>759527</v>
          </cell>
          <cell r="AK240">
            <v>783198</v>
          </cell>
          <cell r="AL240">
            <v>806860</v>
          </cell>
          <cell r="AM240">
            <v>827825</v>
          </cell>
          <cell r="AN240">
            <v>844334</v>
          </cell>
          <cell r="AO240">
            <v>855362</v>
          </cell>
          <cell r="AP240">
            <v>861866</v>
          </cell>
          <cell r="AQ240">
            <v>866530</v>
          </cell>
          <cell r="AR240">
            <v>873136</v>
          </cell>
          <cell r="AS240">
            <v>884366</v>
          </cell>
          <cell r="AT240">
            <v>901214</v>
          </cell>
          <cell r="AU240">
            <v>922694</v>
          </cell>
          <cell r="AV240">
            <v>947108</v>
          </cell>
          <cell r="AW240">
            <v>971893</v>
          </cell>
          <cell r="AX240">
            <v>995135</v>
          </cell>
          <cell r="AY240">
            <v>1016432</v>
          </cell>
          <cell r="AZ240">
            <v>1036392</v>
          </cell>
          <cell r="BA240">
            <v>1055431</v>
          </cell>
          <cell r="BB240">
            <v>1074277</v>
          </cell>
          <cell r="BC240">
            <v>1093523</v>
          </cell>
          <cell r="BD240">
            <v>1113151</v>
          </cell>
          <cell r="BE240">
            <v>1132994</v>
          </cell>
          <cell r="BF240">
            <v>1153295</v>
          </cell>
          <cell r="BG240">
            <v>1174331</v>
          </cell>
          <cell r="BH240">
            <v>1196302</v>
          </cell>
          <cell r="BI240">
            <v>1219288</v>
          </cell>
          <cell r="BJ240">
            <v>1243261</v>
          </cell>
          <cell r="BK240">
            <v>1267972</v>
          </cell>
        </row>
        <row r="241">
          <cell r="B241" t="str">
            <v>TMN</v>
          </cell>
          <cell r="C241" t="str">
            <v>Population, total</v>
          </cell>
          <cell r="D241" t="str">
            <v>SP.POP.TOTL</v>
          </cell>
          <cell r="E241">
            <v>97553162</v>
          </cell>
          <cell r="F241">
            <v>100147129</v>
          </cell>
          <cell r="G241">
            <v>102808053</v>
          </cell>
          <cell r="H241">
            <v>105546273</v>
          </cell>
          <cell r="I241">
            <v>108376339</v>
          </cell>
          <cell r="J241">
            <v>111307812</v>
          </cell>
          <cell r="K241">
            <v>114351833</v>
          </cell>
          <cell r="L241">
            <v>117503859</v>
          </cell>
          <cell r="M241">
            <v>120739199</v>
          </cell>
          <cell r="N241">
            <v>124023257</v>
          </cell>
          <cell r="O241">
            <v>127335091</v>
          </cell>
          <cell r="P241">
            <v>130670746</v>
          </cell>
          <cell r="Q241">
            <v>134051043</v>
          </cell>
          <cell r="R241">
            <v>137511210</v>
          </cell>
          <cell r="S241">
            <v>141099581</v>
          </cell>
          <cell r="T241">
            <v>144855682</v>
          </cell>
          <cell r="U241">
            <v>148781931</v>
          </cell>
          <cell r="V241">
            <v>152881209</v>
          </cell>
          <cell r="W241">
            <v>157192233</v>
          </cell>
          <cell r="X241">
            <v>161761420</v>
          </cell>
          <cell r="Y241">
            <v>166616401</v>
          </cell>
          <cell r="Z241">
            <v>171766031</v>
          </cell>
          <cell r="AA241">
            <v>177185670</v>
          </cell>
          <cell r="AB241">
            <v>182825264</v>
          </cell>
          <cell r="AC241">
            <v>188614696</v>
          </cell>
          <cell r="AD241">
            <v>194494169</v>
          </cell>
          <cell r="AE241">
            <v>200443463</v>
          </cell>
          <cell r="AF241">
            <v>206447530</v>
          </cell>
          <cell r="AG241">
            <v>212456887</v>
          </cell>
          <cell r="AH241">
            <v>218415849</v>
          </cell>
          <cell r="AI241">
            <v>224280789</v>
          </cell>
          <cell r="AJ241">
            <v>230032595</v>
          </cell>
          <cell r="AK241">
            <v>235665072</v>
          </cell>
          <cell r="AL241">
            <v>241166614</v>
          </cell>
          <cell r="AM241">
            <v>246530972</v>
          </cell>
          <cell r="AN241">
            <v>251758685</v>
          </cell>
          <cell r="AO241">
            <v>256843600</v>
          </cell>
          <cell r="AP241">
            <v>261797648</v>
          </cell>
          <cell r="AQ241">
            <v>266664122</v>
          </cell>
          <cell r="AR241">
            <v>271501601</v>
          </cell>
          <cell r="AS241">
            <v>276357481</v>
          </cell>
          <cell r="AT241">
            <v>281251234</v>
          </cell>
          <cell r="AU241">
            <v>286188951</v>
          </cell>
          <cell r="AV241">
            <v>291188659</v>
          </cell>
          <cell r="AW241">
            <v>296266148</v>
          </cell>
          <cell r="AX241">
            <v>301435107</v>
          </cell>
          <cell r="AY241">
            <v>306703078</v>
          </cell>
          <cell r="AZ241">
            <v>312078851</v>
          </cell>
          <cell r="BA241">
            <v>317576790</v>
          </cell>
          <cell r="BB241">
            <v>323211885</v>
          </cell>
          <cell r="BC241">
            <v>328991663</v>
          </cell>
          <cell r="BD241">
            <v>334931821</v>
          </cell>
          <cell r="BE241">
            <v>341024011</v>
          </cell>
          <cell r="BF241">
            <v>347222485</v>
          </cell>
          <cell r="BG241">
            <v>353463942</v>
          </cell>
          <cell r="BH241">
            <v>359705458</v>
          </cell>
          <cell r="BI241">
            <v>365909373</v>
          </cell>
          <cell r="BJ241">
            <v>372091950</v>
          </cell>
          <cell r="BK241">
            <v>378327628</v>
          </cell>
        </row>
        <row r="242">
          <cell r="B242" t="str">
            <v>TON</v>
          </cell>
          <cell r="C242" t="str">
            <v>Population, total</v>
          </cell>
          <cell r="D242" t="str">
            <v>SP.POP.TOTL</v>
          </cell>
          <cell r="E242">
            <v>61577</v>
          </cell>
          <cell r="F242">
            <v>63715</v>
          </cell>
          <cell r="G242">
            <v>66235</v>
          </cell>
          <cell r="H242">
            <v>68981</v>
          </cell>
          <cell r="I242">
            <v>71741</v>
          </cell>
          <cell r="J242">
            <v>74345</v>
          </cell>
          <cell r="K242">
            <v>76771</v>
          </cell>
          <cell r="L242">
            <v>79029</v>
          </cell>
          <cell r="M242">
            <v>81079</v>
          </cell>
          <cell r="N242">
            <v>82855</v>
          </cell>
          <cell r="O242">
            <v>84351</v>
          </cell>
          <cell r="P242">
            <v>85499</v>
          </cell>
          <cell r="Q242">
            <v>86323</v>
          </cell>
          <cell r="R242">
            <v>86962</v>
          </cell>
          <cell r="S242">
            <v>87582</v>
          </cell>
          <cell r="T242">
            <v>88318</v>
          </cell>
          <cell r="U242">
            <v>89234</v>
          </cell>
          <cell r="V242">
            <v>90273</v>
          </cell>
          <cell r="W242">
            <v>91335</v>
          </cell>
          <cell r="X242">
            <v>92268</v>
          </cell>
          <cell r="Y242">
            <v>92971</v>
          </cell>
          <cell r="Z242">
            <v>93409</v>
          </cell>
          <cell r="AA242">
            <v>93641</v>
          </cell>
          <cell r="AB242">
            <v>93729</v>
          </cell>
          <cell r="AC242">
            <v>93788</v>
          </cell>
          <cell r="AD242">
            <v>93896</v>
          </cell>
          <cell r="AE242">
            <v>94088</v>
          </cell>
          <cell r="AF242">
            <v>94321</v>
          </cell>
          <cell r="AG242">
            <v>94591</v>
          </cell>
          <cell r="AH242">
            <v>94851</v>
          </cell>
          <cell r="AI242">
            <v>95069</v>
          </cell>
          <cell r="AJ242">
            <v>95246</v>
          </cell>
          <cell r="AK242">
            <v>95399</v>
          </cell>
          <cell r="AL242">
            <v>95557</v>
          </cell>
          <cell r="AM242">
            <v>95739</v>
          </cell>
          <cell r="AN242">
            <v>95976</v>
          </cell>
          <cell r="AO242">
            <v>96273</v>
          </cell>
          <cell r="AP242">
            <v>96619</v>
          </cell>
          <cell r="AQ242">
            <v>97032</v>
          </cell>
          <cell r="AR242">
            <v>97482</v>
          </cell>
          <cell r="AS242">
            <v>97973</v>
          </cell>
          <cell r="AT242">
            <v>98487</v>
          </cell>
          <cell r="AU242">
            <v>99022</v>
          </cell>
          <cell r="AV242">
            <v>99589</v>
          </cell>
          <cell r="AW242">
            <v>100218</v>
          </cell>
          <cell r="AX242">
            <v>100905</v>
          </cell>
          <cell r="AY242">
            <v>101706</v>
          </cell>
          <cell r="AZ242">
            <v>102581</v>
          </cell>
          <cell r="BA242">
            <v>103379</v>
          </cell>
          <cell r="BB242">
            <v>103890</v>
          </cell>
          <cell r="BC242">
            <v>103986</v>
          </cell>
          <cell r="BD242">
            <v>103562</v>
          </cell>
          <cell r="BE242">
            <v>102737</v>
          </cell>
          <cell r="BF242">
            <v>101768</v>
          </cell>
          <cell r="BG242">
            <v>101028</v>
          </cell>
          <cell r="BH242">
            <v>100781</v>
          </cell>
          <cell r="BI242">
            <v>101133</v>
          </cell>
          <cell r="BJ242">
            <v>101998</v>
          </cell>
          <cell r="BK242">
            <v>103197</v>
          </cell>
        </row>
        <row r="243">
          <cell r="B243" t="str">
            <v>TSA</v>
          </cell>
          <cell r="C243" t="str">
            <v>Population, total</v>
          </cell>
          <cell r="D243" t="str">
            <v>SP.POP.TOTL</v>
          </cell>
          <cell r="E243">
            <v>572839523</v>
          </cell>
          <cell r="F243">
            <v>584939726</v>
          </cell>
          <cell r="G243">
            <v>597494449</v>
          </cell>
          <cell r="H243">
            <v>610498327</v>
          </cell>
          <cell r="I243">
            <v>623943332</v>
          </cell>
          <cell r="J243">
            <v>637823175</v>
          </cell>
          <cell r="K243">
            <v>652144182</v>
          </cell>
          <cell r="L243">
            <v>666908582</v>
          </cell>
          <cell r="M243">
            <v>682102178</v>
          </cell>
          <cell r="N243">
            <v>697706104</v>
          </cell>
          <cell r="O243">
            <v>713711349</v>
          </cell>
          <cell r="P243">
            <v>730107637</v>
          </cell>
          <cell r="Q243">
            <v>746911716</v>
          </cell>
          <cell r="R243">
            <v>764174958</v>
          </cell>
          <cell r="S243">
            <v>781966565</v>
          </cell>
          <cell r="T243">
            <v>800335563</v>
          </cell>
          <cell r="U243">
            <v>819292545</v>
          </cell>
          <cell r="V243">
            <v>838819925</v>
          </cell>
          <cell r="W243">
            <v>858901731</v>
          </cell>
          <cell r="X243">
            <v>879510848</v>
          </cell>
          <cell r="Y243">
            <v>900620572</v>
          </cell>
          <cell r="Z243">
            <v>922226636</v>
          </cell>
          <cell r="AA243">
            <v>944315187</v>
          </cell>
          <cell r="AB243">
            <v>966836452</v>
          </cell>
          <cell r="AC243">
            <v>989728215</v>
          </cell>
          <cell r="AD243">
            <v>1012942302</v>
          </cell>
          <cell r="AE243">
            <v>1036437892</v>
          </cell>
          <cell r="AF243">
            <v>1060208539</v>
          </cell>
          <cell r="AG243">
            <v>1084281155</v>
          </cell>
          <cell r="AH243">
            <v>1108702403</v>
          </cell>
          <cell r="AI243">
            <v>1133495196</v>
          </cell>
          <cell r="AJ243">
            <v>1158655617</v>
          </cell>
          <cell r="AK243">
            <v>1184133314</v>
          </cell>
          <cell r="AL243">
            <v>1209847786</v>
          </cell>
          <cell r="AM243">
            <v>1235693869</v>
          </cell>
          <cell r="AN243">
            <v>1261587756</v>
          </cell>
          <cell r="AO243">
            <v>1287476190</v>
          </cell>
          <cell r="AP243">
            <v>1313346377</v>
          </cell>
          <cell r="AQ243">
            <v>1339202708</v>
          </cell>
          <cell r="AR243">
            <v>1365067928</v>
          </cell>
          <cell r="AS243">
            <v>1390946064</v>
          </cell>
          <cell r="AT243">
            <v>1416822959</v>
          </cell>
          <cell r="AU243">
            <v>1442644058</v>
          </cell>
          <cell r="AV243">
            <v>1468324422</v>
          </cell>
          <cell r="AW243">
            <v>1493757846</v>
          </cell>
          <cell r="AX243">
            <v>1518861552</v>
          </cell>
          <cell r="AY243">
            <v>1543610696</v>
          </cell>
          <cell r="AZ243">
            <v>1568003159</v>
          </cell>
          <cell r="BA243">
            <v>1592010819</v>
          </cell>
          <cell r="BB243">
            <v>1615610198</v>
          </cell>
          <cell r="BC243">
            <v>1638792934</v>
          </cell>
          <cell r="BD243">
            <v>1661534412</v>
          </cell>
          <cell r="BE243">
            <v>1683747130</v>
          </cell>
          <cell r="BF243">
            <v>1705772050</v>
          </cell>
          <cell r="BG243">
            <v>1727640967</v>
          </cell>
          <cell r="BH243">
            <v>1749417068</v>
          </cell>
          <cell r="BI243">
            <v>1771167194</v>
          </cell>
          <cell r="BJ243">
            <v>1792835608</v>
          </cell>
          <cell r="BK243">
            <v>1814388744</v>
          </cell>
        </row>
        <row r="244">
          <cell r="B244" t="str">
            <v>TSS</v>
          </cell>
          <cell r="C244" t="str">
            <v>Population, total</v>
          </cell>
          <cell r="D244" t="str">
            <v>SP.POP.TOTL</v>
          </cell>
          <cell r="E244">
            <v>227233223</v>
          </cell>
          <cell r="F244">
            <v>232567038</v>
          </cell>
          <cell r="G244">
            <v>238121698</v>
          </cell>
          <cell r="H244">
            <v>243893426</v>
          </cell>
          <cell r="I244">
            <v>249873743</v>
          </cell>
          <cell r="J244">
            <v>256059811</v>
          </cell>
          <cell r="K244">
            <v>262454422</v>
          </cell>
          <cell r="L244">
            <v>269072224</v>
          </cell>
          <cell r="M244">
            <v>275937224</v>
          </cell>
          <cell r="N244">
            <v>283080084</v>
          </cell>
          <cell r="O244">
            <v>290526189</v>
          </cell>
          <cell r="P244">
            <v>298284068</v>
          </cell>
          <cell r="Q244">
            <v>306359274</v>
          </cell>
          <cell r="R244">
            <v>314761167</v>
          </cell>
          <cell r="S244">
            <v>323500188</v>
          </cell>
          <cell r="T244">
            <v>332583486</v>
          </cell>
          <cell r="U244">
            <v>342018831</v>
          </cell>
          <cell r="V244">
            <v>351808670</v>
          </cell>
          <cell r="W244">
            <v>361939361</v>
          </cell>
          <cell r="X244">
            <v>372404185</v>
          </cell>
          <cell r="Y244">
            <v>383188232</v>
          </cell>
          <cell r="Z244">
            <v>394281956</v>
          </cell>
          <cell r="AA244">
            <v>405688903</v>
          </cell>
          <cell r="AB244">
            <v>417425681</v>
          </cell>
          <cell r="AC244">
            <v>429521938</v>
          </cell>
          <cell r="AD244">
            <v>441988010</v>
          </cell>
          <cell r="AE244">
            <v>454835629</v>
          </cell>
          <cell r="AF244">
            <v>468053168</v>
          </cell>
          <cell r="AG244">
            <v>481594292</v>
          </cell>
          <cell r="AH244">
            <v>495407391</v>
          </cell>
          <cell r="AI244">
            <v>509451851</v>
          </cell>
          <cell r="AJ244">
            <v>523726913</v>
          </cell>
          <cell r="AK244">
            <v>538246469</v>
          </cell>
          <cell r="AL244">
            <v>553020362</v>
          </cell>
          <cell r="AM244">
            <v>568072008</v>
          </cell>
          <cell r="AN244">
            <v>583413261</v>
          </cell>
          <cell r="AO244">
            <v>599067779</v>
          </cell>
          <cell r="AP244">
            <v>615054371</v>
          </cell>
          <cell r="AQ244">
            <v>631400656</v>
          </cell>
          <cell r="AR244">
            <v>648148316</v>
          </cell>
          <cell r="AS244">
            <v>665327581</v>
          </cell>
          <cell r="AT244">
            <v>682956070</v>
          </cell>
          <cell r="AU244">
            <v>701066167</v>
          </cell>
          <cell r="AV244">
            <v>719716209</v>
          </cell>
          <cell r="AW244">
            <v>738983255</v>
          </cell>
          <cell r="AX244">
            <v>758924681</v>
          </cell>
          <cell r="AY244">
            <v>779566820</v>
          </cell>
          <cell r="AZ244">
            <v>800908534</v>
          </cell>
          <cell r="BA244">
            <v>822945457</v>
          </cell>
          <cell r="BB244">
            <v>845655214</v>
          </cell>
          <cell r="BC244">
            <v>869025106</v>
          </cell>
          <cell r="BD244">
            <v>893046172</v>
          </cell>
          <cell r="BE244">
            <v>917726973</v>
          </cell>
          <cell r="BF244">
            <v>943041070</v>
          </cell>
          <cell r="BG244">
            <v>968959787</v>
          </cell>
          <cell r="BH244">
            <v>995458478</v>
          </cell>
          <cell r="BI244">
            <v>1022526541</v>
          </cell>
          <cell r="BJ244">
            <v>1050153672</v>
          </cell>
          <cell r="BK244">
            <v>1078306520</v>
          </cell>
        </row>
        <row r="245">
          <cell r="B245" t="str">
            <v>TTO</v>
          </cell>
          <cell r="C245" t="str">
            <v>Population, total</v>
          </cell>
          <cell r="D245" t="str">
            <v>SP.POP.TOTL</v>
          </cell>
          <cell r="E245">
            <v>847979</v>
          </cell>
          <cell r="F245">
            <v>864818</v>
          </cell>
          <cell r="G245">
            <v>879441</v>
          </cell>
          <cell r="H245">
            <v>891944</v>
          </cell>
          <cell r="I245">
            <v>902613</v>
          </cell>
          <cell r="J245">
            <v>911737</v>
          </cell>
          <cell r="K245">
            <v>919217</v>
          </cell>
          <cell r="L245">
            <v>925235</v>
          </cell>
          <cell r="M245">
            <v>930795</v>
          </cell>
          <cell r="N245">
            <v>937186</v>
          </cell>
          <cell r="O245">
            <v>945360</v>
          </cell>
          <cell r="P245">
            <v>955741</v>
          </cell>
          <cell r="Q245">
            <v>968136</v>
          </cell>
          <cell r="R245">
            <v>982010</v>
          </cell>
          <cell r="S245">
            <v>996493</v>
          </cell>
          <cell r="T245">
            <v>1010936</v>
          </cell>
          <cell r="U245">
            <v>1025107</v>
          </cell>
          <cell r="V245">
            <v>1039212</v>
          </cell>
          <cell r="W245">
            <v>1053558</v>
          </cell>
          <cell r="X245">
            <v>1068640</v>
          </cell>
          <cell r="Y245">
            <v>1084744</v>
          </cell>
          <cell r="Z245">
            <v>1101983</v>
          </cell>
          <cell r="AA245">
            <v>1120020</v>
          </cell>
          <cell r="AB245">
            <v>1138071</v>
          </cell>
          <cell r="AC245">
            <v>1155074</v>
          </cell>
          <cell r="AD245">
            <v>1170285</v>
          </cell>
          <cell r="AE245">
            <v>1183381</v>
          </cell>
          <cell r="AF245">
            <v>1194541</v>
          </cell>
          <cell r="AG245">
            <v>1204153</v>
          </cell>
          <cell r="AH245">
            <v>1212857</v>
          </cell>
          <cell r="AI245">
            <v>1221116</v>
          </cell>
          <cell r="AJ245">
            <v>1229103</v>
          </cell>
          <cell r="AK245">
            <v>1236683</v>
          </cell>
          <cell r="AL245">
            <v>1243616</v>
          </cell>
          <cell r="AM245">
            <v>1249520</v>
          </cell>
          <cell r="AN245">
            <v>1254200</v>
          </cell>
          <cell r="AO245">
            <v>1257549</v>
          </cell>
          <cell r="AP245">
            <v>1259848</v>
          </cell>
          <cell r="AQ245">
            <v>1261695</v>
          </cell>
          <cell r="AR245">
            <v>1263933</v>
          </cell>
          <cell r="AS245">
            <v>1267153</v>
          </cell>
          <cell r="AT245">
            <v>1271632</v>
          </cell>
          <cell r="AU245">
            <v>1277213</v>
          </cell>
          <cell r="AV245">
            <v>1283559</v>
          </cell>
          <cell r="AW245">
            <v>1290123</v>
          </cell>
          <cell r="AX245">
            <v>1296502</v>
          </cell>
          <cell r="AY245">
            <v>1302561</v>
          </cell>
          <cell r="AZ245">
            <v>1308451</v>
          </cell>
          <cell r="BA245">
            <v>1314443</v>
          </cell>
          <cell r="BB245">
            <v>1320930</v>
          </cell>
          <cell r="BC245">
            <v>1328147</v>
          </cell>
          <cell r="BD245">
            <v>1336178</v>
          </cell>
          <cell r="BE245">
            <v>1344817</v>
          </cell>
          <cell r="BF245">
            <v>1353700</v>
          </cell>
          <cell r="BG245">
            <v>1362342</v>
          </cell>
          <cell r="BH245">
            <v>1370328</v>
          </cell>
          <cell r="BI245">
            <v>1377564</v>
          </cell>
          <cell r="BJ245">
            <v>1384072</v>
          </cell>
          <cell r="BK245">
            <v>1389858</v>
          </cell>
        </row>
        <row r="246">
          <cell r="B246" t="str">
            <v>TUN</v>
          </cell>
          <cell r="C246" t="str">
            <v>Population, total</v>
          </cell>
          <cell r="D246" t="str">
            <v>SP.POP.TOTL</v>
          </cell>
          <cell r="E246">
            <v>4178236</v>
          </cell>
          <cell r="F246">
            <v>4238142</v>
          </cell>
          <cell r="G246">
            <v>4305481</v>
          </cell>
          <cell r="H246">
            <v>4380068</v>
          </cell>
          <cell r="I246">
            <v>4461114</v>
          </cell>
          <cell r="J246">
            <v>4547941</v>
          </cell>
          <cell r="K246">
            <v>4641000</v>
          </cell>
          <cell r="L246">
            <v>4740511</v>
          </cell>
          <cell r="M246">
            <v>4845219</v>
          </cell>
          <cell r="N246">
            <v>4953390</v>
          </cell>
          <cell r="O246">
            <v>5063809</v>
          </cell>
          <cell r="P246">
            <v>5176295</v>
          </cell>
          <cell r="Q246">
            <v>5291338</v>
          </cell>
          <cell r="R246">
            <v>5409343</v>
          </cell>
          <cell r="S246">
            <v>5530975</v>
          </cell>
          <cell r="T246">
            <v>5656914</v>
          </cell>
          <cell r="U246">
            <v>5786478</v>
          </cell>
          <cell r="V246">
            <v>5919965</v>
          </cell>
          <cell r="W246">
            <v>6060151</v>
          </cell>
          <cell r="X246">
            <v>6210756</v>
          </cell>
          <cell r="Y246">
            <v>6374039</v>
          </cell>
          <cell r="Z246">
            <v>6551231</v>
          </cell>
          <cell r="AA246">
            <v>6740529</v>
          </cell>
          <cell r="AB246">
            <v>6937331</v>
          </cell>
          <cell r="AC246">
            <v>7135270</v>
          </cell>
          <cell r="AD246">
            <v>7329594</v>
          </cell>
          <cell r="AE246">
            <v>7517858</v>
          </cell>
          <cell r="AF246">
            <v>7700736</v>
          </cell>
          <cell r="AG246">
            <v>7880332</v>
          </cell>
          <cell r="AH246">
            <v>8060210</v>
          </cell>
          <cell r="AI246">
            <v>8242496</v>
          </cell>
          <cell r="AJ246">
            <v>8427857</v>
          </cell>
          <cell r="AK246">
            <v>8613861</v>
          </cell>
          <cell r="AL246">
            <v>8795932</v>
          </cell>
          <cell r="AM246">
            <v>8967916</v>
          </cell>
          <cell r="AN246">
            <v>9125398</v>
          </cell>
          <cell r="AO246">
            <v>9267340</v>
          </cell>
          <cell r="AP246">
            <v>9395123</v>
          </cell>
          <cell r="AQ246">
            <v>9509857</v>
          </cell>
          <cell r="AR246">
            <v>9613588</v>
          </cell>
          <cell r="AS246">
            <v>9708350</v>
          </cell>
          <cell r="AT246">
            <v>9793903</v>
          </cell>
          <cell r="AU246">
            <v>9871251</v>
          </cell>
          <cell r="AV246">
            <v>9945277</v>
          </cell>
          <cell r="AW246">
            <v>10022277</v>
          </cell>
          <cell r="AX246">
            <v>10106771</v>
          </cell>
          <cell r="AY246">
            <v>10201214</v>
          </cell>
          <cell r="AZ246">
            <v>10304726</v>
          </cell>
          <cell r="BA246">
            <v>10414433</v>
          </cell>
          <cell r="BB246">
            <v>10525694</v>
          </cell>
          <cell r="BC246">
            <v>10635244</v>
          </cell>
          <cell r="BD246">
            <v>10741880</v>
          </cell>
          <cell r="BE246">
            <v>10847002</v>
          </cell>
          <cell r="BF246">
            <v>10952951</v>
          </cell>
          <cell r="BG246">
            <v>11063201</v>
          </cell>
          <cell r="BH246">
            <v>11179949</v>
          </cell>
          <cell r="BI246">
            <v>11303946</v>
          </cell>
          <cell r="BJ246">
            <v>11433443</v>
          </cell>
          <cell r="BK246">
            <v>11565204</v>
          </cell>
        </row>
        <row r="247">
          <cell r="B247" t="str">
            <v>TUR</v>
          </cell>
          <cell r="C247" t="str">
            <v>Population, total</v>
          </cell>
          <cell r="D247" t="str">
            <v>SP.POP.TOTL</v>
          </cell>
          <cell r="E247">
            <v>27472345</v>
          </cell>
          <cell r="F247">
            <v>28146910</v>
          </cell>
          <cell r="G247">
            <v>28832827</v>
          </cell>
          <cell r="H247">
            <v>29531365</v>
          </cell>
          <cell r="I247">
            <v>30244261</v>
          </cell>
          <cell r="J247">
            <v>30972994</v>
          </cell>
          <cell r="K247">
            <v>31717507</v>
          </cell>
          <cell r="L247">
            <v>32477992</v>
          </cell>
          <cell r="M247">
            <v>33256464</v>
          </cell>
          <cell r="N247">
            <v>34055390</v>
          </cell>
          <cell r="O247">
            <v>34876303</v>
          </cell>
          <cell r="P247">
            <v>35720599</v>
          </cell>
          <cell r="Q247">
            <v>36587261</v>
          </cell>
          <cell r="R247">
            <v>37472336</v>
          </cell>
          <cell r="S247">
            <v>38370283</v>
          </cell>
          <cell r="T247">
            <v>39277258</v>
          </cell>
          <cell r="U247">
            <v>40189567</v>
          </cell>
          <cell r="V247">
            <v>41108297</v>
          </cell>
          <cell r="W247">
            <v>42039992</v>
          </cell>
          <cell r="X247">
            <v>42994041</v>
          </cell>
          <cell r="Y247">
            <v>43975971</v>
          </cell>
          <cell r="Z247">
            <v>44988414</v>
          </cell>
          <cell r="AA247">
            <v>46025411</v>
          </cell>
          <cell r="AB247">
            <v>47073472</v>
          </cell>
          <cell r="AC247">
            <v>48114155</v>
          </cell>
          <cell r="AD247">
            <v>49133937</v>
          </cell>
          <cell r="AE247">
            <v>50128541</v>
          </cell>
          <cell r="AF247">
            <v>51100924</v>
          </cell>
          <cell r="AG247">
            <v>52053765</v>
          </cell>
          <cell r="AH247">
            <v>52992487</v>
          </cell>
          <cell r="AI247">
            <v>53921760</v>
          </cell>
          <cell r="AJ247">
            <v>54840590</v>
          </cell>
          <cell r="AK247">
            <v>55748948</v>
          </cell>
          <cell r="AL247">
            <v>56653804</v>
          </cell>
          <cell r="AM247">
            <v>57564204</v>
          </cell>
          <cell r="AN247">
            <v>58486456</v>
          </cell>
          <cell r="AO247">
            <v>59423282</v>
          </cell>
          <cell r="AP247">
            <v>60372568</v>
          </cell>
          <cell r="AQ247">
            <v>61329676</v>
          </cell>
          <cell r="AR247">
            <v>62287397</v>
          </cell>
          <cell r="AS247">
            <v>63240194</v>
          </cell>
          <cell r="AT247">
            <v>64192243</v>
          </cell>
          <cell r="AU247">
            <v>65145367</v>
          </cell>
          <cell r="AV247">
            <v>66089402</v>
          </cell>
          <cell r="AW247">
            <v>67010930</v>
          </cell>
          <cell r="AX247">
            <v>67903469</v>
          </cell>
          <cell r="AY247">
            <v>68756810</v>
          </cell>
          <cell r="AZ247">
            <v>69581848</v>
          </cell>
          <cell r="BA247">
            <v>70418604</v>
          </cell>
          <cell r="BB247">
            <v>71321399</v>
          </cell>
          <cell r="BC247">
            <v>72326988</v>
          </cell>
          <cell r="BD247">
            <v>73443863</v>
          </cell>
          <cell r="BE247">
            <v>74653016</v>
          </cell>
          <cell r="BF247">
            <v>75928564</v>
          </cell>
          <cell r="BG247">
            <v>77231907</v>
          </cell>
          <cell r="BH247">
            <v>78529409</v>
          </cell>
          <cell r="BI247">
            <v>79821724</v>
          </cell>
          <cell r="BJ247">
            <v>81101892</v>
          </cell>
          <cell r="BK247">
            <v>82319724</v>
          </cell>
        </row>
        <row r="248">
          <cell r="B248" t="str">
            <v>TUV</v>
          </cell>
          <cell r="C248" t="str">
            <v>Population, total</v>
          </cell>
          <cell r="D248" t="str">
            <v>SP.POP.TOTL</v>
          </cell>
          <cell r="E248">
            <v>5323</v>
          </cell>
          <cell r="F248">
            <v>5335</v>
          </cell>
          <cell r="G248">
            <v>5340</v>
          </cell>
          <cell r="H248">
            <v>5343</v>
          </cell>
          <cell r="I248">
            <v>5356</v>
          </cell>
          <cell r="J248">
            <v>5386</v>
          </cell>
          <cell r="K248">
            <v>5438</v>
          </cell>
          <cell r="L248">
            <v>5511</v>
          </cell>
          <cell r="M248">
            <v>5597</v>
          </cell>
          <cell r="N248">
            <v>5670</v>
          </cell>
          <cell r="O248">
            <v>5735</v>
          </cell>
          <cell r="P248">
            <v>5766</v>
          </cell>
          <cell r="Q248">
            <v>5790</v>
          </cell>
          <cell r="R248">
            <v>5822</v>
          </cell>
          <cell r="S248">
            <v>5905</v>
          </cell>
          <cell r="T248">
            <v>6060</v>
          </cell>
          <cell r="U248">
            <v>6323</v>
          </cell>
          <cell r="V248">
            <v>6650</v>
          </cell>
          <cell r="W248">
            <v>7014</v>
          </cell>
          <cell r="X248">
            <v>7358</v>
          </cell>
          <cell r="Y248">
            <v>7637</v>
          </cell>
          <cell r="Z248">
            <v>7827</v>
          </cell>
          <cell r="AA248">
            <v>7956</v>
          </cell>
          <cell r="AB248">
            <v>8041</v>
          </cell>
          <cell r="AC248">
            <v>8115</v>
          </cell>
          <cell r="AD248">
            <v>8219</v>
          </cell>
          <cell r="AE248">
            <v>8336</v>
          </cell>
          <cell r="AF248">
            <v>8485</v>
          </cell>
          <cell r="AG248">
            <v>8637</v>
          </cell>
          <cell r="AH248">
            <v>8779</v>
          </cell>
          <cell r="AI248">
            <v>8913</v>
          </cell>
          <cell r="AJ248">
            <v>9026</v>
          </cell>
          <cell r="AK248">
            <v>9112</v>
          </cell>
          <cell r="AL248">
            <v>9194</v>
          </cell>
          <cell r="AM248">
            <v>9252</v>
          </cell>
          <cell r="AN248">
            <v>9298</v>
          </cell>
          <cell r="AO248">
            <v>9323</v>
          </cell>
          <cell r="AP248">
            <v>9323</v>
          </cell>
          <cell r="AQ248">
            <v>9332</v>
          </cell>
          <cell r="AR248">
            <v>9346</v>
          </cell>
          <cell r="AS248">
            <v>9394</v>
          </cell>
          <cell r="AT248">
            <v>9484</v>
          </cell>
          <cell r="AU248">
            <v>9596</v>
          </cell>
          <cell r="AV248">
            <v>9726</v>
          </cell>
          <cell r="AW248">
            <v>9869</v>
          </cell>
          <cell r="AX248">
            <v>10000</v>
          </cell>
          <cell r="AY248">
            <v>10120</v>
          </cell>
          <cell r="AZ248">
            <v>10221</v>
          </cell>
          <cell r="BA248">
            <v>10314</v>
          </cell>
          <cell r="BB248">
            <v>10424</v>
          </cell>
          <cell r="BC248">
            <v>10530</v>
          </cell>
          <cell r="BD248">
            <v>10633</v>
          </cell>
          <cell r="BE248">
            <v>10739</v>
          </cell>
          <cell r="BF248">
            <v>10857</v>
          </cell>
          <cell r="BG248">
            <v>10972</v>
          </cell>
          <cell r="BH248">
            <v>11099</v>
          </cell>
          <cell r="BI248">
            <v>11225</v>
          </cell>
          <cell r="BJ248">
            <v>11370</v>
          </cell>
          <cell r="BK248">
            <v>11508</v>
          </cell>
        </row>
        <row r="249">
          <cell r="B249" t="str">
            <v>TZA</v>
          </cell>
          <cell r="C249" t="str">
            <v>Population, total</v>
          </cell>
          <cell r="D249" t="str">
            <v>SP.POP.TOTL</v>
          </cell>
          <cell r="E249">
            <v>10052152</v>
          </cell>
          <cell r="F249">
            <v>10346697</v>
          </cell>
          <cell r="G249">
            <v>10651962</v>
          </cell>
          <cell r="H249">
            <v>10968195</v>
          </cell>
          <cell r="I249">
            <v>11295681</v>
          </cell>
          <cell r="J249">
            <v>11634832</v>
          </cell>
          <cell r="K249">
            <v>11985440</v>
          </cell>
          <cell r="L249">
            <v>12348189</v>
          </cell>
          <cell r="M249">
            <v>12725522</v>
          </cell>
          <cell r="N249">
            <v>13120580</v>
          </cell>
          <cell r="O249">
            <v>13535481</v>
          </cell>
          <cell r="P249">
            <v>13971695</v>
          </cell>
          <cell r="Q249">
            <v>14428340</v>
          </cell>
          <cell r="R249">
            <v>14902263</v>
          </cell>
          <cell r="S249">
            <v>15388936</v>
          </cell>
          <cell r="T249">
            <v>15885229</v>
          </cell>
          <cell r="U249">
            <v>16390159</v>
          </cell>
          <cell r="V249">
            <v>16905214</v>
          </cell>
          <cell r="W249">
            <v>17432757</v>
          </cell>
          <cell r="X249">
            <v>17976222</v>
          </cell>
          <cell r="Y249">
            <v>18538259</v>
          </cell>
          <cell r="Z249">
            <v>19120680</v>
          </cell>
          <cell r="AA249">
            <v>19723322</v>
          </cell>
          <cell r="AB249">
            <v>20344547</v>
          </cell>
          <cell r="AC249">
            <v>20981776</v>
          </cell>
          <cell r="AD249">
            <v>21633796</v>
          </cell>
          <cell r="AE249">
            <v>22296286</v>
          </cell>
          <cell r="AF249">
            <v>22971200</v>
          </cell>
          <cell r="AG249">
            <v>23670808</v>
          </cell>
          <cell r="AH249">
            <v>24411738</v>
          </cell>
          <cell r="AI249">
            <v>25203845</v>
          </cell>
          <cell r="AJ249">
            <v>26056594</v>
          </cell>
          <cell r="AK249">
            <v>26961197</v>
          </cell>
          <cell r="AL249">
            <v>27887203</v>
          </cell>
          <cell r="AM249">
            <v>28792639</v>
          </cell>
          <cell r="AN249">
            <v>29649135</v>
          </cell>
          <cell r="AO249">
            <v>30444526</v>
          </cell>
          <cell r="AP249">
            <v>31192857</v>
          </cell>
          <cell r="AQ249">
            <v>31924196</v>
          </cell>
          <cell r="AR249">
            <v>32682239</v>
          </cell>
          <cell r="AS249">
            <v>33499180</v>
          </cell>
          <cell r="AT249">
            <v>34385856</v>
          </cell>
          <cell r="AU249">
            <v>35334788</v>
          </cell>
          <cell r="AV249">
            <v>36337782</v>
          </cell>
          <cell r="AW249">
            <v>37379767</v>
          </cell>
          <cell r="AX249">
            <v>38450320</v>
          </cell>
          <cell r="AY249">
            <v>39548663</v>
          </cell>
          <cell r="AZ249">
            <v>40681414</v>
          </cell>
          <cell r="BA249">
            <v>41853944</v>
          </cell>
          <cell r="BB249">
            <v>43073834</v>
          </cell>
          <cell r="BC249">
            <v>44346525</v>
          </cell>
          <cell r="BD249">
            <v>45673338</v>
          </cell>
          <cell r="BE249">
            <v>47052481</v>
          </cell>
          <cell r="BF249">
            <v>48482266</v>
          </cell>
          <cell r="BG249">
            <v>49959822</v>
          </cell>
          <cell r="BH249">
            <v>51482633</v>
          </cell>
          <cell r="BI249">
            <v>53050790</v>
          </cell>
          <cell r="BJ249">
            <v>54663906</v>
          </cell>
          <cell r="BK249">
            <v>56318348</v>
          </cell>
        </row>
        <row r="250">
          <cell r="B250" t="str">
            <v>UGA</v>
          </cell>
          <cell r="C250" t="str">
            <v>Population, total</v>
          </cell>
          <cell r="D250" t="str">
            <v>SP.POP.TOTL</v>
          </cell>
          <cell r="E250">
            <v>6767095</v>
          </cell>
          <cell r="F250">
            <v>6983818</v>
          </cell>
          <cell r="G250">
            <v>7215796</v>
          </cell>
          <cell r="H250">
            <v>7461634</v>
          </cell>
          <cell r="I250">
            <v>7719104</v>
          </cell>
          <cell r="J250">
            <v>7986066</v>
          </cell>
          <cell r="K250">
            <v>8263439</v>
          </cell>
          <cell r="L250">
            <v>8550443</v>
          </cell>
          <cell r="M250">
            <v>8841153</v>
          </cell>
          <cell r="N250">
            <v>9127857</v>
          </cell>
          <cell r="O250">
            <v>9405600</v>
          </cell>
          <cell r="P250">
            <v>9671860</v>
          </cell>
          <cell r="Q250">
            <v>9929636</v>
          </cell>
          <cell r="R250">
            <v>10186455</v>
          </cell>
          <cell r="S250">
            <v>10453037</v>
          </cell>
          <cell r="T250">
            <v>10737403</v>
          </cell>
          <cell r="U250">
            <v>11042974</v>
          </cell>
          <cell r="V250">
            <v>11368615</v>
          </cell>
          <cell r="W250">
            <v>11712530</v>
          </cell>
          <cell r="X250">
            <v>12071145</v>
          </cell>
          <cell r="Y250">
            <v>12442334</v>
          </cell>
          <cell r="Z250">
            <v>12825082</v>
          </cell>
          <cell r="AA250">
            <v>13221991</v>
          </cell>
          <cell r="AB250">
            <v>13638729</v>
          </cell>
          <cell r="AC250">
            <v>14082875</v>
          </cell>
          <cell r="AD250">
            <v>14559355</v>
          </cell>
          <cell r="AE250">
            <v>15070302</v>
          </cell>
          <cell r="AF250">
            <v>15612754</v>
          </cell>
          <cell r="AG250">
            <v>16180124</v>
          </cell>
          <cell r="AH250">
            <v>16763042</v>
          </cell>
          <cell r="AI250">
            <v>17354392</v>
          </cell>
          <cell r="AJ250">
            <v>17953531</v>
          </cell>
          <cell r="AK250">
            <v>18561674</v>
          </cell>
          <cell r="AL250">
            <v>19175988</v>
          </cell>
          <cell r="AM250">
            <v>19793541</v>
          </cell>
          <cell r="AN250">
            <v>20413152</v>
          </cell>
          <cell r="AO250">
            <v>21032821</v>
          </cell>
          <cell r="AP250">
            <v>21655398</v>
          </cell>
          <cell r="AQ250">
            <v>22290780</v>
          </cell>
          <cell r="AR250">
            <v>22952410</v>
          </cell>
          <cell r="AS250">
            <v>23650172</v>
          </cell>
          <cell r="AT250">
            <v>24388968</v>
          </cell>
          <cell r="AU250">
            <v>25167257</v>
          </cell>
          <cell r="AV250">
            <v>25980552</v>
          </cell>
          <cell r="AW250">
            <v>26821297</v>
          </cell>
          <cell r="AX250">
            <v>27684585</v>
          </cell>
          <cell r="AY250">
            <v>28571475</v>
          </cell>
          <cell r="AZ250">
            <v>29486338</v>
          </cell>
          <cell r="BA250">
            <v>30431736</v>
          </cell>
          <cell r="BB250">
            <v>31411096</v>
          </cell>
          <cell r="BC250">
            <v>32428167</v>
          </cell>
          <cell r="BD250">
            <v>33476919</v>
          </cell>
          <cell r="BE250">
            <v>34559168</v>
          </cell>
          <cell r="BF250">
            <v>35695246</v>
          </cell>
          <cell r="BG250">
            <v>36912148</v>
          </cell>
          <cell r="BH250">
            <v>38225453</v>
          </cell>
          <cell r="BI250">
            <v>39647506</v>
          </cell>
          <cell r="BJ250">
            <v>41162465</v>
          </cell>
          <cell r="BK250">
            <v>42723139</v>
          </cell>
        </row>
        <row r="251">
          <cell r="B251" t="str">
            <v>UKR</v>
          </cell>
          <cell r="C251" t="str">
            <v>Population, total</v>
          </cell>
          <cell r="D251" t="str">
            <v>SP.POP.TOTL</v>
          </cell>
          <cell r="E251">
            <v>42664652</v>
          </cell>
          <cell r="F251">
            <v>43206345</v>
          </cell>
          <cell r="G251">
            <v>43752230</v>
          </cell>
          <cell r="H251">
            <v>44288608</v>
          </cell>
          <cell r="I251">
            <v>44796964</v>
          </cell>
          <cell r="J251">
            <v>45264548</v>
          </cell>
          <cell r="K251">
            <v>45684979</v>
          </cell>
          <cell r="L251">
            <v>46063228</v>
          </cell>
          <cell r="M251">
            <v>46411810</v>
          </cell>
          <cell r="N251">
            <v>46749283</v>
          </cell>
          <cell r="O251">
            <v>47088857</v>
          </cell>
          <cell r="P251">
            <v>47435010</v>
          </cell>
          <cell r="Q251">
            <v>47783005</v>
          </cell>
          <cell r="R251">
            <v>48125842</v>
          </cell>
          <cell r="S251">
            <v>48452626</v>
          </cell>
          <cell r="T251">
            <v>48755665</v>
          </cell>
          <cell r="U251">
            <v>49032729</v>
          </cell>
          <cell r="V251">
            <v>49287127</v>
          </cell>
          <cell r="W251">
            <v>49523314</v>
          </cell>
          <cell r="X251">
            <v>49747989</v>
          </cell>
          <cell r="Y251">
            <v>49965874</v>
          </cell>
          <cell r="Z251">
            <v>50221000</v>
          </cell>
          <cell r="AA251">
            <v>50384000</v>
          </cell>
          <cell r="AB251">
            <v>50564000</v>
          </cell>
          <cell r="AC251">
            <v>50754000</v>
          </cell>
          <cell r="AD251">
            <v>50917000</v>
          </cell>
          <cell r="AE251">
            <v>51097000</v>
          </cell>
          <cell r="AF251">
            <v>51293000</v>
          </cell>
          <cell r="AG251">
            <v>51521000</v>
          </cell>
          <cell r="AH251">
            <v>51773000</v>
          </cell>
          <cell r="AI251">
            <v>51892000</v>
          </cell>
          <cell r="AJ251">
            <v>52000470</v>
          </cell>
          <cell r="AK251">
            <v>52150266</v>
          </cell>
          <cell r="AL251">
            <v>52179210</v>
          </cell>
          <cell r="AM251">
            <v>51921041</v>
          </cell>
          <cell r="AN251">
            <v>51512299</v>
          </cell>
          <cell r="AO251">
            <v>51057189</v>
          </cell>
          <cell r="AP251">
            <v>50594105</v>
          </cell>
          <cell r="AQ251">
            <v>50143939</v>
          </cell>
          <cell r="AR251">
            <v>49673350</v>
          </cell>
          <cell r="AS251">
            <v>49175848</v>
          </cell>
          <cell r="AT251">
            <v>48683865</v>
          </cell>
          <cell r="AU251">
            <v>48202500</v>
          </cell>
          <cell r="AV251">
            <v>47812950</v>
          </cell>
          <cell r="AW251">
            <v>47451600</v>
          </cell>
          <cell r="AX251">
            <v>47105150</v>
          </cell>
          <cell r="AY251">
            <v>46787750</v>
          </cell>
          <cell r="AZ251">
            <v>46509350</v>
          </cell>
          <cell r="BA251">
            <v>46258200</v>
          </cell>
          <cell r="BB251">
            <v>46053300</v>
          </cell>
          <cell r="BC251">
            <v>45870700</v>
          </cell>
          <cell r="BD251">
            <v>45706100</v>
          </cell>
          <cell r="BE251">
            <v>45593300</v>
          </cell>
          <cell r="BF251">
            <v>45489600</v>
          </cell>
          <cell r="BG251">
            <v>45271947</v>
          </cell>
          <cell r="BH251">
            <v>45154029</v>
          </cell>
          <cell r="BI251">
            <v>45004645</v>
          </cell>
          <cell r="BJ251">
            <v>44831135</v>
          </cell>
          <cell r="BK251">
            <v>44622516</v>
          </cell>
        </row>
        <row r="252">
          <cell r="B252" t="str">
            <v>UMC</v>
          </cell>
          <cell r="C252" t="str">
            <v>Population, total</v>
          </cell>
          <cell r="D252" t="str">
            <v>SP.POP.TOTL</v>
          </cell>
          <cell r="E252">
            <v>1184555662</v>
          </cell>
          <cell r="F252">
            <v>1189517219</v>
          </cell>
          <cell r="G252">
            <v>1206934313</v>
          </cell>
          <cell r="H252">
            <v>1235735480</v>
          </cell>
          <cell r="I252">
            <v>1264214938</v>
          </cell>
          <cell r="J252">
            <v>1293671190</v>
          </cell>
          <cell r="K252">
            <v>1326076088</v>
          </cell>
          <cell r="L252">
            <v>1357707469</v>
          </cell>
          <cell r="M252">
            <v>1390259908</v>
          </cell>
          <cell r="N252">
            <v>1424467769</v>
          </cell>
          <cell r="O252">
            <v>1459613363</v>
          </cell>
          <cell r="P252">
            <v>1495392316</v>
          </cell>
          <cell r="Q252">
            <v>1529438212</v>
          </cell>
          <cell r="R252">
            <v>1562594826</v>
          </cell>
          <cell r="S252">
            <v>1594423792</v>
          </cell>
          <cell r="T252">
            <v>1624083079</v>
          </cell>
          <cell r="U252">
            <v>1652300299</v>
          </cell>
          <cell r="V252">
            <v>1679100999</v>
          </cell>
          <cell r="W252">
            <v>1706009390</v>
          </cell>
          <cell r="X252">
            <v>1733303601</v>
          </cell>
          <cell r="Y252">
            <v>1760396042</v>
          </cell>
          <cell r="Z252">
            <v>1788251122</v>
          </cell>
          <cell r="AA252">
            <v>1818380977</v>
          </cell>
          <cell r="AB252">
            <v>1848610954</v>
          </cell>
          <cell r="AC252">
            <v>1878028567</v>
          </cell>
          <cell r="AD252">
            <v>1908228254</v>
          </cell>
          <cell r="AE252">
            <v>1939929947</v>
          </cell>
          <cell r="AF252">
            <v>1973093324</v>
          </cell>
          <cell r="AG252">
            <v>2006397732</v>
          </cell>
          <cell r="AH252">
            <v>2038575917</v>
          </cell>
          <cell r="AI252">
            <v>2069481368</v>
          </cell>
          <cell r="AJ252">
            <v>2098733828</v>
          </cell>
          <cell r="AK252">
            <v>2125919794</v>
          </cell>
          <cell r="AL252">
            <v>2151996102</v>
          </cell>
          <cell r="AM252">
            <v>2177563609</v>
          </cell>
          <cell r="AN252">
            <v>2202547627</v>
          </cell>
          <cell r="AO252">
            <v>2227015777</v>
          </cell>
          <cell r="AP252">
            <v>2251187823</v>
          </cell>
          <cell r="AQ252">
            <v>2274454564</v>
          </cell>
          <cell r="AR252">
            <v>2296375670</v>
          </cell>
          <cell r="AS252">
            <v>2317310149</v>
          </cell>
          <cell r="AT252">
            <v>2337064426</v>
          </cell>
          <cell r="AU252">
            <v>2355936797</v>
          </cell>
          <cell r="AV252">
            <v>2374520060</v>
          </cell>
          <cell r="AW252">
            <v>2392790614</v>
          </cell>
          <cell r="AX252">
            <v>2410930308</v>
          </cell>
          <cell r="AY252">
            <v>2428657785</v>
          </cell>
          <cell r="AZ252">
            <v>2445871770</v>
          </cell>
          <cell r="BA252">
            <v>2463294188</v>
          </cell>
          <cell r="BB252">
            <v>2481349075</v>
          </cell>
          <cell r="BC252">
            <v>2499410493</v>
          </cell>
          <cell r="BD252">
            <v>2518197739</v>
          </cell>
          <cell r="BE252">
            <v>2537625754</v>
          </cell>
          <cell r="BF252">
            <v>2557649560</v>
          </cell>
          <cell r="BG252">
            <v>2577855859</v>
          </cell>
          <cell r="BH252">
            <v>2597757681</v>
          </cell>
          <cell r="BI252">
            <v>2617804661</v>
          </cell>
          <cell r="BJ252">
            <v>2637690770</v>
          </cell>
          <cell r="BK252">
            <v>2655635719</v>
          </cell>
        </row>
        <row r="253">
          <cell r="B253" t="str">
            <v>URY</v>
          </cell>
          <cell r="C253" t="str">
            <v>Population, total</v>
          </cell>
          <cell r="D253" t="str">
            <v>SP.POP.TOTL</v>
          </cell>
          <cell r="E253">
            <v>2538643</v>
          </cell>
          <cell r="F253">
            <v>2571681</v>
          </cell>
          <cell r="G253">
            <v>2603882</v>
          </cell>
          <cell r="H253">
            <v>2635126</v>
          </cell>
          <cell r="I253">
            <v>2665388</v>
          </cell>
          <cell r="J253">
            <v>2694536</v>
          </cell>
          <cell r="K253">
            <v>2722875</v>
          </cell>
          <cell r="L253">
            <v>2750086</v>
          </cell>
          <cell r="M253">
            <v>2774759</v>
          </cell>
          <cell r="N253">
            <v>2795042</v>
          </cell>
          <cell r="O253">
            <v>2809793</v>
          </cell>
          <cell r="P253">
            <v>2818281</v>
          </cell>
          <cell r="Q253">
            <v>2821461</v>
          </cell>
          <cell r="R253">
            <v>2822117</v>
          </cell>
          <cell r="S253">
            <v>2824095</v>
          </cell>
          <cell r="T253">
            <v>2830176</v>
          </cell>
          <cell r="U253">
            <v>2841372</v>
          </cell>
          <cell r="V253">
            <v>2856958</v>
          </cell>
          <cell r="W253">
            <v>2875728</v>
          </cell>
          <cell r="X253">
            <v>2895688</v>
          </cell>
          <cell r="Y253">
            <v>2915389</v>
          </cell>
          <cell r="Z253">
            <v>2934613</v>
          </cell>
          <cell r="AA253">
            <v>2953852</v>
          </cell>
          <cell r="AB253">
            <v>2973036</v>
          </cell>
          <cell r="AC253">
            <v>2992246</v>
          </cell>
          <cell r="AD253">
            <v>3011519</v>
          </cell>
          <cell r="AE253">
            <v>3030649</v>
          </cell>
          <cell r="AF253">
            <v>3049581</v>
          </cell>
          <cell r="AG253">
            <v>3068705</v>
          </cell>
          <cell r="AH253">
            <v>3088595</v>
          </cell>
          <cell r="AI253">
            <v>3109601</v>
          </cell>
          <cell r="AJ253">
            <v>3131660</v>
          </cell>
          <cell r="AK253">
            <v>3154464</v>
          </cell>
          <cell r="AL253">
            <v>3177745</v>
          </cell>
          <cell r="AM253">
            <v>3201151</v>
          </cell>
          <cell r="AN253">
            <v>3224281</v>
          </cell>
          <cell r="AO253">
            <v>3247381</v>
          </cell>
          <cell r="AP253">
            <v>3270164</v>
          </cell>
          <cell r="AQ253">
            <v>3291053</v>
          </cell>
          <cell r="AR253">
            <v>3308012</v>
          </cell>
          <cell r="AS253">
            <v>3319736</v>
          </cell>
          <cell r="AT253">
            <v>3325473</v>
          </cell>
          <cell r="AU253">
            <v>3326040</v>
          </cell>
          <cell r="AV253">
            <v>3323668</v>
          </cell>
          <cell r="AW253">
            <v>3321476</v>
          </cell>
          <cell r="AX253">
            <v>3321803</v>
          </cell>
          <cell r="AY253">
            <v>3325401</v>
          </cell>
          <cell r="AZ253">
            <v>3331749</v>
          </cell>
          <cell r="BA253">
            <v>3340221</v>
          </cell>
          <cell r="BB253">
            <v>3349676</v>
          </cell>
          <cell r="BC253">
            <v>3359275</v>
          </cell>
          <cell r="BD253">
            <v>3368934</v>
          </cell>
          <cell r="BE253">
            <v>3378974</v>
          </cell>
          <cell r="BF253">
            <v>3389439</v>
          </cell>
          <cell r="BG253">
            <v>3400434</v>
          </cell>
          <cell r="BH253">
            <v>3412009</v>
          </cell>
          <cell r="BI253">
            <v>3424132</v>
          </cell>
          <cell r="BJ253">
            <v>3436646</v>
          </cell>
          <cell r="BK253">
            <v>3449299</v>
          </cell>
        </row>
        <row r="254">
          <cell r="B254" t="str">
            <v>USA</v>
          </cell>
          <cell r="C254" t="str">
            <v>Population, total</v>
          </cell>
          <cell r="D254" t="str">
            <v>SP.POP.TOTL</v>
          </cell>
          <cell r="E254">
            <v>180671000</v>
          </cell>
          <cell r="F254">
            <v>183691000</v>
          </cell>
          <cell r="G254">
            <v>186538000</v>
          </cell>
          <cell r="H254">
            <v>189242000</v>
          </cell>
          <cell r="I254">
            <v>191889000</v>
          </cell>
          <cell r="J254">
            <v>194303000</v>
          </cell>
          <cell r="K254">
            <v>196560000</v>
          </cell>
          <cell r="L254">
            <v>198712000</v>
          </cell>
          <cell r="M254">
            <v>200706000</v>
          </cell>
          <cell r="N254">
            <v>202677000</v>
          </cell>
          <cell r="O254">
            <v>205052000</v>
          </cell>
          <cell r="P254">
            <v>207661000</v>
          </cell>
          <cell r="Q254">
            <v>209896000</v>
          </cell>
          <cell r="R254">
            <v>211909000</v>
          </cell>
          <cell r="S254">
            <v>213854000</v>
          </cell>
          <cell r="T254">
            <v>215973000</v>
          </cell>
          <cell r="U254">
            <v>218035000</v>
          </cell>
          <cell r="V254">
            <v>220239000</v>
          </cell>
          <cell r="W254">
            <v>222585000</v>
          </cell>
          <cell r="X254">
            <v>225055000</v>
          </cell>
          <cell r="Y254">
            <v>227225000</v>
          </cell>
          <cell r="Z254">
            <v>229466000</v>
          </cell>
          <cell r="AA254">
            <v>231664000</v>
          </cell>
          <cell r="AB254">
            <v>233792000</v>
          </cell>
          <cell r="AC254">
            <v>235825000</v>
          </cell>
          <cell r="AD254">
            <v>237924000</v>
          </cell>
          <cell r="AE254">
            <v>240133000</v>
          </cell>
          <cell r="AF254">
            <v>242289000</v>
          </cell>
          <cell r="AG254">
            <v>244499000</v>
          </cell>
          <cell r="AH254">
            <v>246819000</v>
          </cell>
          <cell r="AI254">
            <v>249623000</v>
          </cell>
          <cell r="AJ254">
            <v>252981000</v>
          </cell>
          <cell r="AK254">
            <v>256514000</v>
          </cell>
          <cell r="AL254">
            <v>259919000</v>
          </cell>
          <cell r="AM254">
            <v>263126000</v>
          </cell>
          <cell r="AN254">
            <v>266278000</v>
          </cell>
          <cell r="AO254">
            <v>269394000</v>
          </cell>
          <cell r="AP254">
            <v>272657000</v>
          </cell>
          <cell r="AQ254">
            <v>275854000</v>
          </cell>
          <cell r="AR254">
            <v>279040000</v>
          </cell>
          <cell r="AS254">
            <v>282162411</v>
          </cell>
          <cell r="AT254">
            <v>284968955</v>
          </cell>
          <cell r="AU254">
            <v>287625193</v>
          </cell>
          <cell r="AV254">
            <v>290107933</v>
          </cell>
          <cell r="AW254">
            <v>292805298</v>
          </cell>
          <cell r="AX254">
            <v>295516599</v>
          </cell>
          <cell r="AY254">
            <v>298379912</v>
          </cell>
          <cell r="AZ254">
            <v>301231207</v>
          </cell>
          <cell r="BA254">
            <v>304093966</v>
          </cell>
          <cell r="BB254">
            <v>306771529</v>
          </cell>
          <cell r="BC254">
            <v>309321666</v>
          </cell>
          <cell r="BD254">
            <v>311556874</v>
          </cell>
          <cell r="BE254">
            <v>313830990</v>
          </cell>
          <cell r="BF254">
            <v>315993715</v>
          </cell>
          <cell r="BG254">
            <v>318301008</v>
          </cell>
          <cell r="BH254">
            <v>320635163</v>
          </cell>
          <cell r="BI254">
            <v>322941311</v>
          </cell>
          <cell r="BJ254">
            <v>324985539</v>
          </cell>
          <cell r="BK254">
            <v>326687501</v>
          </cell>
        </row>
        <row r="255">
          <cell r="B255" t="str">
            <v>UZB</v>
          </cell>
          <cell r="C255" t="str">
            <v>Population, total</v>
          </cell>
          <cell r="D255" t="str">
            <v>SP.POP.TOTL</v>
          </cell>
          <cell r="E255">
            <v>8526300</v>
          </cell>
          <cell r="F255">
            <v>8813616</v>
          </cell>
          <cell r="G255">
            <v>9113620</v>
          </cell>
          <cell r="H255">
            <v>9428906</v>
          </cell>
          <cell r="I255">
            <v>9762816</v>
          </cell>
          <cell r="J255">
            <v>10116870</v>
          </cell>
          <cell r="K255">
            <v>10493436</v>
          </cell>
          <cell r="L255">
            <v>10889509</v>
          </cell>
          <cell r="M255">
            <v>11294672</v>
          </cell>
          <cell r="N255">
            <v>11694847</v>
          </cell>
          <cell r="O255">
            <v>12080317</v>
          </cell>
          <cell r="P255">
            <v>12446443</v>
          </cell>
          <cell r="Q255">
            <v>12796980</v>
          </cell>
          <cell r="R255">
            <v>13140797</v>
          </cell>
          <cell r="S255">
            <v>13491117</v>
          </cell>
          <cell r="T255">
            <v>13857478</v>
          </cell>
          <cell r="U255">
            <v>14242769</v>
          </cell>
          <cell r="V255">
            <v>14643875</v>
          </cell>
          <cell r="W255">
            <v>15057224</v>
          </cell>
          <cell r="X255">
            <v>15476922</v>
          </cell>
          <cell r="Y255">
            <v>15898757</v>
          </cell>
          <cell r="Z255">
            <v>16321696</v>
          </cell>
          <cell r="AA255">
            <v>16747426</v>
          </cell>
          <cell r="AB255">
            <v>17177664</v>
          </cell>
          <cell r="AC255">
            <v>17615040</v>
          </cell>
          <cell r="AD255">
            <v>18061284</v>
          </cell>
          <cell r="AE255">
            <v>18515578</v>
          </cell>
          <cell r="AF255">
            <v>18976417</v>
          </cell>
          <cell r="AG255">
            <v>19443887</v>
          </cell>
          <cell r="AH255">
            <v>19918119</v>
          </cell>
          <cell r="AI255">
            <v>20510000</v>
          </cell>
          <cell r="AJ255">
            <v>20952000</v>
          </cell>
          <cell r="AK255">
            <v>21449000</v>
          </cell>
          <cell r="AL255">
            <v>21942000</v>
          </cell>
          <cell r="AM255">
            <v>22377000</v>
          </cell>
          <cell r="AN255">
            <v>22785000</v>
          </cell>
          <cell r="AO255">
            <v>23225000</v>
          </cell>
          <cell r="AP255">
            <v>23667000</v>
          </cell>
          <cell r="AQ255">
            <v>24051000</v>
          </cell>
          <cell r="AR255">
            <v>24311650</v>
          </cell>
          <cell r="AS255">
            <v>24650400</v>
          </cell>
          <cell r="AT255">
            <v>24964450</v>
          </cell>
          <cell r="AU255">
            <v>25271850</v>
          </cell>
          <cell r="AV255">
            <v>25567650</v>
          </cell>
          <cell r="AW255">
            <v>25864350</v>
          </cell>
          <cell r="AX255">
            <v>26167000</v>
          </cell>
          <cell r="AY255">
            <v>26488250</v>
          </cell>
          <cell r="AZ255">
            <v>26868000</v>
          </cell>
          <cell r="BA255">
            <v>27302800</v>
          </cell>
          <cell r="BB255">
            <v>27767400</v>
          </cell>
          <cell r="BC255">
            <v>28562400</v>
          </cell>
          <cell r="BD255">
            <v>29339400</v>
          </cell>
          <cell r="BE255">
            <v>29774500</v>
          </cell>
          <cell r="BF255">
            <v>30243200</v>
          </cell>
          <cell r="BG255">
            <v>30757700</v>
          </cell>
          <cell r="BH255">
            <v>31298900</v>
          </cell>
          <cell r="BI255">
            <v>31847900</v>
          </cell>
          <cell r="BJ255">
            <v>32388600</v>
          </cell>
          <cell r="BK255">
            <v>32955400</v>
          </cell>
        </row>
        <row r="256">
          <cell r="B256" t="str">
            <v>VCT</v>
          </cell>
          <cell r="C256" t="str">
            <v>Population, total</v>
          </cell>
          <cell r="D256" t="str">
            <v>SP.POP.TOTL</v>
          </cell>
          <cell r="E256">
            <v>80977</v>
          </cell>
          <cell r="F256">
            <v>82169</v>
          </cell>
          <cell r="G256">
            <v>83237</v>
          </cell>
          <cell r="H256">
            <v>84198</v>
          </cell>
          <cell r="I256">
            <v>85111</v>
          </cell>
          <cell r="J256">
            <v>86011</v>
          </cell>
          <cell r="K256">
            <v>86903</v>
          </cell>
          <cell r="L256">
            <v>87777</v>
          </cell>
          <cell r="M256">
            <v>88662</v>
          </cell>
          <cell r="N256">
            <v>89568</v>
          </cell>
          <cell r="O256">
            <v>90509</v>
          </cell>
          <cell r="P256">
            <v>91491</v>
          </cell>
          <cell r="Q256">
            <v>92513</v>
          </cell>
          <cell r="R256">
            <v>93571</v>
          </cell>
          <cell r="S256">
            <v>94614</v>
          </cell>
          <cell r="T256">
            <v>95662</v>
          </cell>
          <cell r="U256">
            <v>96692</v>
          </cell>
          <cell r="V256">
            <v>97701</v>
          </cell>
          <cell r="W256">
            <v>98697</v>
          </cell>
          <cell r="X256">
            <v>99649</v>
          </cell>
          <cell r="Y256">
            <v>100566</v>
          </cell>
          <cell r="Z256">
            <v>101437</v>
          </cell>
          <cell r="AA256">
            <v>102256</v>
          </cell>
          <cell r="AB256">
            <v>103032</v>
          </cell>
          <cell r="AC256">
            <v>103779</v>
          </cell>
          <cell r="AD256">
            <v>104506</v>
          </cell>
          <cell r="AE256">
            <v>105217</v>
          </cell>
          <cell r="AF256">
            <v>105906</v>
          </cell>
          <cell r="AG256">
            <v>106532</v>
          </cell>
          <cell r="AH256">
            <v>107071</v>
          </cell>
          <cell r="AI256">
            <v>107484</v>
          </cell>
          <cell r="AJ256">
            <v>107776</v>
          </cell>
          <cell r="AK256">
            <v>107950</v>
          </cell>
          <cell r="AL256">
            <v>108033</v>
          </cell>
          <cell r="AM256">
            <v>108053</v>
          </cell>
          <cell r="AN256">
            <v>108035</v>
          </cell>
          <cell r="AO256">
            <v>107976</v>
          </cell>
          <cell r="AP256">
            <v>107895</v>
          </cell>
          <cell r="AQ256">
            <v>107801</v>
          </cell>
          <cell r="AR256">
            <v>107758</v>
          </cell>
          <cell r="AS256">
            <v>107784</v>
          </cell>
          <cell r="AT256">
            <v>107896</v>
          </cell>
          <cell r="AU256">
            <v>108097</v>
          </cell>
          <cell r="AV256">
            <v>108326</v>
          </cell>
          <cell r="AW256">
            <v>108512</v>
          </cell>
          <cell r="AX256">
            <v>108614</v>
          </cell>
          <cell r="AY256">
            <v>108603</v>
          </cell>
          <cell r="AZ256">
            <v>108518</v>
          </cell>
          <cell r="BA256">
            <v>108393</v>
          </cell>
          <cell r="BB256">
            <v>108287</v>
          </cell>
          <cell r="BC256">
            <v>108255</v>
          </cell>
          <cell r="BD256">
            <v>108316</v>
          </cell>
          <cell r="BE256">
            <v>108435</v>
          </cell>
          <cell r="BF256">
            <v>108622</v>
          </cell>
          <cell r="BG256">
            <v>108861</v>
          </cell>
          <cell r="BH256">
            <v>109148</v>
          </cell>
          <cell r="BI256">
            <v>109459</v>
          </cell>
          <cell r="BJ256">
            <v>109827</v>
          </cell>
          <cell r="BK256">
            <v>110210</v>
          </cell>
        </row>
        <row r="257">
          <cell r="B257" t="str">
            <v>VEN</v>
          </cell>
          <cell r="C257" t="str">
            <v>Population, total</v>
          </cell>
          <cell r="D257" t="str">
            <v>SP.POP.TOTL</v>
          </cell>
          <cell r="E257">
            <v>8141841</v>
          </cell>
          <cell r="F257">
            <v>8439261</v>
          </cell>
          <cell r="G257">
            <v>8742777</v>
          </cell>
          <cell r="H257">
            <v>9052635</v>
          </cell>
          <cell r="I257">
            <v>9369096</v>
          </cell>
          <cell r="J257">
            <v>9692278</v>
          </cell>
          <cell r="K257">
            <v>10022592</v>
          </cell>
          <cell r="L257">
            <v>10359745</v>
          </cell>
          <cell r="M257">
            <v>10702291</v>
          </cell>
          <cell r="N257">
            <v>11048262</v>
          </cell>
          <cell r="O257">
            <v>11396393</v>
          </cell>
          <cell r="P257">
            <v>11745945</v>
          </cell>
          <cell r="Q257">
            <v>12097694</v>
          </cell>
          <cell r="R257">
            <v>12453718</v>
          </cell>
          <cell r="S257">
            <v>12816955</v>
          </cell>
          <cell r="T257">
            <v>13189509</v>
          </cell>
          <cell r="U257">
            <v>13572208</v>
          </cell>
          <cell r="V257">
            <v>13964379</v>
          </cell>
          <cell r="W257">
            <v>14364727</v>
          </cell>
          <cell r="X257">
            <v>14771271</v>
          </cell>
          <cell r="Y257">
            <v>15182611</v>
          </cell>
          <cell r="Z257">
            <v>15597886</v>
          </cell>
          <cell r="AA257">
            <v>16017573</v>
          </cell>
          <cell r="AB257">
            <v>16443134</v>
          </cell>
          <cell r="AC257">
            <v>16876703</v>
          </cell>
          <cell r="AD257">
            <v>17319520</v>
          </cell>
          <cell r="AE257">
            <v>17772001</v>
          </cell>
          <cell r="AF257">
            <v>18232730</v>
          </cell>
          <cell r="AG257">
            <v>18698847</v>
          </cell>
          <cell r="AH257">
            <v>19166471</v>
          </cell>
          <cell r="AI257">
            <v>19632665</v>
          </cell>
          <cell r="AJ257">
            <v>20096317</v>
          </cell>
          <cell r="AK257">
            <v>20557683</v>
          </cell>
          <cell r="AL257">
            <v>21016901</v>
          </cell>
          <cell r="AM257">
            <v>21474549</v>
          </cell>
          <cell r="AN257">
            <v>21931084</v>
          </cell>
          <cell r="AO257">
            <v>22385650</v>
          </cell>
          <cell r="AP257">
            <v>22837743</v>
          </cell>
          <cell r="AQ257">
            <v>23288564</v>
          </cell>
          <cell r="AR257">
            <v>23739841</v>
          </cell>
          <cell r="AS257">
            <v>24192446</v>
          </cell>
          <cell r="AT257">
            <v>24646472</v>
          </cell>
          <cell r="AU257">
            <v>25100408</v>
          </cell>
          <cell r="AV257">
            <v>25551624</v>
          </cell>
          <cell r="AW257">
            <v>25996594</v>
          </cell>
          <cell r="AX257">
            <v>26432447</v>
          </cell>
          <cell r="AY257">
            <v>26850194</v>
          </cell>
          <cell r="AZ257">
            <v>27247610</v>
          </cell>
          <cell r="BA257">
            <v>27635832</v>
          </cell>
          <cell r="BB257">
            <v>28031009</v>
          </cell>
          <cell r="BC257">
            <v>28439940</v>
          </cell>
          <cell r="BD257">
            <v>28888369</v>
          </cell>
          <cell r="BE257">
            <v>29362449</v>
          </cell>
          <cell r="BF257">
            <v>29783571</v>
          </cell>
          <cell r="BG257">
            <v>30045134</v>
          </cell>
          <cell r="BH257">
            <v>30081829</v>
          </cell>
          <cell r="BI257">
            <v>29846179</v>
          </cell>
          <cell r="BJ257">
            <v>29390409</v>
          </cell>
          <cell r="BK257">
            <v>28870195</v>
          </cell>
        </row>
        <row r="258">
          <cell r="B258" t="str">
            <v>VGB</v>
          </cell>
          <cell r="C258" t="str">
            <v>Population, total</v>
          </cell>
          <cell r="D258" t="str">
            <v>SP.POP.TOTL</v>
          </cell>
          <cell r="E258">
            <v>8048</v>
          </cell>
          <cell r="F258">
            <v>8167</v>
          </cell>
          <cell r="G258">
            <v>8310</v>
          </cell>
          <cell r="H258">
            <v>8476</v>
          </cell>
          <cell r="I258">
            <v>8646</v>
          </cell>
          <cell r="J258">
            <v>8830</v>
          </cell>
          <cell r="K258">
            <v>9025</v>
          </cell>
          <cell r="L258">
            <v>9222</v>
          </cell>
          <cell r="M258">
            <v>9421</v>
          </cell>
          <cell r="N258">
            <v>9626</v>
          </cell>
          <cell r="O258">
            <v>9827</v>
          </cell>
          <cell r="P258">
            <v>10017</v>
          </cell>
          <cell r="Q258">
            <v>10208</v>
          </cell>
          <cell r="R258">
            <v>10392</v>
          </cell>
          <cell r="S258">
            <v>10562</v>
          </cell>
          <cell r="T258">
            <v>10699</v>
          </cell>
          <cell r="U258">
            <v>10821</v>
          </cell>
          <cell r="V258">
            <v>10928</v>
          </cell>
          <cell r="W258">
            <v>11045</v>
          </cell>
          <cell r="X258">
            <v>11218</v>
          </cell>
          <cell r="Y258">
            <v>11478</v>
          </cell>
          <cell r="Z258">
            <v>11826</v>
          </cell>
          <cell r="AA258">
            <v>12249</v>
          </cell>
          <cell r="AB258">
            <v>12752</v>
          </cell>
          <cell r="AC258">
            <v>13322</v>
          </cell>
          <cell r="AD258">
            <v>13956</v>
          </cell>
          <cell r="AE258">
            <v>14649</v>
          </cell>
          <cell r="AF258">
            <v>15407</v>
          </cell>
          <cell r="AG258">
            <v>16154</v>
          </cell>
          <cell r="AH258">
            <v>16862</v>
          </cell>
          <cell r="AI258">
            <v>17489</v>
          </cell>
          <cell r="AJ258">
            <v>18006</v>
          </cell>
          <cell r="AK258">
            <v>18438</v>
          </cell>
          <cell r="AL258">
            <v>18786</v>
          </cell>
          <cell r="AM258">
            <v>19074</v>
          </cell>
          <cell r="AN258">
            <v>19313</v>
          </cell>
          <cell r="AO258">
            <v>19502</v>
          </cell>
          <cell r="AP258">
            <v>19665</v>
          </cell>
          <cell r="AQ258">
            <v>19821</v>
          </cell>
          <cell r="AR258">
            <v>20026</v>
          </cell>
          <cell r="AS258">
            <v>20311</v>
          </cell>
          <cell r="AT258">
            <v>20675</v>
          </cell>
          <cell r="AU258">
            <v>21129</v>
          </cell>
          <cell r="AV258">
            <v>21672</v>
          </cell>
          <cell r="AW258">
            <v>22334</v>
          </cell>
          <cell r="AX258">
            <v>23107</v>
          </cell>
          <cell r="AY258">
            <v>24023</v>
          </cell>
          <cell r="AZ258">
            <v>25047</v>
          </cell>
          <cell r="BA258">
            <v>26097</v>
          </cell>
          <cell r="BB258">
            <v>27039</v>
          </cell>
          <cell r="BC258">
            <v>27794</v>
          </cell>
          <cell r="BD258">
            <v>28319</v>
          </cell>
          <cell r="BE258">
            <v>28650</v>
          </cell>
          <cell r="BF258">
            <v>28847</v>
          </cell>
          <cell r="BG258">
            <v>28989</v>
          </cell>
          <cell r="BH258">
            <v>29152</v>
          </cell>
          <cell r="BI258">
            <v>29355</v>
          </cell>
          <cell r="BJ258">
            <v>29577</v>
          </cell>
          <cell r="BK258">
            <v>29802</v>
          </cell>
        </row>
        <row r="259">
          <cell r="B259" t="str">
            <v>VIR</v>
          </cell>
          <cell r="C259" t="str">
            <v>Population, total</v>
          </cell>
          <cell r="D259" t="str">
            <v>SP.POP.TOTL</v>
          </cell>
          <cell r="E259">
            <v>32500</v>
          </cell>
          <cell r="F259">
            <v>34300</v>
          </cell>
          <cell r="G259">
            <v>35000</v>
          </cell>
          <cell r="H259">
            <v>39800</v>
          </cell>
          <cell r="I259">
            <v>40800</v>
          </cell>
          <cell r="J259">
            <v>43500</v>
          </cell>
          <cell r="K259">
            <v>46200</v>
          </cell>
          <cell r="L259">
            <v>49100</v>
          </cell>
          <cell r="M259">
            <v>55700</v>
          </cell>
          <cell r="N259">
            <v>60300</v>
          </cell>
          <cell r="O259">
            <v>63476</v>
          </cell>
          <cell r="P259">
            <v>70937</v>
          </cell>
          <cell r="Q259">
            <v>76319</v>
          </cell>
          <cell r="R259">
            <v>84121</v>
          </cell>
          <cell r="S259">
            <v>89941</v>
          </cell>
          <cell r="T259">
            <v>94484</v>
          </cell>
          <cell r="U259">
            <v>96166</v>
          </cell>
          <cell r="V259">
            <v>93203</v>
          </cell>
          <cell r="W259">
            <v>95929</v>
          </cell>
          <cell r="X259">
            <v>96183</v>
          </cell>
          <cell r="Y259">
            <v>99636</v>
          </cell>
          <cell r="Z259">
            <v>99853</v>
          </cell>
          <cell r="AA259">
            <v>100068</v>
          </cell>
          <cell r="AB259">
            <v>100348</v>
          </cell>
          <cell r="AC259">
            <v>100600</v>
          </cell>
          <cell r="AD259">
            <v>100760</v>
          </cell>
          <cell r="AE259">
            <v>100842</v>
          </cell>
          <cell r="AF259">
            <v>100901</v>
          </cell>
          <cell r="AG259">
            <v>100952</v>
          </cell>
          <cell r="AH259">
            <v>101041</v>
          </cell>
          <cell r="AI259">
            <v>103963</v>
          </cell>
          <cell r="AJ259">
            <v>104807</v>
          </cell>
          <cell r="AK259">
            <v>105712</v>
          </cell>
          <cell r="AL259">
            <v>106578</v>
          </cell>
          <cell r="AM259">
            <v>107318</v>
          </cell>
          <cell r="AN259">
            <v>107818</v>
          </cell>
          <cell r="AO259">
            <v>108095</v>
          </cell>
          <cell r="AP259">
            <v>108357</v>
          </cell>
          <cell r="AQ259">
            <v>108537</v>
          </cell>
          <cell r="AR259">
            <v>108599</v>
          </cell>
          <cell r="AS259">
            <v>108642</v>
          </cell>
          <cell r="AT259">
            <v>108549</v>
          </cell>
          <cell r="AU259">
            <v>108510</v>
          </cell>
          <cell r="AV259">
            <v>108506</v>
          </cell>
          <cell r="AW259">
            <v>108467</v>
          </cell>
          <cell r="AX259">
            <v>108454</v>
          </cell>
          <cell r="AY259">
            <v>108371</v>
          </cell>
          <cell r="AZ259">
            <v>108339</v>
          </cell>
          <cell r="BA259">
            <v>108399</v>
          </cell>
          <cell r="BB259">
            <v>108405</v>
          </cell>
          <cell r="BC259">
            <v>108358</v>
          </cell>
          <cell r="BD259">
            <v>108292</v>
          </cell>
          <cell r="BE259">
            <v>108191</v>
          </cell>
          <cell r="BF259">
            <v>108044</v>
          </cell>
          <cell r="BG259">
            <v>107884</v>
          </cell>
          <cell r="BH259">
            <v>107710</v>
          </cell>
          <cell r="BI259">
            <v>107510</v>
          </cell>
          <cell r="BJ259">
            <v>107268</v>
          </cell>
          <cell r="BK259">
            <v>106977</v>
          </cell>
        </row>
        <row r="260">
          <cell r="B260" t="str">
            <v>VNM</v>
          </cell>
          <cell r="C260" t="str">
            <v>Population, total</v>
          </cell>
          <cell r="D260" t="str">
            <v>SP.POP.TOTL</v>
          </cell>
          <cell r="E260">
            <v>32670039</v>
          </cell>
          <cell r="F260">
            <v>33666110</v>
          </cell>
          <cell r="G260">
            <v>34683407</v>
          </cell>
          <cell r="H260">
            <v>35721217</v>
          </cell>
          <cell r="I260">
            <v>36779999</v>
          </cell>
          <cell r="J260">
            <v>37858951</v>
          </cell>
          <cell r="K260">
            <v>38958048</v>
          </cell>
          <cell r="L260">
            <v>40072948</v>
          </cell>
          <cell r="M260">
            <v>41193601</v>
          </cell>
          <cell r="N260">
            <v>42307146</v>
          </cell>
          <cell r="O260">
            <v>43404793</v>
          </cell>
          <cell r="P260">
            <v>44484035</v>
          </cell>
          <cell r="Q260">
            <v>45548479</v>
          </cell>
          <cell r="R260">
            <v>46603525</v>
          </cell>
          <cell r="S260">
            <v>47657561</v>
          </cell>
          <cell r="T260">
            <v>48718189</v>
          </cell>
          <cell r="U260">
            <v>49785282</v>
          </cell>
          <cell r="V260">
            <v>50861162</v>
          </cell>
          <cell r="W260">
            <v>51959015</v>
          </cell>
          <cell r="X260">
            <v>53095408</v>
          </cell>
          <cell r="Y260">
            <v>54281846</v>
          </cell>
          <cell r="Z260">
            <v>55522803</v>
          </cell>
          <cell r="AA260">
            <v>56814306</v>
          </cell>
          <cell r="AB260">
            <v>58148384</v>
          </cell>
          <cell r="AC260">
            <v>59512619</v>
          </cell>
          <cell r="AD260">
            <v>60896721</v>
          </cell>
          <cell r="AE260">
            <v>62293856</v>
          </cell>
          <cell r="AF260">
            <v>63701972</v>
          </cell>
          <cell r="AG260">
            <v>65120439</v>
          </cell>
          <cell r="AH260">
            <v>66550234</v>
          </cell>
          <cell r="AI260">
            <v>67988862</v>
          </cell>
          <cell r="AJ260">
            <v>69436954</v>
          </cell>
          <cell r="AK260">
            <v>70883481</v>
          </cell>
          <cell r="AL260">
            <v>72300308</v>
          </cell>
          <cell r="AM260">
            <v>73651218</v>
          </cell>
          <cell r="AN260">
            <v>74910461</v>
          </cell>
          <cell r="AO260">
            <v>76068743</v>
          </cell>
          <cell r="AP260">
            <v>77133214</v>
          </cell>
          <cell r="AQ260">
            <v>78115710</v>
          </cell>
          <cell r="AR260">
            <v>79035871</v>
          </cell>
          <cell r="AS260">
            <v>79910412</v>
          </cell>
          <cell r="AT260">
            <v>80742499</v>
          </cell>
          <cell r="AU260">
            <v>81534407</v>
          </cell>
          <cell r="AV260">
            <v>82301656</v>
          </cell>
          <cell r="AW260">
            <v>83062821</v>
          </cell>
          <cell r="AX260">
            <v>83832661</v>
          </cell>
          <cell r="AY260">
            <v>84617540</v>
          </cell>
          <cell r="AZ260">
            <v>85419591</v>
          </cell>
          <cell r="BA260">
            <v>86243413</v>
          </cell>
          <cell r="BB260">
            <v>87092252</v>
          </cell>
          <cell r="BC260">
            <v>87967651</v>
          </cell>
          <cell r="BD260">
            <v>88871561</v>
          </cell>
          <cell r="BE260">
            <v>89802487</v>
          </cell>
          <cell r="BF260">
            <v>90753472</v>
          </cell>
          <cell r="BG260">
            <v>91714595</v>
          </cell>
          <cell r="BH260">
            <v>92677076</v>
          </cell>
          <cell r="BI260">
            <v>93638724</v>
          </cell>
          <cell r="BJ260">
            <v>94596642</v>
          </cell>
          <cell r="BK260">
            <v>95540395</v>
          </cell>
        </row>
        <row r="261">
          <cell r="B261" t="str">
            <v>VUT</v>
          </cell>
          <cell r="C261" t="str">
            <v>Population, total</v>
          </cell>
          <cell r="D261" t="str">
            <v>SP.POP.TOTL</v>
          </cell>
          <cell r="E261">
            <v>63689</v>
          </cell>
          <cell r="F261">
            <v>65705</v>
          </cell>
          <cell r="G261">
            <v>67794</v>
          </cell>
          <cell r="H261">
            <v>69946</v>
          </cell>
          <cell r="I261">
            <v>72115</v>
          </cell>
          <cell r="J261">
            <v>74270</v>
          </cell>
          <cell r="K261">
            <v>76395</v>
          </cell>
          <cell r="L261">
            <v>78499</v>
          </cell>
          <cell r="M261">
            <v>80657</v>
          </cell>
          <cell r="N261">
            <v>82927</v>
          </cell>
          <cell r="O261">
            <v>85377</v>
          </cell>
          <cell r="P261">
            <v>88010</v>
          </cell>
          <cell r="Q261">
            <v>90809</v>
          </cell>
          <cell r="R261">
            <v>93747</v>
          </cell>
          <cell r="S261">
            <v>96774</v>
          </cell>
          <cell r="T261">
            <v>99859</v>
          </cell>
          <cell r="U261">
            <v>103006</v>
          </cell>
          <cell r="V261">
            <v>106200</v>
          </cell>
          <cell r="W261">
            <v>109405</v>
          </cell>
          <cell r="X261">
            <v>112549</v>
          </cell>
          <cell r="Y261">
            <v>115597</v>
          </cell>
          <cell r="Z261">
            <v>118541</v>
          </cell>
          <cell r="AA261">
            <v>121395</v>
          </cell>
          <cell r="AB261">
            <v>124209</v>
          </cell>
          <cell r="AC261">
            <v>127049</v>
          </cell>
          <cell r="AD261">
            <v>129984</v>
          </cell>
          <cell r="AE261">
            <v>132995</v>
          </cell>
          <cell r="AF261">
            <v>136079</v>
          </cell>
          <cell r="AG261">
            <v>139315</v>
          </cell>
          <cell r="AH261">
            <v>142794</v>
          </cell>
          <cell r="AI261">
            <v>146573</v>
          </cell>
          <cell r="AJ261">
            <v>150716</v>
          </cell>
          <cell r="AK261">
            <v>155170</v>
          </cell>
          <cell r="AL261">
            <v>159744</v>
          </cell>
          <cell r="AM261">
            <v>164129</v>
          </cell>
          <cell r="AN261">
            <v>168158</v>
          </cell>
          <cell r="AO261">
            <v>171722</v>
          </cell>
          <cell r="AP261">
            <v>174921</v>
          </cell>
          <cell r="AQ261">
            <v>177987</v>
          </cell>
          <cell r="AR261">
            <v>181265</v>
          </cell>
          <cell r="AS261">
            <v>184972</v>
          </cell>
          <cell r="AT261">
            <v>189219</v>
          </cell>
          <cell r="AU261">
            <v>193920</v>
          </cell>
          <cell r="AV261">
            <v>198959</v>
          </cell>
          <cell r="AW261">
            <v>204127</v>
          </cell>
          <cell r="AX261">
            <v>209282</v>
          </cell>
          <cell r="AY261">
            <v>214370</v>
          </cell>
          <cell r="AZ261">
            <v>219472</v>
          </cell>
          <cell r="BA261">
            <v>224704</v>
          </cell>
          <cell r="BB261">
            <v>230247</v>
          </cell>
          <cell r="BC261">
            <v>236211</v>
          </cell>
          <cell r="BD261">
            <v>242653</v>
          </cell>
          <cell r="BE261">
            <v>249499</v>
          </cell>
          <cell r="BF261">
            <v>256635</v>
          </cell>
          <cell r="BG261">
            <v>263888</v>
          </cell>
          <cell r="BH261">
            <v>271130</v>
          </cell>
          <cell r="BI261">
            <v>278330</v>
          </cell>
          <cell r="BJ261">
            <v>285510</v>
          </cell>
          <cell r="BK261">
            <v>292680</v>
          </cell>
        </row>
        <row r="262">
          <cell r="B262" t="str">
            <v>WLD</v>
          </cell>
          <cell r="C262" t="str">
            <v>Population, total</v>
          </cell>
          <cell r="D262" t="str">
            <v>SP.POP.TOTL</v>
          </cell>
          <cell r="E262">
            <v>3032019978</v>
          </cell>
          <cell r="F262">
            <v>3073077563</v>
          </cell>
          <cell r="G262">
            <v>3126066253</v>
          </cell>
          <cell r="H262">
            <v>3191186048</v>
          </cell>
          <cell r="I262">
            <v>3256700083</v>
          </cell>
          <cell r="J262">
            <v>3323623700</v>
          </cell>
          <cell r="K262">
            <v>3393699205</v>
          </cell>
          <cell r="L262">
            <v>3463147267</v>
          </cell>
          <cell r="M262">
            <v>3533536526</v>
          </cell>
          <cell r="N262">
            <v>3608235815</v>
          </cell>
          <cell r="O262">
            <v>3683676306</v>
          </cell>
          <cell r="P262">
            <v>3761307048</v>
          </cell>
          <cell r="Q262">
            <v>3837726171</v>
          </cell>
          <cell r="R262">
            <v>3913217944</v>
          </cell>
          <cell r="S262">
            <v>3989385034</v>
          </cell>
          <cell r="T262">
            <v>4063806523</v>
          </cell>
          <cell r="U262">
            <v>4136393107</v>
          </cell>
          <cell r="V262">
            <v>4208770941</v>
          </cell>
          <cell r="W262">
            <v>4282341460</v>
          </cell>
          <cell r="X262">
            <v>4357793599</v>
          </cell>
          <cell r="Y262">
            <v>4434021975</v>
          </cell>
          <cell r="Z262">
            <v>4512268962</v>
          </cell>
          <cell r="AA262">
            <v>4593454253</v>
          </cell>
          <cell r="AB262">
            <v>4675367633</v>
          </cell>
          <cell r="AC262">
            <v>4756998073</v>
          </cell>
          <cell r="AD262">
            <v>4840155168</v>
          </cell>
          <cell r="AE262">
            <v>4925801334</v>
          </cell>
          <cell r="AF262">
            <v>5013576387</v>
          </cell>
          <cell r="AG262">
            <v>5102293348</v>
          </cell>
          <cell r="AH262">
            <v>5190965222</v>
          </cell>
          <cell r="AI262">
            <v>5281340078</v>
          </cell>
          <cell r="AJ262">
            <v>5369210095</v>
          </cell>
          <cell r="AK262">
            <v>5453393960</v>
          </cell>
          <cell r="AL262">
            <v>5538448726</v>
          </cell>
          <cell r="AM262">
            <v>5622575421</v>
          </cell>
          <cell r="AN262">
            <v>5707533023</v>
          </cell>
          <cell r="AO262">
            <v>5790454220</v>
          </cell>
          <cell r="AP262">
            <v>5873071768</v>
          </cell>
          <cell r="AQ262">
            <v>5954810550</v>
          </cell>
          <cell r="AR262">
            <v>6035284135</v>
          </cell>
          <cell r="AS262">
            <v>6115108363</v>
          </cell>
          <cell r="AT262">
            <v>6194460444</v>
          </cell>
          <cell r="AU262">
            <v>6273526441</v>
          </cell>
          <cell r="AV262">
            <v>6352677699</v>
          </cell>
          <cell r="AW262">
            <v>6432374971</v>
          </cell>
          <cell r="AX262">
            <v>6512602867</v>
          </cell>
          <cell r="AY262">
            <v>6593623202</v>
          </cell>
          <cell r="AZ262">
            <v>6675130418</v>
          </cell>
          <cell r="BA262">
            <v>6757887172</v>
          </cell>
          <cell r="BB262">
            <v>6840591577</v>
          </cell>
          <cell r="BC262">
            <v>6922947261</v>
          </cell>
          <cell r="BD262">
            <v>7004011262</v>
          </cell>
          <cell r="BE262">
            <v>7086993625</v>
          </cell>
          <cell r="BF262">
            <v>7170961674</v>
          </cell>
          <cell r="BG262">
            <v>7255653881</v>
          </cell>
          <cell r="BH262">
            <v>7340548192</v>
          </cell>
          <cell r="BI262">
            <v>7426103221</v>
          </cell>
          <cell r="BJ262">
            <v>7510990456</v>
          </cell>
          <cell r="BK262">
            <v>7594270356</v>
          </cell>
        </row>
        <row r="263">
          <cell r="B263" t="str">
            <v>WSM</v>
          </cell>
          <cell r="C263" t="str">
            <v>Population, total</v>
          </cell>
          <cell r="D263" t="str">
            <v>SP.POP.TOTL</v>
          </cell>
          <cell r="E263">
            <v>108629</v>
          </cell>
          <cell r="F263">
            <v>112105</v>
          </cell>
          <cell r="G263">
            <v>115776</v>
          </cell>
          <cell r="H263">
            <v>119559</v>
          </cell>
          <cell r="I263">
            <v>123342</v>
          </cell>
          <cell r="J263">
            <v>127054</v>
          </cell>
          <cell r="K263">
            <v>130673</v>
          </cell>
          <cell r="L263">
            <v>134177</v>
          </cell>
          <cell r="M263">
            <v>137487</v>
          </cell>
          <cell r="N263">
            <v>140500</v>
          </cell>
          <cell r="O263">
            <v>143149</v>
          </cell>
          <cell r="P263">
            <v>145413</v>
          </cell>
          <cell r="Q263">
            <v>147296</v>
          </cell>
          <cell r="R263">
            <v>148864</v>
          </cell>
          <cell r="S263">
            <v>150198</v>
          </cell>
          <cell r="T263">
            <v>151359</v>
          </cell>
          <cell r="U263">
            <v>152367</v>
          </cell>
          <cell r="V263">
            <v>153224</v>
          </cell>
          <cell r="W263">
            <v>153987</v>
          </cell>
          <cell r="X263">
            <v>154739</v>
          </cell>
          <cell r="Y263">
            <v>155525</v>
          </cell>
          <cell r="Z263">
            <v>156407</v>
          </cell>
          <cell r="AA263">
            <v>157372</v>
          </cell>
          <cell r="AB263">
            <v>158352</v>
          </cell>
          <cell r="AC263">
            <v>159248</v>
          </cell>
          <cell r="AD263">
            <v>159990</v>
          </cell>
          <cell r="AE263">
            <v>160544</v>
          </cell>
          <cell r="AF263">
            <v>160965</v>
          </cell>
          <cell r="AG263">
            <v>161376</v>
          </cell>
          <cell r="AH263">
            <v>161940</v>
          </cell>
          <cell r="AI263">
            <v>162803</v>
          </cell>
          <cell r="AJ263">
            <v>163997</v>
          </cell>
          <cell r="AK263">
            <v>165490</v>
          </cell>
          <cell r="AL263">
            <v>167119</v>
          </cell>
          <cell r="AM263">
            <v>168694</v>
          </cell>
          <cell r="AN263">
            <v>170054</v>
          </cell>
          <cell r="AO263">
            <v>171165</v>
          </cell>
          <cell r="AP263">
            <v>172068</v>
          </cell>
          <cell r="AQ263">
            <v>172839</v>
          </cell>
          <cell r="AR263">
            <v>173609</v>
          </cell>
          <cell r="AS263">
            <v>174454</v>
          </cell>
          <cell r="AT263">
            <v>175392</v>
          </cell>
          <cell r="AU263">
            <v>176407</v>
          </cell>
          <cell r="AV263">
            <v>177484</v>
          </cell>
          <cell r="AW263">
            <v>178590</v>
          </cell>
          <cell r="AX263">
            <v>179727</v>
          </cell>
          <cell r="AY263">
            <v>180876</v>
          </cell>
          <cell r="AZ263">
            <v>182046</v>
          </cell>
          <cell r="BA263">
            <v>183263</v>
          </cell>
          <cell r="BB263">
            <v>184556</v>
          </cell>
          <cell r="BC263">
            <v>185949</v>
          </cell>
          <cell r="BD263">
            <v>187469</v>
          </cell>
          <cell r="BE263">
            <v>189088</v>
          </cell>
          <cell r="BF263">
            <v>190717</v>
          </cell>
          <cell r="BG263">
            <v>192221</v>
          </cell>
          <cell r="BH263">
            <v>193513</v>
          </cell>
          <cell r="BI263">
            <v>194535</v>
          </cell>
          <cell r="BJ263">
            <v>195352</v>
          </cell>
          <cell r="BK263">
            <v>196130</v>
          </cell>
        </row>
        <row r="264">
          <cell r="B264" t="str">
            <v>XKX</v>
          </cell>
          <cell r="C264" t="str">
            <v>Population, total</v>
          </cell>
          <cell r="D264" t="str">
            <v>SP.POP.TOTL</v>
          </cell>
          <cell r="E264">
            <v>947000</v>
          </cell>
          <cell r="F264">
            <v>966000</v>
          </cell>
          <cell r="G264">
            <v>994000</v>
          </cell>
          <cell r="H264">
            <v>1022000</v>
          </cell>
          <cell r="I264">
            <v>1050000</v>
          </cell>
          <cell r="J264">
            <v>1078000</v>
          </cell>
          <cell r="K264">
            <v>1106000</v>
          </cell>
          <cell r="L264">
            <v>1135000</v>
          </cell>
          <cell r="M264">
            <v>1163000</v>
          </cell>
          <cell r="N264">
            <v>1191000</v>
          </cell>
          <cell r="O264">
            <v>1219000</v>
          </cell>
          <cell r="P264">
            <v>1247000</v>
          </cell>
          <cell r="Q264">
            <v>1278000</v>
          </cell>
          <cell r="R264">
            <v>1308000</v>
          </cell>
          <cell r="S264">
            <v>1339000</v>
          </cell>
          <cell r="T264">
            <v>1369000</v>
          </cell>
          <cell r="U264">
            <v>1400000</v>
          </cell>
          <cell r="V264">
            <v>1430000</v>
          </cell>
          <cell r="W264">
            <v>1460000</v>
          </cell>
          <cell r="X264">
            <v>1491000</v>
          </cell>
          <cell r="Y264">
            <v>1521000</v>
          </cell>
          <cell r="Z264">
            <v>1552000</v>
          </cell>
          <cell r="AA264">
            <v>1582000</v>
          </cell>
          <cell r="AB264">
            <v>1614000</v>
          </cell>
          <cell r="AC264">
            <v>1647000</v>
          </cell>
          <cell r="AD264">
            <v>1682000</v>
          </cell>
          <cell r="AE264">
            <v>1717000</v>
          </cell>
          <cell r="AF264">
            <v>1753000</v>
          </cell>
          <cell r="AG264">
            <v>1791000</v>
          </cell>
          <cell r="AH264">
            <v>1827000</v>
          </cell>
          <cell r="AI264">
            <v>1862000</v>
          </cell>
          <cell r="AJ264">
            <v>1898000</v>
          </cell>
          <cell r="AK264">
            <v>1932000</v>
          </cell>
          <cell r="AL264">
            <v>1965000</v>
          </cell>
          <cell r="AM264">
            <v>1997000</v>
          </cell>
          <cell r="AN264">
            <v>2029000</v>
          </cell>
          <cell r="AO264">
            <v>2059000</v>
          </cell>
          <cell r="AP264">
            <v>2086000</v>
          </cell>
          <cell r="AQ264">
            <v>1966000</v>
          </cell>
          <cell r="AR264">
            <v>1762000</v>
          </cell>
          <cell r="AS264">
            <v>1700000</v>
          </cell>
          <cell r="AT264">
            <v>1701154</v>
          </cell>
          <cell r="AU264">
            <v>1702310</v>
          </cell>
          <cell r="AV264">
            <v>1703466</v>
          </cell>
          <cell r="AW264">
            <v>1704622</v>
          </cell>
          <cell r="AX264">
            <v>1705780</v>
          </cell>
          <cell r="AY264">
            <v>1719536</v>
          </cell>
          <cell r="AZ264">
            <v>1733404</v>
          </cell>
          <cell r="BA264">
            <v>1747383</v>
          </cell>
          <cell r="BB264">
            <v>1761474</v>
          </cell>
          <cell r="BC264">
            <v>1775680</v>
          </cell>
          <cell r="BD264">
            <v>1791000</v>
          </cell>
          <cell r="BE264">
            <v>1805200</v>
          </cell>
          <cell r="BF264">
            <v>1824100</v>
          </cell>
          <cell r="BG264">
            <v>1821800</v>
          </cell>
          <cell r="BH264">
            <v>1801800</v>
          </cell>
          <cell r="BI264">
            <v>1816200</v>
          </cell>
          <cell r="BJ264">
            <v>1830700</v>
          </cell>
          <cell r="BK264">
            <v>1845300</v>
          </cell>
        </row>
        <row r="265">
          <cell r="B265" t="str">
            <v>YEM</v>
          </cell>
          <cell r="C265" t="str">
            <v>Population, total</v>
          </cell>
          <cell r="D265" t="str">
            <v>SP.POP.TOTL</v>
          </cell>
          <cell r="E265">
            <v>5315355</v>
          </cell>
          <cell r="F265">
            <v>5393036</v>
          </cell>
          <cell r="G265">
            <v>5473671</v>
          </cell>
          <cell r="H265">
            <v>5556766</v>
          </cell>
          <cell r="I265">
            <v>5641597</v>
          </cell>
          <cell r="J265">
            <v>5727751</v>
          </cell>
          <cell r="K265">
            <v>5816247</v>
          </cell>
          <cell r="L265">
            <v>5907874</v>
          </cell>
          <cell r="M265">
            <v>6001852</v>
          </cell>
          <cell r="N265">
            <v>6097035</v>
          </cell>
          <cell r="O265">
            <v>6193384</v>
          </cell>
          <cell r="P265">
            <v>6290365</v>
          </cell>
          <cell r="Q265">
            <v>6390574</v>
          </cell>
          <cell r="R265">
            <v>6500816</v>
          </cell>
          <cell r="S265">
            <v>6629999</v>
          </cell>
          <cell r="T265">
            <v>6784695</v>
          </cell>
          <cell r="U265">
            <v>6967941</v>
          </cell>
          <cell r="V265">
            <v>7178675</v>
          </cell>
          <cell r="W265">
            <v>7414158</v>
          </cell>
          <cell r="X265">
            <v>7669694</v>
          </cell>
          <cell r="Y265">
            <v>7941898</v>
          </cell>
          <cell r="Z265">
            <v>8231910</v>
          </cell>
          <cell r="AA265">
            <v>8541605</v>
          </cell>
          <cell r="AB265">
            <v>8869370</v>
          </cell>
          <cell r="AC265">
            <v>9213084</v>
          </cell>
          <cell r="AD265">
            <v>9572175</v>
          </cell>
          <cell r="AE265">
            <v>9941109</v>
          </cell>
          <cell r="AF265">
            <v>10322043</v>
          </cell>
          <cell r="AG265">
            <v>10730862</v>
          </cell>
          <cell r="AH265">
            <v>11189177</v>
          </cell>
          <cell r="AI265">
            <v>11709993</v>
          </cell>
          <cell r="AJ265">
            <v>12302124</v>
          </cell>
          <cell r="AK265">
            <v>12954155</v>
          </cell>
          <cell r="AL265">
            <v>13634076</v>
          </cell>
          <cell r="AM265">
            <v>14297613</v>
          </cell>
          <cell r="AN265">
            <v>14913315</v>
          </cell>
          <cell r="AO265">
            <v>15469274</v>
          </cell>
          <cell r="AP265">
            <v>15975668</v>
          </cell>
          <cell r="AQ265">
            <v>16450310</v>
          </cell>
          <cell r="AR265">
            <v>16921149</v>
          </cell>
          <cell r="AS265">
            <v>17409072</v>
          </cell>
          <cell r="AT265">
            <v>17918373</v>
          </cell>
          <cell r="AU265">
            <v>18443691</v>
          </cell>
          <cell r="AV265">
            <v>18985000</v>
          </cell>
          <cell r="AW265">
            <v>19540098</v>
          </cell>
          <cell r="AX265">
            <v>20107409</v>
          </cell>
          <cell r="AY265">
            <v>20687646</v>
          </cell>
          <cell r="AZ265">
            <v>21282515</v>
          </cell>
          <cell r="BA265">
            <v>21892146</v>
          </cell>
          <cell r="BB265">
            <v>22516460</v>
          </cell>
          <cell r="BC265">
            <v>23154855</v>
          </cell>
          <cell r="BD265">
            <v>23807588</v>
          </cell>
          <cell r="BE265">
            <v>24473178</v>
          </cell>
          <cell r="BF265">
            <v>25147109</v>
          </cell>
          <cell r="BG265">
            <v>25823485</v>
          </cell>
          <cell r="BH265">
            <v>26497889</v>
          </cell>
          <cell r="BI265">
            <v>27168210</v>
          </cell>
          <cell r="BJ265">
            <v>27834821</v>
          </cell>
          <cell r="BK265">
            <v>28498687</v>
          </cell>
        </row>
        <row r="266">
          <cell r="B266" t="str">
            <v>ZAF</v>
          </cell>
          <cell r="C266" t="str">
            <v>Population, total</v>
          </cell>
          <cell r="D266" t="str">
            <v>SP.POP.TOTL</v>
          </cell>
          <cell r="E266">
            <v>17099840</v>
          </cell>
          <cell r="F266">
            <v>17524533</v>
          </cell>
          <cell r="G266">
            <v>17965725</v>
          </cell>
          <cell r="H266">
            <v>18423161</v>
          </cell>
          <cell r="I266">
            <v>18896307</v>
          </cell>
          <cell r="J266">
            <v>19384841</v>
          </cell>
          <cell r="K266">
            <v>19888250</v>
          </cell>
          <cell r="L266">
            <v>20406864</v>
          </cell>
          <cell r="M266">
            <v>20942145</v>
          </cell>
          <cell r="N266">
            <v>21496075</v>
          </cell>
          <cell r="O266">
            <v>22069776</v>
          </cell>
          <cell r="P266">
            <v>22665271</v>
          </cell>
          <cell r="Q266">
            <v>23281508</v>
          </cell>
          <cell r="R266">
            <v>23913099</v>
          </cell>
          <cell r="S266">
            <v>24552540</v>
          </cell>
          <cell r="T266">
            <v>25195187</v>
          </cell>
          <cell r="U266">
            <v>25836888</v>
          </cell>
          <cell r="V266">
            <v>26480913</v>
          </cell>
          <cell r="W266">
            <v>27138965</v>
          </cell>
          <cell r="X266">
            <v>27827320</v>
          </cell>
          <cell r="Y266">
            <v>28556769</v>
          </cell>
          <cell r="Z266">
            <v>29333103</v>
          </cell>
          <cell r="AA266">
            <v>30150448</v>
          </cell>
          <cell r="AB266">
            <v>30993758</v>
          </cell>
          <cell r="AC266">
            <v>31841593</v>
          </cell>
          <cell r="AD266">
            <v>32678874</v>
          </cell>
          <cell r="AE266">
            <v>33495953</v>
          </cell>
          <cell r="AF266">
            <v>34297727</v>
          </cell>
          <cell r="AG266">
            <v>35100909</v>
          </cell>
          <cell r="AH266">
            <v>35930050</v>
          </cell>
          <cell r="AI266">
            <v>36800509</v>
          </cell>
          <cell r="AJ266">
            <v>37718950</v>
          </cell>
          <cell r="AK266">
            <v>38672607</v>
          </cell>
          <cell r="AL266">
            <v>39633750</v>
          </cell>
          <cell r="AM266">
            <v>40564059</v>
          </cell>
          <cell r="AN266">
            <v>41435758</v>
          </cell>
          <cell r="AO266">
            <v>42241011</v>
          </cell>
          <cell r="AP266">
            <v>42987461</v>
          </cell>
          <cell r="AQ266">
            <v>43682260</v>
          </cell>
          <cell r="AR266">
            <v>44338543</v>
          </cell>
          <cell r="AS266">
            <v>44967708</v>
          </cell>
          <cell r="AT266">
            <v>45571274</v>
          </cell>
          <cell r="AU266">
            <v>46150913</v>
          </cell>
          <cell r="AV266">
            <v>46719196</v>
          </cell>
          <cell r="AW266">
            <v>47291610</v>
          </cell>
          <cell r="AX266">
            <v>47880601</v>
          </cell>
          <cell r="AY266">
            <v>48489459</v>
          </cell>
          <cell r="AZ266">
            <v>49119759</v>
          </cell>
          <cell r="BA266">
            <v>49779471</v>
          </cell>
          <cell r="BB266">
            <v>50477011</v>
          </cell>
          <cell r="BC266">
            <v>51216964</v>
          </cell>
          <cell r="BD266">
            <v>52004172</v>
          </cell>
          <cell r="BE266">
            <v>52834005</v>
          </cell>
          <cell r="BF266">
            <v>53689236</v>
          </cell>
          <cell r="BG266">
            <v>54545991</v>
          </cell>
          <cell r="BH266">
            <v>55386367</v>
          </cell>
          <cell r="BI266">
            <v>56203654</v>
          </cell>
          <cell r="BJ266">
            <v>57000451</v>
          </cell>
          <cell r="BK266">
            <v>57779622</v>
          </cell>
        </row>
        <row r="267">
          <cell r="B267" t="str">
            <v>ZMB</v>
          </cell>
          <cell r="C267" t="str">
            <v>Population, total</v>
          </cell>
          <cell r="D267" t="str">
            <v>SP.POP.TOTL</v>
          </cell>
          <cell r="E267">
            <v>3070776</v>
          </cell>
          <cell r="F267">
            <v>3164329</v>
          </cell>
          <cell r="G267">
            <v>3260650</v>
          </cell>
          <cell r="H267">
            <v>3360104</v>
          </cell>
          <cell r="I267">
            <v>3463213</v>
          </cell>
          <cell r="J267">
            <v>3570464</v>
          </cell>
          <cell r="K267">
            <v>3681955</v>
          </cell>
          <cell r="L267">
            <v>3797873</v>
          </cell>
          <cell r="M267">
            <v>3918872</v>
          </cell>
          <cell r="N267">
            <v>4045740</v>
          </cell>
          <cell r="O267">
            <v>4179067</v>
          </cell>
          <cell r="P267">
            <v>4319224</v>
          </cell>
          <cell r="Q267">
            <v>4466174</v>
          </cell>
          <cell r="R267">
            <v>4619546</v>
          </cell>
          <cell r="S267">
            <v>4778724</v>
          </cell>
          <cell r="T267">
            <v>4943283</v>
          </cell>
          <cell r="U267">
            <v>5112823</v>
          </cell>
          <cell r="V267">
            <v>5287548</v>
          </cell>
          <cell r="W267">
            <v>5468262</v>
          </cell>
          <cell r="X267">
            <v>5656139</v>
          </cell>
          <cell r="Y267">
            <v>5851825</v>
          </cell>
          <cell r="Z267">
            <v>6055366</v>
          </cell>
          <cell r="AA267">
            <v>6265864</v>
          </cell>
          <cell r="AB267">
            <v>6481916</v>
          </cell>
          <cell r="AC267">
            <v>6701540</v>
          </cell>
          <cell r="AD267">
            <v>6923149</v>
          </cell>
          <cell r="AE267">
            <v>7146969</v>
          </cell>
          <cell r="AF267">
            <v>7372837</v>
          </cell>
          <cell r="AG267">
            <v>7598275</v>
          </cell>
          <cell r="AH267">
            <v>7820205</v>
          </cell>
          <cell r="AI267">
            <v>8036845</v>
          </cell>
          <cell r="AJ267">
            <v>8246656</v>
          </cell>
          <cell r="AK267">
            <v>8451347</v>
          </cell>
          <cell r="AL267">
            <v>8656486</v>
          </cell>
          <cell r="AM267">
            <v>8869740</v>
          </cell>
          <cell r="AN267">
            <v>9096607</v>
          </cell>
          <cell r="AO267">
            <v>9339733</v>
          </cell>
          <cell r="AP267">
            <v>9597609</v>
          </cell>
          <cell r="AQ267">
            <v>9866476</v>
          </cell>
          <cell r="AR267">
            <v>10140561</v>
          </cell>
          <cell r="AS267">
            <v>10415944</v>
          </cell>
          <cell r="AT267">
            <v>10692193</v>
          </cell>
          <cell r="AU267">
            <v>10971698</v>
          </cell>
          <cell r="AV267">
            <v>11256743</v>
          </cell>
          <cell r="AW267">
            <v>11550642</v>
          </cell>
          <cell r="AX267">
            <v>11856247</v>
          </cell>
          <cell r="AY267">
            <v>12173514</v>
          </cell>
          <cell r="AZ267">
            <v>12502958</v>
          </cell>
          <cell r="BA267">
            <v>12848530</v>
          </cell>
          <cell r="BB267">
            <v>13215139</v>
          </cell>
          <cell r="BC267">
            <v>13605984</v>
          </cell>
          <cell r="BD267">
            <v>14023193</v>
          </cell>
          <cell r="BE267">
            <v>14465121</v>
          </cell>
          <cell r="BF267">
            <v>14926504</v>
          </cell>
          <cell r="BG267">
            <v>15399753</v>
          </cell>
          <cell r="BH267">
            <v>15879361</v>
          </cell>
          <cell r="BI267">
            <v>16363507</v>
          </cell>
          <cell r="BJ267">
            <v>16853688</v>
          </cell>
          <cell r="BK267">
            <v>17351822</v>
          </cell>
        </row>
        <row r="268">
          <cell r="B268" t="str">
            <v>ZWE</v>
          </cell>
          <cell r="C268" t="str">
            <v>Population, total</v>
          </cell>
          <cell r="D268" t="str">
            <v>SP.POP.TOTL</v>
          </cell>
          <cell r="E268">
            <v>3776681</v>
          </cell>
          <cell r="F268">
            <v>3905034</v>
          </cell>
          <cell r="G268">
            <v>4039201</v>
          </cell>
          <cell r="H268">
            <v>4178726</v>
          </cell>
          <cell r="I268">
            <v>4322861</v>
          </cell>
          <cell r="J268">
            <v>4471177</v>
          </cell>
          <cell r="K268">
            <v>4623351</v>
          </cell>
          <cell r="L268">
            <v>4779827</v>
          </cell>
          <cell r="M268">
            <v>4941906</v>
          </cell>
          <cell r="N268">
            <v>5111337</v>
          </cell>
          <cell r="O268">
            <v>5289303</v>
          </cell>
          <cell r="P268">
            <v>5476982</v>
          </cell>
          <cell r="Q268">
            <v>5673911</v>
          </cell>
          <cell r="R268">
            <v>5877726</v>
          </cell>
          <cell r="S268">
            <v>6085074</v>
          </cell>
          <cell r="T268">
            <v>6293875</v>
          </cell>
          <cell r="U268">
            <v>6502569</v>
          </cell>
          <cell r="V268">
            <v>6712827</v>
          </cell>
          <cell r="W268">
            <v>6929664</v>
          </cell>
          <cell r="X268">
            <v>7160023</v>
          </cell>
          <cell r="Y268">
            <v>7408624</v>
          </cell>
          <cell r="Z268">
            <v>7675591</v>
          </cell>
          <cell r="AA268">
            <v>7958241</v>
          </cell>
          <cell r="AB268">
            <v>8254747</v>
          </cell>
          <cell r="AC268">
            <v>8562249</v>
          </cell>
          <cell r="AD268">
            <v>8877489</v>
          </cell>
          <cell r="AE268">
            <v>9200149</v>
          </cell>
          <cell r="AF268">
            <v>9527203</v>
          </cell>
          <cell r="AG268">
            <v>9849125</v>
          </cell>
          <cell r="AH268">
            <v>10153852</v>
          </cell>
          <cell r="AI268">
            <v>10432421</v>
          </cell>
          <cell r="AJ268">
            <v>10680995</v>
          </cell>
          <cell r="AK268">
            <v>10900502</v>
          </cell>
          <cell r="AL268">
            <v>11092766</v>
          </cell>
          <cell r="AM268">
            <v>11261744</v>
          </cell>
          <cell r="AN268">
            <v>11410714</v>
          </cell>
          <cell r="AO268">
            <v>11541217</v>
          </cell>
          <cell r="AP268">
            <v>11653242</v>
          </cell>
          <cell r="AQ268">
            <v>11747072</v>
          </cell>
          <cell r="AR268">
            <v>11822719</v>
          </cell>
          <cell r="AS268">
            <v>11881477</v>
          </cell>
          <cell r="AT268">
            <v>11923914</v>
          </cell>
          <cell r="AU268">
            <v>11954290</v>
          </cell>
          <cell r="AV268">
            <v>11982224</v>
          </cell>
          <cell r="AW268">
            <v>12019912</v>
          </cell>
          <cell r="AX268">
            <v>12076699</v>
          </cell>
          <cell r="AY268">
            <v>12155491</v>
          </cell>
          <cell r="AZ268">
            <v>12255922</v>
          </cell>
          <cell r="BA268">
            <v>12379549</v>
          </cell>
          <cell r="BB268">
            <v>12526968</v>
          </cell>
          <cell r="BC268">
            <v>12697723</v>
          </cell>
          <cell r="BD268">
            <v>12894316</v>
          </cell>
          <cell r="BE268">
            <v>13115131</v>
          </cell>
          <cell r="BF268">
            <v>13350356</v>
          </cell>
          <cell r="BG268">
            <v>13586681</v>
          </cell>
          <cell r="BH268">
            <v>13814629</v>
          </cell>
          <cell r="BI268">
            <v>14030390</v>
          </cell>
          <cell r="BJ268">
            <v>14236745</v>
          </cell>
          <cell r="BK268">
            <v>14439018</v>
          </cell>
        </row>
      </sheetData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Metadata - Countries"/>
      <sheetName val="Metadata - Indicators"/>
    </sheetNames>
    <sheetDataSet>
      <sheetData sheetId="0">
        <row r="1">
          <cell r="B1" t="str">
            <v>World Development Indicators</v>
          </cell>
        </row>
        <row r="2">
          <cell r="B2">
            <v>43930</v>
          </cell>
        </row>
        <row r="4">
          <cell r="B4" t="str">
            <v>Country Code</v>
          </cell>
          <cell r="C4" t="str">
            <v>Indicator Name</v>
          </cell>
          <cell r="D4" t="str">
            <v>Indicator Code</v>
          </cell>
          <cell r="E4" t="str">
            <v>1960</v>
          </cell>
          <cell r="F4" t="str">
            <v>1961</v>
          </cell>
          <cell r="G4" t="str">
            <v>1962</v>
          </cell>
          <cell r="H4" t="str">
            <v>1963</v>
          </cell>
          <cell r="I4" t="str">
            <v>1964</v>
          </cell>
          <cell r="J4" t="str">
            <v>1965</v>
          </cell>
          <cell r="K4" t="str">
            <v>1966</v>
          </cell>
          <cell r="L4" t="str">
            <v>1967</v>
          </cell>
          <cell r="M4" t="str">
            <v>1968</v>
          </cell>
          <cell r="N4" t="str">
            <v>1969</v>
          </cell>
          <cell r="O4" t="str">
            <v>1970</v>
          </cell>
          <cell r="P4" t="str">
            <v>1971</v>
          </cell>
          <cell r="Q4" t="str">
            <v>1972</v>
          </cell>
          <cell r="R4" t="str">
            <v>1973</v>
          </cell>
          <cell r="S4" t="str">
            <v>1974</v>
          </cell>
          <cell r="T4" t="str">
            <v>1975</v>
          </cell>
          <cell r="U4" t="str">
            <v>1976</v>
          </cell>
          <cell r="V4" t="str">
            <v>1977</v>
          </cell>
          <cell r="W4" t="str">
            <v>1978</v>
          </cell>
          <cell r="X4" t="str">
            <v>1979</v>
          </cell>
          <cell r="Y4" t="str">
            <v>1980</v>
          </cell>
          <cell r="Z4" t="str">
            <v>1981</v>
          </cell>
          <cell r="AA4" t="str">
            <v>1982</v>
          </cell>
          <cell r="AB4" t="str">
            <v>1983</v>
          </cell>
          <cell r="AC4" t="str">
            <v>1984</v>
          </cell>
          <cell r="AD4" t="str">
            <v>1985</v>
          </cell>
          <cell r="AE4" t="str">
            <v>1986</v>
          </cell>
          <cell r="AF4" t="str">
            <v>1987</v>
          </cell>
          <cell r="AG4" t="str">
            <v>1988</v>
          </cell>
          <cell r="AH4" t="str">
            <v>1989</v>
          </cell>
          <cell r="AI4" t="str">
            <v>1990</v>
          </cell>
          <cell r="AJ4" t="str">
            <v>1991</v>
          </cell>
          <cell r="AK4" t="str">
            <v>1992</v>
          </cell>
          <cell r="AL4" t="str">
            <v>1993</v>
          </cell>
          <cell r="AM4" t="str">
            <v>1994</v>
          </cell>
          <cell r="AN4" t="str">
            <v>1995</v>
          </cell>
          <cell r="AO4" t="str">
            <v>1996</v>
          </cell>
          <cell r="AP4" t="str">
            <v>1997</v>
          </cell>
          <cell r="AQ4" t="str">
            <v>1998</v>
          </cell>
          <cell r="AR4" t="str">
            <v>1999</v>
          </cell>
          <cell r="AS4" t="str">
            <v>2000</v>
          </cell>
          <cell r="AT4" t="str">
            <v>2001</v>
          </cell>
          <cell r="AU4" t="str">
            <v>2002</v>
          </cell>
          <cell r="AV4" t="str">
            <v>2003</v>
          </cell>
          <cell r="AW4" t="str">
            <v>2004</v>
          </cell>
          <cell r="AX4" t="str">
            <v>2005</v>
          </cell>
          <cell r="AY4" t="str">
            <v>2006</v>
          </cell>
          <cell r="AZ4" t="str">
            <v>2007</v>
          </cell>
          <cell r="BA4" t="str">
            <v>2008</v>
          </cell>
          <cell r="BB4" t="str">
            <v>2009</v>
          </cell>
          <cell r="BC4" t="str">
            <v>2010</v>
          </cell>
          <cell r="BD4" t="str">
            <v>2011</v>
          </cell>
          <cell r="BE4" t="str">
            <v>2012</v>
          </cell>
          <cell r="BF4" t="str">
            <v>2013</v>
          </cell>
          <cell r="BG4" t="str">
            <v>2014</v>
          </cell>
          <cell r="BH4" t="str">
            <v>2015</v>
          </cell>
          <cell r="BI4" t="str">
            <v>2016</v>
          </cell>
          <cell r="BJ4" t="str">
            <v>2017</v>
          </cell>
          <cell r="BK4" t="str">
            <v>2018</v>
          </cell>
        </row>
        <row r="5">
          <cell r="B5" t="str">
            <v>ABW</v>
          </cell>
          <cell r="C5" t="str">
            <v>Employment to population ratio, 15+, total (%) (modeled ILO estimate)</v>
          </cell>
          <cell r="D5" t="str">
            <v>SL.EMP.TOTL.SP.ZS</v>
          </cell>
        </row>
        <row r="6">
          <cell r="B6" t="str">
            <v>AFG</v>
          </cell>
          <cell r="C6" t="str">
            <v>Employment to population ratio, 15+, total (%) (modeled ILO estimate)</v>
          </cell>
          <cell r="D6" t="str">
            <v>SL.EMP.TOTL.SP.ZS</v>
          </cell>
          <cell r="AJ6">
            <v>42.319000244140597</v>
          </cell>
          <cell r="AK6">
            <v>42.396999359130902</v>
          </cell>
          <cell r="AL6">
            <v>42.3880004882813</v>
          </cell>
          <cell r="AM6">
            <v>42.380001068115199</v>
          </cell>
          <cell r="AN6">
            <v>42.345001220703097</v>
          </cell>
          <cell r="AO6">
            <v>42.2369995117188</v>
          </cell>
          <cell r="AP6">
            <v>42.1380004882813</v>
          </cell>
          <cell r="AQ6">
            <v>42.051998138427699</v>
          </cell>
          <cell r="AR6">
            <v>41.966999053955099</v>
          </cell>
          <cell r="AS6">
            <v>41.9739990234375</v>
          </cell>
          <cell r="AT6">
            <v>42.137001037597699</v>
          </cell>
          <cell r="AU6">
            <v>42.304000854492202</v>
          </cell>
          <cell r="AV6">
            <v>42.514999389648402</v>
          </cell>
          <cell r="AW6">
            <v>42.742000579833999</v>
          </cell>
          <cell r="AX6">
            <v>42.944999694824197</v>
          </cell>
          <cell r="AY6">
            <v>42.8359985351563</v>
          </cell>
          <cell r="AZ6">
            <v>42.698001861572301</v>
          </cell>
          <cell r="BA6">
            <v>42.5130004882813</v>
          </cell>
          <cell r="BB6">
            <v>42.146999359130902</v>
          </cell>
          <cell r="BC6">
            <v>41.981998443603501</v>
          </cell>
          <cell r="BD6">
            <v>42.141998291015597</v>
          </cell>
          <cell r="BE6">
            <v>42.355998992919901</v>
          </cell>
          <cell r="BF6">
            <v>42.479000091552699</v>
          </cell>
          <cell r="BG6">
            <v>42.672000885009801</v>
          </cell>
          <cell r="BH6">
            <v>42.865001678466797</v>
          </cell>
          <cell r="BI6">
            <v>43.027999877929702</v>
          </cell>
          <cell r="BJ6">
            <v>43.2239990234375</v>
          </cell>
          <cell r="BK6">
            <v>43.448001861572301</v>
          </cell>
        </row>
        <row r="7">
          <cell r="B7" t="str">
            <v>AGO</v>
          </cell>
          <cell r="C7" t="str">
            <v>Employment to population ratio, 15+, total (%) (modeled ILO estimate)</v>
          </cell>
          <cell r="D7" t="str">
            <v>SL.EMP.TOTL.SP.ZS</v>
          </cell>
          <cell r="AJ7">
            <v>75.072998046875</v>
          </cell>
          <cell r="AK7">
            <v>75.077003479003906</v>
          </cell>
          <cell r="AL7">
            <v>75.182998657226605</v>
          </cell>
          <cell r="AM7">
            <v>75.125</v>
          </cell>
          <cell r="AN7">
            <v>74.9739990234375</v>
          </cell>
          <cell r="AO7">
            <v>74.887001037597699</v>
          </cell>
          <cell r="AP7">
            <v>74.825996398925795</v>
          </cell>
          <cell r="AQ7">
            <v>74.754997253417997</v>
          </cell>
          <cell r="AR7">
            <v>74.652000427246094</v>
          </cell>
          <cell r="AS7">
            <v>74.563003540039105</v>
          </cell>
          <cell r="AT7">
            <v>74.529998779296903</v>
          </cell>
          <cell r="AU7">
            <v>74.384002685546903</v>
          </cell>
          <cell r="AV7">
            <v>74.319999694824205</v>
          </cell>
          <cell r="AW7">
            <v>74.246002197265597</v>
          </cell>
          <cell r="AX7">
            <v>74.178001403808594</v>
          </cell>
          <cell r="AY7">
            <v>74.260002136230497</v>
          </cell>
          <cell r="AZ7">
            <v>74.318000793457003</v>
          </cell>
          <cell r="BA7">
            <v>74.358001708984403</v>
          </cell>
          <cell r="BB7">
            <v>74.316001892089801</v>
          </cell>
          <cell r="BC7">
            <v>70.003997802734403</v>
          </cell>
          <cell r="BD7">
            <v>71.711997985839801</v>
          </cell>
          <cell r="BE7">
            <v>71.748001098632798</v>
          </cell>
          <cell r="BF7">
            <v>71.777999877929702</v>
          </cell>
          <cell r="BG7">
            <v>71.852996826171903</v>
          </cell>
          <cell r="BH7">
            <v>71.905998229980497</v>
          </cell>
          <cell r="BI7">
            <v>71.983001708984403</v>
          </cell>
          <cell r="BJ7">
            <v>72.045997619628906</v>
          </cell>
          <cell r="BK7">
            <v>72.087997436523395</v>
          </cell>
        </row>
        <row r="8">
          <cell r="B8" t="str">
            <v>ALB</v>
          </cell>
          <cell r="C8" t="str">
            <v>Employment to population ratio, 15+, total (%) (modeled ILO estimate)</v>
          </cell>
          <cell r="D8" t="str">
            <v>SL.EMP.TOTL.SP.ZS</v>
          </cell>
          <cell r="AJ8">
            <v>54.339000701904297</v>
          </cell>
          <cell r="AK8">
            <v>54.305999755859403</v>
          </cell>
          <cell r="AL8">
            <v>53.536998748779297</v>
          </cell>
          <cell r="AM8">
            <v>52.869998931884801</v>
          </cell>
          <cell r="AN8">
            <v>52.023998260497997</v>
          </cell>
          <cell r="AO8">
            <v>51.7299995422363</v>
          </cell>
          <cell r="AP8">
            <v>52.290000915527301</v>
          </cell>
          <cell r="AQ8">
            <v>52.070999145507798</v>
          </cell>
          <cell r="AR8">
            <v>51.629001617431598</v>
          </cell>
          <cell r="AS8">
            <v>51.422000885009801</v>
          </cell>
          <cell r="AT8">
            <v>50.925998687744098</v>
          </cell>
          <cell r="AU8">
            <v>50.455001831054702</v>
          </cell>
          <cell r="AV8">
            <v>49.587001800537102</v>
          </cell>
          <cell r="AW8">
            <v>48.775001525878899</v>
          </cell>
          <cell r="AX8">
            <v>47.998001098632798</v>
          </cell>
          <cell r="AY8">
            <v>47.417999267578097</v>
          </cell>
          <cell r="AZ8">
            <v>46.880001068115199</v>
          </cell>
          <cell r="BA8">
            <v>47.8549995422363</v>
          </cell>
          <cell r="BB8">
            <v>47.066001892089801</v>
          </cell>
          <cell r="BC8">
            <v>46.625</v>
          </cell>
          <cell r="BD8">
            <v>47.601001739502003</v>
          </cell>
          <cell r="BE8">
            <v>48.388999938964801</v>
          </cell>
          <cell r="BF8">
            <v>44.008998870849602</v>
          </cell>
          <cell r="BG8">
            <v>43.691001892089801</v>
          </cell>
          <cell r="BH8">
            <v>45.639999389648402</v>
          </cell>
          <cell r="BI8">
            <v>47.055000305175803</v>
          </cell>
          <cell r="BJ8">
            <v>48.221000671386697</v>
          </cell>
          <cell r="BK8">
            <v>48.9609985351563</v>
          </cell>
        </row>
        <row r="9">
          <cell r="B9" t="str">
            <v>AND</v>
          </cell>
          <cell r="C9" t="str">
            <v>Employment to population ratio, 15+, total (%) (modeled ILO estimate)</v>
          </cell>
          <cell r="D9" t="str">
            <v>SL.EMP.TOTL.SP.ZS</v>
          </cell>
        </row>
        <row r="10">
          <cell r="B10" t="str">
            <v>ARB</v>
          </cell>
          <cell r="C10" t="str">
            <v>Employment to population ratio, 15+, total (%) (modeled ILO estimate)</v>
          </cell>
          <cell r="D10" t="str">
            <v>SL.EMP.TOTL.SP.ZS</v>
          </cell>
          <cell r="AJ10">
            <v>42.650704479971459</v>
          </cell>
          <cell r="AK10">
            <v>42.291943751874506</v>
          </cell>
          <cell r="AL10">
            <v>41.980559695475321</v>
          </cell>
          <cell r="AM10">
            <v>42.153242893148231</v>
          </cell>
          <cell r="AN10">
            <v>41.927500585346344</v>
          </cell>
          <cell r="AO10">
            <v>42.099443059960642</v>
          </cell>
          <cell r="AP10">
            <v>42.096680898997413</v>
          </cell>
          <cell r="AQ10">
            <v>41.81971791086648</v>
          </cell>
          <cell r="AR10">
            <v>42.053363554965749</v>
          </cell>
          <cell r="AS10">
            <v>41.798878040581513</v>
          </cell>
          <cell r="AT10">
            <v>41.603510959040342</v>
          </cell>
          <cell r="AU10">
            <v>41.367356579604007</v>
          </cell>
          <cell r="AV10">
            <v>41.512166779574947</v>
          </cell>
          <cell r="AW10">
            <v>42.073004626193871</v>
          </cell>
          <cell r="AX10">
            <v>42.245887530823033</v>
          </cell>
          <cell r="AY10">
            <v>42.720006710740407</v>
          </cell>
          <cell r="AZ10">
            <v>43.256091229141376</v>
          </cell>
          <cell r="BA10">
            <v>43.470882757181485</v>
          </cell>
          <cell r="BB10">
            <v>43.81431352015219</v>
          </cell>
          <cell r="BC10">
            <v>44.083582019713525</v>
          </cell>
          <cell r="BD10">
            <v>43.629327117095961</v>
          </cell>
          <cell r="BE10">
            <v>43.665252528195651</v>
          </cell>
          <cell r="BF10">
            <v>43.883079262851993</v>
          </cell>
          <cell r="BG10">
            <v>43.667765860534423</v>
          </cell>
          <cell r="BH10">
            <v>43.383612026078247</v>
          </cell>
          <cell r="BI10">
            <v>43.41070665409265</v>
          </cell>
          <cell r="BJ10">
            <v>42.868576592190777</v>
          </cell>
          <cell r="BK10">
            <v>42.87248100324279</v>
          </cell>
        </row>
        <row r="11">
          <cell r="B11" t="str">
            <v>ARE</v>
          </cell>
          <cell r="C11" t="str">
            <v>Employment to population ratio, 15+, total (%) (modeled ILO estimate)</v>
          </cell>
          <cell r="D11" t="str">
            <v>SL.EMP.TOTL.SP.ZS</v>
          </cell>
          <cell r="AJ11">
            <v>71.896003723144503</v>
          </cell>
          <cell r="AK11">
            <v>72.2969970703125</v>
          </cell>
          <cell r="AL11">
            <v>72.768997192382798</v>
          </cell>
          <cell r="AM11">
            <v>73.327003479003906</v>
          </cell>
          <cell r="AN11">
            <v>73.780998229980497</v>
          </cell>
          <cell r="AO11">
            <v>73.189002990722699</v>
          </cell>
          <cell r="AP11">
            <v>73.036003112792997</v>
          </cell>
          <cell r="AQ11">
            <v>73.236000061035199</v>
          </cell>
          <cell r="AR11">
            <v>73.642997741699205</v>
          </cell>
          <cell r="AS11">
            <v>74.250999450683594</v>
          </cell>
          <cell r="AT11">
            <v>73.643997192382798</v>
          </cell>
          <cell r="AU11">
            <v>73.442001342773395</v>
          </cell>
          <cell r="AV11">
            <v>73.775001525878906</v>
          </cell>
          <cell r="AW11">
            <v>74.677001953125</v>
          </cell>
          <cell r="AX11">
            <v>76.106002807617202</v>
          </cell>
          <cell r="AY11">
            <v>76.833999633789105</v>
          </cell>
          <cell r="AZ11">
            <v>78.373001098632798</v>
          </cell>
          <cell r="BA11">
            <v>79.799003601074205</v>
          </cell>
          <cell r="BB11">
            <v>80.785003662109403</v>
          </cell>
          <cell r="BC11">
            <v>81.655998229980497</v>
          </cell>
          <cell r="BD11">
            <v>81.483001708984403</v>
          </cell>
          <cell r="BE11">
            <v>81.162002563476605</v>
          </cell>
          <cell r="BF11">
            <v>80.827003479003906</v>
          </cell>
          <cell r="BG11">
            <v>81.036003112792997</v>
          </cell>
          <cell r="BH11">
            <v>81.429000854492202</v>
          </cell>
          <cell r="BI11">
            <v>81.162002563476605</v>
          </cell>
          <cell r="BJ11">
            <v>80.282997131347699</v>
          </cell>
          <cell r="BK11">
            <v>80.277999877929702</v>
          </cell>
        </row>
        <row r="12">
          <cell r="B12" t="str">
            <v>ARG</v>
          </cell>
          <cell r="C12" t="str">
            <v>Employment to population ratio, 15+, total (%) (modeled ILO estimate)</v>
          </cell>
          <cell r="D12" t="str">
            <v>SL.EMP.TOTL.SP.ZS</v>
          </cell>
          <cell r="AJ12">
            <v>57.147998809814503</v>
          </cell>
          <cell r="AK12">
            <v>56.819000244140597</v>
          </cell>
          <cell r="AL12">
            <v>54.813999176025398</v>
          </cell>
          <cell r="AM12">
            <v>53.977001190185497</v>
          </cell>
          <cell r="AN12">
            <v>49.449001312255902</v>
          </cell>
          <cell r="AO12">
            <v>50.7109985351563</v>
          </cell>
          <cell r="AP12">
            <v>52.525001525878899</v>
          </cell>
          <cell r="AQ12">
            <v>54.113998413085902</v>
          </cell>
          <cell r="AR12">
            <v>53.152999877929702</v>
          </cell>
          <cell r="AS12">
            <v>52.606998443603501</v>
          </cell>
          <cell r="AT12">
            <v>51.033000946044901</v>
          </cell>
          <cell r="AU12">
            <v>49.158000946044901</v>
          </cell>
          <cell r="AV12">
            <v>52.2299995422363</v>
          </cell>
          <cell r="AW12">
            <v>53.867000579833999</v>
          </cell>
          <cell r="AX12">
            <v>54.824001312255902</v>
          </cell>
          <cell r="AY12">
            <v>55.962001800537102</v>
          </cell>
          <cell r="AZ12">
            <v>56.2630004882813</v>
          </cell>
          <cell r="BA12">
            <v>55.948001861572301</v>
          </cell>
          <cell r="BB12">
            <v>55.784999847412102</v>
          </cell>
          <cell r="BC12">
            <v>55.7439994812012</v>
          </cell>
          <cell r="BD12">
            <v>56.278999328613303</v>
          </cell>
          <cell r="BE12">
            <v>56.1310005187988</v>
          </cell>
          <cell r="BF12">
            <v>55.944999694824197</v>
          </cell>
          <cell r="BG12">
            <v>55.3549995422363</v>
          </cell>
          <cell r="BH12">
            <v>55.367000579833999</v>
          </cell>
          <cell r="BI12">
            <v>55.5</v>
          </cell>
          <cell r="BJ12">
            <v>55.534000396728501</v>
          </cell>
          <cell r="BK12">
            <v>55.729000091552699</v>
          </cell>
        </row>
        <row r="13">
          <cell r="B13" t="str">
            <v>ARM</v>
          </cell>
          <cell r="C13" t="str">
            <v>Employment to population ratio, 15+, total (%) (modeled ILO estimate)</v>
          </cell>
          <cell r="D13" t="str">
            <v>SL.EMP.TOTL.SP.ZS</v>
          </cell>
          <cell r="AJ13">
            <v>56.393001556396499</v>
          </cell>
          <cell r="AK13">
            <v>55.976001739502003</v>
          </cell>
          <cell r="AL13">
            <v>53.590999603271499</v>
          </cell>
          <cell r="AM13">
            <v>52.416999816894503</v>
          </cell>
          <cell r="AN13">
            <v>51.897998809814503</v>
          </cell>
          <cell r="AO13">
            <v>50.037998199462898</v>
          </cell>
          <cell r="AP13">
            <v>48.840000152587898</v>
          </cell>
          <cell r="AQ13">
            <v>49.25</v>
          </cell>
          <cell r="AR13">
            <v>47.915000915527301</v>
          </cell>
          <cell r="AS13">
            <v>47.615001678466797</v>
          </cell>
          <cell r="AT13">
            <v>47.428001403808601</v>
          </cell>
          <cell r="AU13">
            <v>47.183998107910199</v>
          </cell>
          <cell r="AV13">
            <v>47.0130004882813</v>
          </cell>
          <cell r="AW13">
            <v>46.9939994812012</v>
          </cell>
          <cell r="AX13">
            <v>47.137001037597699</v>
          </cell>
          <cell r="AY13">
            <v>47.444999694824197</v>
          </cell>
          <cell r="AZ13">
            <v>47.870998382568402</v>
          </cell>
          <cell r="BA13">
            <v>46.207000732421903</v>
          </cell>
          <cell r="BB13">
            <v>44.022998809814503</v>
          </cell>
          <cell r="BC13">
            <v>45.791999816894503</v>
          </cell>
          <cell r="BD13">
            <v>47.221000671386697</v>
          </cell>
          <cell r="BE13">
            <v>48.125999450683601</v>
          </cell>
          <cell r="BF13">
            <v>48.985000610351598</v>
          </cell>
          <cell r="BG13">
            <v>47.655998229980497</v>
          </cell>
          <cell r="BH13">
            <v>46.662998199462898</v>
          </cell>
          <cell r="BI13">
            <v>46.097000122070298</v>
          </cell>
          <cell r="BJ13">
            <v>45.799999237060497</v>
          </cell>
          <cell r="BK13">
            <v>45.890998840332003</v>
          </cell>
        </row>
        <row r="14">
          <cell r="B14" t="str">
            <v>ASM</v>
          </cell>
          <cell r="C14" t="str">
            <v>Employment to population ratio, 15+, total (%) (modeled ILO estimate)</v>
          </cell>
          <cell r="D14" t="str">
            <v>SL.EMP.TOTL.SP.ZS</v>
          </cell>
        </row>
        <row r="15">
          <cell r="B15" t="str">
            <v>ATG</v>
          </cell>
          <cell r="C15" t="str">
            <v>Employment to population ratio, 15+, total (%) (modeled ILO estimate)</v>
          </cell>
          <cell r="D15" t="str">
            <v>SL.EMP.TOTL.SP.ZS</v>
          </cell>
        </row>
        <row r="16">
          <cell r="B16" t="str">
            <v>AUS</v>
          </cell>
          <cell r="C16" t="str">
            <v>Employment to population ratio, 15+, total (%) (modeled ILO estimate)</v>
          </cell>
          <cell r="D16" t="str">
            <v>SL.EMP.TOTL.SP.ZS</v>
          </cell>
          <cell r="AJ16">
            <v>57.215999603271499</v>
          </cell>
          <cell r="AK16">
            <v>56.220001220703097</v>
          </cell>
          <cell r="AL16">
            <v>55.777999877929702</v>
          </cell>
          <cell r="AM16">
            <v>56.955001831054702</v>
          </cell>
          <cell r="AN16">
            <v>58.290000915527301</v>
          </cell>
          <cell r="AO16">
            <v>58.257999420166001</v>
          </cell>
          <cell r="AP16">
            <v>58.020999908447301</v>
          </cell>
          <cell r="AQ16">
            <v>58.365001678466797</v>
          </cell>
          <cell r="AR16">
            <v>58.673000335693402</v>
          </cell>
          <cell r="AS16">
            <v>59.391998291015597</v>
          </cell>
          <cell r="AT16">
            <v>59.273998260497997</v>
          </cell>
          <cell r="AU16">
            <v>59.568000793457003</v>
          </cell>
          <cell r="AV16">
            <v>60.020999908447301</v>
          </cell>
          <cell r="AW16">
            <v>60.215999603271499</v>
          </cell>
          <cell r="AX16">
            <v>61.307998657226598</v>
          </cell>
          <cell r="AY16">
            <v>61.810001373291001</v>
          </cell>
          <cell r="AZ16">
            <v>62.512001037597699</v>
          </cell>
          <cell r="BA16">
            <v>62.883998870849602</v>
          </cell>
          <cell r="BB16">
            <v>61.941001892089801</v>
          </cell>
          <cell r="BC16">
            <v>62.183998107910199</v>
          </cell>
          <cell r="BD16">
            <v>62.293998718261697</v>
          </cell>
          <cell r="BE16">
            <v>61.918998718261697</v>
          </cell>
          <cell r="BF16">
            <v>61.409000396728501</v>
          </cell>
          <cell r="BG16">
            <v>60.915000915527301</v>
          </cell>
          <cell r="BH16">
            <v>61.206001281738303</v>
          </cell>
          <cell r="BI16">
            <v>61.279998779296903</v>
          </cell>
          <cell r="BJ16">
            <v>61.587001800537102</v>
          </cell>
          <cell r="BK16">
            <v>62.174999237060497</v>
          </cell>
        </row>
        <row r="17">
          <cell r="B17" t="str">
            <v>AUT</v>
          </cell>
          <cell r="C17" t="str">
            <v>Employment to population ratio, 15+, total (%) (modeled ILO estimate)</v>
          </cell>
          <cell r="D17" t="str">
            <v>SL.EMP.TOTL.SP.ZS</v>
          </cell>
          <cell r="AJ17">
            <v>54.249000549316399</v>
          </cell>
          <cell r="AK17">
            <v>54.844001770019503</v>
          </cell>
          <cell r="AL17">
            <v>54.708000183105497</v>
          </cell>
          <cell r="AM17">
            <v>56.466999053955099</v>
          </cell>
          <cell r="AN17">
            <v>56.485000610351598</v>
          </cell>
          <cell r="AO17">
            <v>55.441001892089801</v>
          </cell>
          <cell r="AP17">
            <v>55.199001312255902</v>
          </cell>
          <cell r="AQ17">
            <v>55.254001617431598</v>
          </cell>
          <cell r="AR17">
            <v>55.873001098632798</v>
          </cell>
          <cell r="AS17">
            <v>55.771999359130902</v>
          </cell>
          <cell r="AT17">
            <v>55.630001068115199</v>
          </cell>
          <cell r="AU17">
            <v>55.983001708984403</v>
          </cell>
          <cell r="AV17">
            <v>55.945999145507798</v>
          </cell>
          <cell r="AW17">
            <v>53.497001647949197</v>
          </cell>
          <cell r="AX17">
            <v>54.834999084472699</v>
          </cell>
          <cell r="AY17">
            <v>55.428001403808601</v>
          </cell>
          <cell r="AZ17">
            <v>56.498001098632798</v>
          </cell>
          <cell r="BA17">
            <v>57.192001342773402</v>
          </cell>
          <cell r="BB17">
            <v>56.798000335693402</v>
          </cell>
          <cell r="BC17">
            <v>57.068000793457003</v>
          </cell>
          <cell r="BD17">
            <v>57.280998229980497</v>
          </cell>
          <cell r="BE17">
            <v>57.361000061035199</v>
          </cell>
          <cell r="BF17">
            <v>57.208999633789098</v>
          </cell>
          <cell r="BG17">
            <v>56.777999877929702</v>
          </cell>
          <cell r="BH17">
            <v>56.660999298095703</v>
          </cell>
          <cell r="BI17">
            <v>56.866001129150398</v>
          </cell>
          <cell r="BJ17">
            <v>57.194000244140597</v>
          </cell>
          <cell r="BK17">
            <v>57.785999298095703</v>
          </cell>
        </row>
        <row r="18">
          <cell r="B18" t="str">
            <v>AZE</v>
          </cell>
          <cell r="C18" t="str">
            <v>Employment to population ratio, 15+, total (%) (modeled ILO estimate)</v>
          </cell>
          <cell r="D18" t="str">
            <v>SL.EMP.TOTL.SP.ZS</v>
          </cell>
          <cell r="AJ18">
            <v>60.146999359130902</v>
          </cell>
          <cell r="AK18">
            <v>60.403999328613303</v>
          </cell>
          <cell r="AL18">
            <v>59.643001556396499</v>
          </cell>
          <cell r="AM18">
            <v>59.326999664306598</v>
          </cell>
          <cell r="AN18">
            <v>59.266998291015597</v>
          </cell>
          <cell r="AO18">
            <v>58.712001800537102</v>
          </cell>
          <cell r="AP18">
            <v>57.935001373291001</v>
          </cell>
          <cell r="AQ18">
            <v>57.096000671386697</v>
          </cell>
          <cell r="AR18">
            <v>56.340999603271499</v>
          </cell>
          <cell r="AS18">
            <v>55.681999206542997</v>
          </cell>
          <cell r="AT18">
            <v>56.126998901367202</v>
          </cell>
          <cell r="AU18">
            <v>56.591999053955099</v>
          </cell>
          <cell r="AV18">
            <v>56.991001129150398</v>
          </cell>
          <cell r="AW18">
            <v>57.751998901367202</v>
          </cell>
          <cell r="AX18">
            <v>58.226001739502003</v>
          </cell>
          <cell r="AY18">
            <v>58.722000122070298</v>
          </cell>
          <cell r="AZ18">
            <v>58.905998229980497</v>
          </cell>
          <cell r="BA18">
            <v>59.404998779296903</v>
          </cell>
          <cell r="BB18">
            <v>59.834999084472699</v>
          </cell>
          <cell r="BC18">
            <v>60.167999267578097</v>
          </cell>
          <cell r="BD18">
            <v>60.522998809814503</v>
          </cell>
          <cell r="BE18">
            <v>60.936000823974602</v>
          </cell>
          <cell r="BF18">
            <v>61.3359985351563</v>
          </cell>
          <cell r="BG18">
            <v>61.855998992919901</v>
          </cell>
          <cell r="BH18">
            <v>62.265998840332003</v>
          </cell>
          <cell r="BI18">
            <v>62.949001312255902</v>
          </cell>
          <cell r="BJ18">
            <v>63.262001037597699</v>
          </cell>
          <cell r="BK18">
            <v>63.563999176025398</v>
          </cell>
        </row>
        <row r="19">
          <cell r="B19" t="str">
            <v>BDI</v>
          </cell>
          <cell r="C19" t="str">
            <v>Employment to population ratio, 15+, total (%) (modeled ILO estimate)</v>
          </cell>
          <cell r="D19" t="str">
            <v>SL.EMP.TOTL.SP.ZS</v>
          </cell>
          <cell r="AJ19">
            <v>88.528999328613295</v>
          </cell>
          <cell r="AK19">
            <v>87.966003417968807</v>
          </cell>
          <cell r="AL19">
            <v>87.297996520996094</v>
          </cell>
          <cell r="AM19">
            <v>86.611000061035199</v>
          </cell>
          <cell r="AN19">
            <v>85.862998962402301</v>
          </cell>
          <cell r="AO19">
            <v>85.125</v>
          </cell>
          <cell r="AP19">
            <v>84.333999633789105</v>
          </cell>
          <cell r="AQ19">
            <v>83.462997436523395</v>
          </cell>
          <cell r="AR19">
            <v>82.726997375488295</v>
          </cell>
          <cell r="AS19">
            <v>81.992996215820298</v>
          </cell>
          <cell r="AT19">
            <v>81.320999145507798</v>
          </cell>
          <cell r="AU19">
            <v>80.628997802734403</v>
          </cell>
          <cell r="AV19">
            <v>79.998001098632798</v>
          </cell>
          <cell r="AW19">
            <v>79.446998596191406</v>
          </cell>
          <cell r="AX19">
            <v>78.964996337890597</v>
          </cell>
          <cell r="AY19">
            <v>78.582000732421903</v>
          </cell>
          <cell r="AZ19">
            <v>78.25</v>
          </cell>
          <cell r="BA19">
            <v>77.941001892089801</v>
          </cell>
          <cell r="BB19">
            <v>77.572998046875</v>
          </cell>
          <cell r="BC19">
            <v>77.371002197265597</v>
          </cell>
          <cell r="BD19">
            <v>77.239997863769503</v>
          </cell>
          <cell r="BE19">
            <v>77.150001525878906</v>
          </cell>
          <cell r="BF19">
            <v>77.073997497558594</v>
          </cell>
          <cell r="BG19">
            <v>77.003997802734403</v>
          </cell>
          <cell r="BH19">
            <v>77.374000549316406</v>
          </cell>
          <cell r="BI19">
            <v>77.666000366210895</v>
          </cell>
          <cell r="BJ19">
            <v>77.890998840332003</v>
          </cell>
          <cell r="BK19">
            <v>78.032997131347699</v>
          </cell>
        </row>
        <row r="20">
          <cell r="B20" t="str">
            <v>BEL</v>
          </cell>
          <cell r="C20" t="str">
            <v>Employment to population ratio, 15+, total (%) (modeled ILO estimate)</v>
          </cell>
          <cell r="D20" t="str">
            <v>SL.EMP.TOTL.SP.ZS</v>
          </cell>
          <cell r="AJ20">
            <v>45.693000793457003</v>
          </cell>
          <cell r="AK20">
            <v>46.0789985656738</v>
          </cell>
          <cell r="AL20">
            <v>45.501998901367202</v>
          </cell>
          <cell r="AM20">
            <v>45.284999847412102</v>
          </cell>
          <cell r="AN20">
            <v>45.692001342773402</v>
          </cell>
          <cell r="AO20">
            <v>45.549999237060497</v>
          </cell>
          <cell r="AP20">
            <v>45.896999359130902</v>
          </cell>
          <cell r="AQ20">
            <v>45.962001800537102</v>
          </cell>
          <cell r="AR20">
            <v>47.361000061035199</v>
          </cell>
          <cell r="AS20">
            <v>48.762001037597699</v>
          </cell>
          <cell r="AT20">
            <v>47.588001251220703</v>
          </cell>
          <cell r="AU20">
            <v>47.4210014343262</v>
          </cell>
          <cell r="AV20">
            <v>47.132999420166001</v>
          </cell>
          <cell r="AW20">
            <v>47.950000762939503</v>
          </cell>
          <cell r="AX20">
            <v>48.682998657226598</v>
          </cell>
          <cell r="AY20">
            <v>48.632999420166001</v>
          </cell>
          <cell r="AZ20">
            <v>49.577999114990199</v>
          </cell>
          <cell r="BA20">
            <v>49.861000061035199</v>
          </cell>
          <cell r="BB20">
            <v>49.161998748779297</v>
          </cell>
          <cell r="BC20">
            <v>49.493000030517599</v>
          </cell>
          <cell r="BD20">
            <v>49.283000946044901</v>
          </cell>
          <cell r="BE20">
            <v>49.1310005187988</v>
          </cell>
          <cell r="BF20">
            <v>48.986000061035199</v>
          </cell>
          <cell r="BG20">
            <v>48.986000061035199</v>
          </cell>
          <cell r="BH20">
            <v>48.911998748779297</v>
          </cell>
          <cell r="BI20">
            <v>49.063999176025398</v>
          </cell>
          <cell r="BJ20">
            <v>49.595001220703097</v>
          </cell>
          <cell r="BK20">
            <v>50.5060005187988</v>
          </cell>
        </row>
        <row r="21">
          <cell r="B21" t="str">
            <v>BEN</v>
          </cell>
          <cell r="C21" t="str">
            <v>Employment to population ratio, 15+, total (%) (modeled ILO estimate)</v>
          </cell>
          <cell r="D21" t="str">
            <v>SL.EMP.TOTL.SP.ZS</v>
          </cell>
          <cell r="AJ21">
            <v>71.388000488281307</v>
          </cell>
          <cell r="AK21">
            <v>71.388999938964801</v>
          </cell>
          <cell r="AL21">
            <v>71.512001037597699</v>
          </cell>
          <cell r="AM21">
            <v>71.638000488281307</v>
          </cell>
          <cell r="AN21">
            <v>71.738998413085895</v>
          </cell>
          <cell r="AO21">
            <v>71.781997680664105</v>
          </cell>
          <cell r="AP21">
            <v>71.7969970703125</v>
          </cell>
          <cell r="AQ21">
            <v>71.773002624511705</v>
          </cell>
          <cell r="AR21">
            <v>71.7030029296875</v>
          </cell>
          <cell r="AS21">
            <v>71.615997314453097</v>
          </cell>
          <cell r="AT21">
            <v>71.490997314453097</v>
          </cell>
          <cell r="AU21">
            <v>71.323997497558594</v>
          </cell>
          <cell r="AV21">
            <v>71.351997375488295</v>
          </cell>
          <cell r="AW21">
            <v>71.337997436523395</v>
          </cell>
          <cell r="AX21">
            <v>71.281997680664105</v>
          </cell>
          <cell r="AY21">
            <v>71.183998107910199</v>
          </cell>
          <cell r="AZ21">
            <v>71.041000366210895</v>
          </cell>
          <cell r="BA21">
            <v>70.849998474121094</v>
          </cell>
          <cell r="BB21">
            <v>70.564002990722699</v>
          </cell>
          <cell r="BC21">
            <v>70.305999755859403</v>
          </cell>
          <cell r="BD21">
            <v>68.988998413085895</v>
          </cell>
          <cell r="BE21">
            <v>68.967002868652301</v>
          </cell>
          <cell r="BF21">
            <v>68.917999267578097</v>
          </cell>
          <cell r="BG21">
            <v>68.927001953125</v>
          </cell>
          <cell r="BH21">
            <v>68.963996887207003</v>
          </cell>
          <cell r="BI21">
            <v>69.005996704101605</v>
          </cell>
          <cell r="BJ21">
            <v>69.055000305175795</v>
          </cell>
          <cell r="BK21">
            <v>69.087997436523395</v>
          </cell>
        </row>
        <row r="22">
          <cell r="B22" t="str">
            <v>BFA</v>
          </cell>
          <cell r="C22" t="str">
            <v>Employment to population ratio, 15+, total (%) (modeled ILO estimate)</v>
          </cell>
          <cell r="D22" t="str">
            <v>SL.EMP.TOTL.SP.ZS</v>
          </cell>
          <cell r="AJ22">
            <v>81.093002319335895</v>
          </cell>
          <cell r="AK22">
            <v>80.558998107910199</v>
          </cell>
          <cell r="AL22">
            <v>79.975997924804702</v>
          </cell>
          <cell r="AM22">
            <v>79.416000366210895</v>
          </cell>
          <cell r="AN22">
            <v>78.862998962402301</v>
          </cell>
          <cell r="AO22">
            <v>78.282997131347699</v>
          </cell>
          <cell r="AP22">
            <v>77.706001281738295</v>
          </cell>
          <cell r="AQ22">
            <v>77.107002258300795</v>
          </cell>
          <cell r="AR22">
            <v>76.397003173828097</v>
          </cell>
          <cell r="AS22">
            <v>75.713996887207003</v>
          </cell>
          <cell r="AT22">
            <v>75.004997253417997</v>
          </cell>
          <cell r="AU22">
            <v>74.262001037597699</v>
          </cell>
          <cell r="AV22">
            <v>73.521003723144503</v>
          </cell>
          <cell r="AW22">
            <v>72.373001098632798</v>
          </cell>
          <cell r="AX22">
            <v>71.184997558593807</v>
          </cell>
          <cell r="AY22">
            <v>70.722000122070298</v>
          </cell>
          <cell r="AZ22">
            <v>70.2969970703125</v>
          </cell>
          <cell r="BA22">
            <v>69.369003295898395</v>
          </cell>
          <cell r="BB22">
            <v>68.170997619628906</v>
          </cell>
          <cell r="BC22">
            <v>67.058998107910199</v>
          </cell>
          <cell r="BD22">
            <v>65.947998046875</v>
          </cell>
          <cell r="BE22">
            <v>64.780998229980497</v>
          </cell>
          <cell r="BF22">
            <v>63.560001373291001</v>
          </cell>
          <cell r="BG22">
            <v>62.363998413085902</v>
          </cell>
          <cell r="BH22">
            <v>62.397998809814503</v>
          </cell>
          <cell r="BI22">
            <v>62.424999237060497</v>
          </cell>
          <cell r="BJ22">
            <v>62.476001739502003</v>
          </cell>
          <cell r="BK22">
            <v>62.509998321533203</v>
          </cell>
        </row>
        <row r="23">
          <cell r="B23" t="str">
            <v>BGD</v>
          </cell>
          <cell r="C23" t="str">
            <v>Employment to population ratio, 15+, total (%) (modeled ILO estimate)</v>
          </cell>
          <cell r="D23" t="str">
            <v>SL.EMP.TOTL.SP.ZS</v>
          </cell>
          <cell r="AJ23">
            <v>56.4799995422363</v>
          </cell>
          <cell r="AK23">
            <v>56.429000854492202</v>
          </cell>
          <cell r="AL23">
            <v>56.386001586914098</v>
          </cell>
          <cell r="AM23">
            <v>56.389999389648402</v>
          </cell>
          <cell r="AN23">
            <v>56.418998718261697</v>
          </cell>
          <cell r="AO23">
            <v>56.339000701904297</v>
          </cell>
          <cell r="AP23">
            <v>56.2179985046387</v>
          </cell>
          <cell r="AQ23">
            <v>56.106998443603501</v>
          </cell>
          <cell r="AR23">
            <v>55.9739990234375</v>
          </cell>
          <cell r="AS23">
            <v>55.854000091552699</v>
          </cell>
          <cell r="AT23">
            <v>55.622001647949197</v>
          </cell>
          <cell r="AU23">
            <v>55.362998962402301</v>
          </cell>
          <cell r="AV23">
            <v>55.118000030517599</v>
          </cell>
          <cell r="AW23">
            <v>55.084999084472699</v>
          </cell>
          <cell r="AX23">
            <v>55.049999237060497</v>
          </cell>
          <cell r="AY23">
            <v>55.277000427246101</v>
          </cell>
          <cell r="AZ23">
            <v>54.999000549316399</v>
          </cell>
          <cell r="BA23">
            <v>54.676998138427699</v>
          </cell>
          <cell r="BB23">
            <v>54.160999298095703</v>
          </cell>
          <cell r="BC23">
            <v>54.9939994812012</v>
          </cell>
          <cell r="BD23">
            <v>54.740001678466797</v>
          </cell>
          <cell r="BE23">
            <v>54.483001708984403</v>
          </cell>
          <cell r="BF23">
            <v>54.222999572753899</v>
          </cell>
          <cell r="BG23">
            <v>54.196998596191399</v>
          </cell>
          <cell r="BH23">
            <v>54.165000915527301</v>
          </cell>
          <cell r="BI23">
            <v>54.133998870849602</v>
          </cell>
          <cell r="BJ23">
            <v>56.285999298095703</v>
          </cell>
          <cell r="BK23">
            <v>56.448001861572301</v>
          </cell>
        </row>
        <row r="24">
          <cell r="B24" t="str">
            <v>BGR</v>
          </cell>
          <cell r="C24" t="str">
            <v>Employment to population ratio, 15+, total (%) (modeled ILO estimate)</v>
          </cell>
          <cell r="D24" t="str">
            <v>SL.EMP.TOTL.SP.ZS</v>
          </cell>
          <cell r="AJ24">
            <v>50.125</v>
          </cell>
          <cell r="AK24">
            <v>49.984001159667997</v>
          </cell>
          <cell r="AL24">
            <v>49.073001861572301</v>
          </cell>
          <cell r="AM24">
            <v>48.2299995422363</v>
          </cell>
          <cell r="AN24">
            <v>47.3880004882813</v>
          </cell>
          <cell r="AO24">
            <v>46.557998657226598</v>
          </cell>
          <cell r="AP24">
            <v>45.751998901367202</v>
          </cell>
          <cell r="AQ24">
            <v>45.691001892089801</v>
          </cell>
          <cell r="AR24">
            <v>43.808998107910199</v>
          </cell>
          <cell r="AS24">
            <v>41.787998199462898</v>
          </cell>
          <cell r="AT24">
            <v>41.355998992919901</v>
          </cell>
          <cell r="AU24">
            <v>41.896999359130902</v>
          </cell>
          <cell r="AV24">
            <v>43.369998931884801</v>
          </cell>
          <cell r="AW24">
            <v>44.923000335693402</v>
          </cell>
          <cell r="AX24">
            <v>45.2960014343262</v>
          </cell>
          <cell r="AY24">
            <v>47.637001037597699</v>
          </cell>
          <cell r="AZ24">
            <v>50.090000152587898</v>
          </cell>
          <cell r="BA24">
            <v>52.0320014953613</v>
          </cell>
          <cell r="BB24">
            <v>50.622001647949197</v>
          </cell>
          <cell r="BC24">
            <v>47.9140014648438</v>
          </cell>
          <cell r="BD24">
            <v>46.615001678466797</v>
          </cell>
          <cell r="BE24">
            <v>46.558998107910199</v>
          </cell>
          <cell r="BF24">
            <v>46.889999389648402</v>
          </cell>
          <cell r="BG24">
            <v>47.963001251220703</v>
          </cell>
          <cell r="BH24">
            <v>49.2239990234375</v>
          </cell>
          <cell r="BI24">
            <v>49.402000427246101</v>
          </cell>
          <cell r="BJ24">
            <v>52.036998748779297</v>
          </cell>
          <cell r="BK24">
            <v>52.571998596191399</v>
          </cell>
        </row>
        <row r="25">
          <cell r="B25" t="str">
            <v>BHR</v>
          </cell>
          <cell r="C25" t="str">
            <v>Employment to population ratio, 15+, total (%) (modeled ILO estimate)</v>
          </cell>
          <cell r="D25" t="str">
            <v>SL.EMP.TOTL.SP.ZS</v>
          </cell>
          <cell r="AJ25">
            <v>63.838001251220703</v>
          </cell>
          <cell r="AK25">
            <v>63.952999114990199</v>
          </cell>
          <cell r="AL25">
            <v>63.904998779296903</v>
          </cell>
          <cell r="AM25">
            <v>64.315002441406307</v>
          </cell>
          <cell r="AN25">
            <v>64.605003356933594</v>
          </cell>
          <cell r="AO25">
            <v>64.363998413085895</v>
          </cell>
          <cell r="AP25">
            <v>64.250999450683594</v>
          </cell>
          <cell r="AQ25">
            <v>64.222000122070298</v>
          </cell>
          <cell r="AR25">
            <v>64.210998535156307</v>
          </cell>
          <cell r="AS25">
            <v>64.823997497558594</v>
          </cell>
          <cell r="AT25">
            <v>64.884002685546903</v>
          </cell>
          <cell r="AU25">
            <v>65.334999084472699</v>
          </cell>
          <cell r="AV25">
            <v>65.943000793457003</v>
          </cell>
          <cell r="AW25">
            <v>66.761001586914105</v>
          </cell>
          <cell r="AX25">
            <v>67.929000854492202</v>
          </cell>
          <cell r="AY25">
            <v>68.475997924804702</v>
          </cell>
          <cell r="AZ25">
            <v>69.277000427246094</v>
          </cell>
          <cell r="BA25">
            <v>70.127998352050795</v>
          </cell>
          <cell r="BB25">
            <v>70.656997680664105</v>
          </cell>
          <cell r="BC25">
            <v>71.403999328613295</v>
          </cell>
          <cell r="BD25">
            <v>70.500999450683594</v>
          </cell>
          <cell r="BE25">
            <v>70.621002197265597</v>
          </cell>
          <cell r="BF25">
            <v>70.547996520996094</v>
          </cell>
          <cell r="BG25">
            <v>70.717002868652301</v>
          </cell>
          <cell r="BH25">
            <v>70.832000732421903</v>
          </cell>
          <cell r="BI25">
            <v>71.388999938964801</v>
          </cell>
          <cell r="BJ25">
            <v>72.084999084472699</v>
          </cell>
          <cell r="BK25">
            <v>72.6719970703125</v>
          </cell>
        </row>
        <row r="26">
          <cell r="B26" t="str">
            <v>BHS</v>
          </cell>
          <cell r="C26" t="str">
            <v>Employment to population ratio, 15+, total (%) (modeled ILO estimate)</v>
          </cell>
          <cell r="D26" t="str">
            <v>SL.EMP.TOTL.SP.ZS</v>
          </cell>
          <cell r="AJ26">
            <v>63.978000640869098</v>
          </cell>
          <cell r="AK26">
            <v>62.7369995117188</v>
          </cell>
          <cell r="AL26">
            <v>64.938003540039105</v>
          </cell>
          <cell r="AM26">
            <v>64.666000366210895</v>
          </cell>
          <cell r="AN26">
            <v>66.977996826171903</v>
          </cell>
          <cell r="AO26">
            <v>66.472999572753906</v>
          </cell>
          <cell r="AP26">
            <v>67.628997802734403</v>
          </cell>
          <cell r="AQ26">
            <v>69.097999572753906</v>
          </cell>
          <cell r="AR26">
            <v>69.179000854492202</v>
          </cell>
          <cell r="AS26">
            <v>69.4530029296875</v>
          </cell>
          <cell r="AT26">
            <v>69.637001037597699</v>
          </cell>
          <cell r="AU26">
            <v>68.105003356933594</v>
          </cell>
          <cell r="AV26">
            <v>66.712997436523395</v>
          </cell>
          <cell r="AW26">
            <v>67.101997375488295</v>
          </cell>
          <cell r="AX26">
            <v>67.035003662109403</v>
          </cell>
          <cell r="AY26">
            <v>69.134002685546903</v>
          </cell>
          <cell r="AZ26">
            <v>68.949996948242202</v>
          </cell>
          <cell r="BA26">
            <v>68.665000915527301</v>
          </cell>
          <cell r="BB26">
            <v>63.987998962402301</v>
          </cell>
          <cell r="BC26">
            <v>63.5130004882813</v>
          </cell>
          <cell r="BD26">
            <v>63.7039985656738</v>
          </cell>
          <cell r="BE26">
            <v>64.138999938964801</v>
          </cell>
          <cell r="BF26">
            <v>62.571998596191399</v>
          </cell>
          <cell r="BG26">
            <v>64.397003173828097</v>
          </cell>
          <cell r="BH26">
            <v>65.779998779296903</v>
          </cell>
          <cell r="BI26">
            <v>65.207000732421903</v>
          </cell>
          <cell r="BJ26">
            <v>67.346000671386705</v>
          </cell>
          <cell r="BK26">
            <v>67.158996582031307</v>
          </cell>
        </row>
        <row r="27">
          <cell r="B27" t="str">
            <v>BIH</v>
          </cell>
          <cell r="C27" t="str">
            <v>Employment to population ratio, 15+, total (%) (modeled ILO estimate)</v>
          </cell>
          <cell r="D27" t="str">
            <v>SL.EMP.TOTL.SP.ZS</v>
          </cell>
          <cell r="AJ27">
            <v>38.601001739502003</v>
          </cell>
          <cell r="AK27">
            <v>38.002998352050803</v>
          </cell>
          <cell r="AL27">
            <v>37.319999694824197</v>
          </cell>
          <cell r="AM27">
            <v>36.668998718261697</v>
          </cell>
          <cell r="AN27">
            <v>36.006999969482401</v>
          </cell>
          <cell r="AO27">
            <v>35.459999084472699</v>
          </cell>
          <cell r="AP27">
            <v>34.945999145507798</v>
          </cell>
          <cell r="AQ27">
            <v>34.425998687744098</v>
          </cell>
          <cell r="AR27">
            <v>33.856998443603501</v>
          </cell>
          <cell r="AS27">
            <v>33.351001739502003</v>
          </cell>
          <cell r="AT27">
            <v>32.807998657226598</v>
          </cell>
          <cell r="AU27">
            <v>32.209999084472699</v>
          </cell>
          <cell r="AV27">
            <v>31.666999816894499</v>
          </cell>
          <cell r="AW27">
            <v>31.205999374389599</v>
          </cell>
          <cell r="AX27">
            <v>30.6340007781982</v>
          </cell>
          <cell r="AY27">
            <v>30.236000061035199</v>
          </cell>
          <cell r="AZ27">
            <v>31.635999679565401</v>
          </cell>
          <cell r="BA27">
            <v>34.719001770019503</v>
          </cell>
          <cell r="BB27">
            <v>34.393001556396499</v>
          </cell>
          <cell r="BC27">
            <v>33.391998291015597</v>
          </cell>
          <cell r="BD27">
            <v>33.088001251220703</v>
          </cell>
          <cell r="BE27">
            <v>33.226001739502003</v>
          </cell>
          <cell r="BF27">
            <v>33.817001342773402</v>
          </cell>
          <cell r="BG27">
            <v>34.069000244140597</v>
          </cell>
          <cell r="BH27">
            <v>33.930000305175803</v>
          </cell>
          <cell r="BI27">
            <v>34.881999969482401</v>
          </cell>
          <cell r="BJ27">
            <v>36.985000610351598</v>
          </cell>
          <cell r="BK27">
            <v>38.009998321533203</v>
          </cell>
        </row>
        <row r="28">
          <cell r="B28" t="str">
            <v>BLR</v>
          </cell>
          <cell r="C28" t="str">
            <v>Employment to population ratio, 15+, total (%) (modeled ILO estimate)</v>
          </cell>
          <cell r="D28" t="str">
            <v>SL.EMP.TOTL.SP.ZS</v>
          </cell>
          <cell r="AJ28">
            <v>59.2239990234375</v>
          </cell>
          <cell r="AK28">
            <v>57.511001586914098</v>
          </cell>
          <cell r="AL28">
            <v>54.150001525878899</v>
          </cell>
          <cell r="AM28">
            <v>51.537998199462898</v>
          </cell>
          <cell r="AN28">
            <v>48.6380004882813</v>
          </cell>
          <cell r="AO28">
            <v>44.588001251220703</v>
          </cell>
          <cell r="AP28">
            <v>48.771999359130902</v>
          </cell>
          <cell r="AQ28">
            <v>50.540000915527301</v>
          </cell>
          <cell r="AR28">
            <v>51.250999450683601</v>
          </cell>
          <cell r="AS28">
            <v>52.001998901367202</v>
          </cell>
          <cell r="AT28">
            <v>52.712001800537102</v>
          </cell>
          <cell r="AU28">
            <v>53.379001617431598</v>
          </cell>
          <cell r="AV28">
            <v>54.103000640869098</v>
          </cell>
          <cell r="AW28">
            <v>54.8880004882813</v>
          </cell>
          <cell r="AX28">
            <v>55.721000671386697</v>
          </cell>
          <cell r="AY28">
            <v>56.5200004577637</v>
          </cell>
          <cell r="AZ28">
            <v>57.349998474121101</v>
          </cell>
          <cell r="BA28">
            <v>58.152000427246101</v>
          </cell>
          <cell r="BB28">
            <v>58.778999328613303</v>
          </cell>
          <cell r="BC28">
            <v>59.162998199462898</v>
          </cell>
          <cell r="BD28">
            <v>59.5</v>
          </cell>
          <cell r="BE28">
            <v>59.798000335693402</v>
          </cell>
          <cell r="BF28">
            <v>60.049999237060497</v>
          </cell>
          <cell r="BG28">
            <v>60.2890014648438</v>
          </cell>
          <cell r="BH28">
            <v>60.4609985351563</v>
          </cell>
          <cell r="BI28">
            <v>60.617000579833999</v>
          </cell>
          <cell r="BJ28">
            <v>60.786998748779297</v>
          </cell>
          <cell r="BK28">
            <v>61.455001831054702</v>
          </cell>
        </row>
        <row r="29">
          <cell r="B29" t="str">
            <v>BLZ</v>
          </cell>
          <cell r="C29" t="str">
            <v>Employment to population ratio, 15+, total (%) (modeled ILO estimate)</v>
          </cell>
          <cell r="D29" t="str">
            <v>SL.EMP.TOTL.SP.ZS</v>
          </cell>
          <cell r="AJ29">
            <v>52.963001251220703</v>
          </cell>
          <cell r="AK29">
            <v>53.040000915527301</v>
          </cell>
          <cell r="AL29">
            <v>52.9609985351563</v>
          </cell>
          <cell r="AM29">
            <v>52.055999755859403</v>
          </cell>
          <cell r="AN29">
            <v>51.415000915527301</v>
          </cell>
          <cell r="AO29">
            <v>50.873001098632798</v>
          </cell>
          <cell r="AP29">
            <v>51.931999206542997</v>
          </cell>
          <cell r="AQ29">
            <v>51.375</v>
          </cell>
          <cell r="AR29">
            <v>52.722999572753899</v>
          </cell>
          <cell r="AS29">
            <v>54.443000793457003</v>
          </cell>
          <cell r="AT29">
            <v>56.033000946044901</v>
          </cell>
          <cell r="AU29">
            <v>55.951999664306598</v>
          </cell>
          <cell r="AV29">
            <v>56.268001556396499</v>
          </cell>
          <cell r="AW29">
            <v>56.609001159667997</v>
          </cell>
          <cell r="AX29">
            <v>56.936000823974602</v>
          </cell>
          <cell r="AY29">
            <v>57.837001800537102</v>
          </cell>
          <cell r="AZ29">
            <v>58.2960014343262</v>
          </cell>
          <cell r="BA29">
            <v>58.387001037597699</v>
          </cell>
          <cell r="BB29">
            <v>58.081001281738303</v>
          </cell>
          <cell r="BC29">
            <v>57.938999176025398</v>
          </cell>
          <cell r="BD29">
            <v>57.958000183105497</v>
          </cell>
          <cell r="BE29">
            <v>57.984001159667997</v>
          </cell>
          <cell r="BF29">
            <v>58.020999908447301</v>
          </cell>
          <cell r="BG29">
            <v>58.556999206542997</v>
          </cell>
          <cell r="BH29">
            <v>59.162998199462898</v>
          </cell>
          <cell r="BI29">
            <v>60.476001739502003</v>
          </cell>
          <cell r="BJ29">
            <v>60.561000823974602</v>
          </cell>
          <cell r="BK29">
            <v>60.7369995117188</v>
          </cell>
        </row>
        <row r="30">
          <cell r="B30" t="str">
            <v>BMU</v>
          </cell>
          <cell r="C30" t="str">
            <v>Employment to population ratio, 15+, total (%) (modeled ILO estimate)</v>
          </cell>
          <cell r="D30" t="str">
            <v>SL.EMP.TOTL.SP.ZS</v>
          </cell>
        </row>
        <row r="31">
          <cell r="B31" t="str">
            <v>BOL</v>
          </cell>
          <cell r="C31" t="str">
            <v>Employment to population ratio, 15+, total (%) (modeled ILO estimate)</v>
          </cell>
          <cell r="D31" t="str">
            <v>SL.EMP.TOTL.SP.ZS</v>
          </cell>
          <cell r="AJ31">
            <v>67.749000549316406</v>
          </cell>
          <cell r="AK31">
            <v>67.669998168945298</v>
          </cell>
          <cell r="AL31">
            <v>67.780998229980497</v>
          </cell>
          <cell r="AM31">
            <v>67.986000061035199</v>
          </cell>
          <cell r="AN31">
            <v>68.217002868652301</v>
          </cell>
          <cell r="AO31">
            <v>68.388999938964801</v>
          </cell>
          <cell r="AP31">
            <v>68.634002685546903</v>
          </cell>
          <cell r="AQ31">
            <v>68.725997924804702</v>
          </cell>
          <cell r="AR31">
            <v>68.720001220703097</v>
          </cell>
          <cell r="AS31">
            <v>68.745002746582003</v>
          </cell>
          <cell r="AT31">
            <v>69.137001037597699</v>
          </cell>
          <cell r="AU31">
            <v>69.482002258300795</v>
          </cell>
          <cell r="AV31">
            <v>69.845001220703097</v>
          </cell>
          <cell r="AW31">
            <v>70.228996276855497</v>
          </cell>
          <cell r="AX31">
            <v>70.607002258300795</v>
          </cell>
          <cell r="AY31">
            <v>71.023002624511705</v>
          </cell>
          <cell r="AZ31">
            <v>69.986999511718807</v>
          </cell>
          <cell r="BA31">
            <v>70.307998657226605</v>
          </cell>
          <cell r="BB31">
            <v>70.047996520996094</v>
          </cell>
          <cell r="BC31">
            <v>70.172996520996094</v>
          </cell>
          <cell r="BD31">
            <v>70.246002197265597</v>
          </cell>
          <cell r="BE31">
            <v>67.515998840332003</v>
          </cell>
          <cell r="BF31">
            <v>67.640998840332003</v>
          </cell>
          <cell r="BG31">
            <v>69.844001770019503</v>
          </cell>
          <cell r="BH31">
            <v>64.987998962402301</v>
          </cell>
          <cell r="BI31">
            <v>65.322998046875</v>
          </cell>
          <cell r="BJ31">
            <v>66.539001464843807</v>
          </cell>
          <cell r="BK31">
            <v>69.425003051757798</v>
          </cell>
        </row>
        <row r="32">
          <cell r="B32" t="str">
            <v>BRA</v>
          </cell>
          <cell r="C32" t="str">
            <v>Employment to population ratio, 15+, total (%) (modeled ILO estimate)</v>
          </cell>
          <cell r="D32" t="str">
            <v>SL.EMP.TOTL.SP.ZS</v>
          </cell>
          <cell r="AJ32">
            <v>58.117000579833999</v>
          </cell>
          <cell r="AK32">
            <v>58.492000579833999</v>
          </cell>
          <cell r="AL32">
            <v>59.137001037597699</v>
          </cell>
          <cell r="AM32">
            <v>59.408000946044901</v>
          </cell>
          <cell r="AN32">
            <v>59.678001403808601</v>
          </cell>
          <cell r="AO32">
            <v>57.881999969482401</v>
          </cell>
          <cell r="AP32">
            <v>57.931999206542997</v>
          </cell>
          <cell r="AQ32">
            <v>57.319000244140597</v>
          </cell>
          <cell r="AR32">
            <v>57.3429985046387</v>
          </cell>
          <cell r="AS32">
            <v>57.752998352050803</v>
          </cell>
          <cell r="AT32">
            <v>58.147998809814503</v>
          </cell>
          <cell r="AU32">
            <v>58.935001373291001</v>
          </cell>
          <cell r="AV32">
            <v>58.548999786377003</v>
          </cell>
          <cell r="AW32">
            <v>59.751998901367202</v>
          </cell>
          <cell r="AX32">
            <v>60.014999389648402</v>
          </cell>
          <cell r="AY32">
            <v>60.264999389648402</v>
          </cell>
          <cell r="AZ32">
            <v>60.183998107910199</v>
          </cell>
          <cell r="BA32">
            <v>60.819000244140597</v>
          </cell>
          <cell r="BB32">
            <v>60.240001678466797</v>
          </cell>
          <cell r="BC32">
            <v>59.719001770019503</v>
          </cell>
          <cell r="BD32">
            <v>59.187000274658203</v>
          </cell>
          <cell r="BE32">
            <v>59.666999816894503</v>
          </cell>
          <cell r="BF32">
            <v>59.694999694824197</v>
          </cell>
          <cell r="BG32">
            <v>59.640998840332003</v>
          </cell>
          <cell r="BH32">
            <v>58.652000427246101</v>
          </cell>
          <cell r="BI32">
            <v>56.3880004882813</v>
          </cell>
          <cell r="BJ32">
            <v>55.841999053955099</v>
          </cell>
          <cell r="BK32">
            <v>56.150001525878899</v>
          </cell>
        </row>
        <row r="33">
          <cell r="B33" t="str">
            <v>BRB</v>
          </cell>
          <cell r="C33" t="str">
            <v>Employment to population ratio, 15+, total (%) (modeled ILO estimate)</v>
          </cell>
          <cell r="D33" t="str">
            <v>SL.EMP.TOTL.SP.ZS</v>
          </cell>
          <cell r="AJ33">
            <v>53.268001556396499</v>
          </cell>
          <cell r="AK33">
            <v>52.576999664306598</v>
          </cell>
          <cell r="AL33">
            <v>51.944999694824197</v>
          </cell>
          <cell r="AM33">
            <v>53.383998870849602</v>
          </cell>
          <cell r="AN33">
            <v>56.222000122070298</v>
          </cell>
          <cell r="AO33">
            <v>58.988998413085902</v>
          </cell>
          <cell r="AP33">
            <v>58.977001190185497</v>
          </cell>
          <cell r="AQ33">
            <v>60.312000274658203</v>
          </cell>
          <cell r="AR33">
            <v>61.323001861572301</v>
          </cell>
          <cell r="AS33">
            <v>61.949001312255902</v>
          </cell>
          <cell r="AT33">
            <v>61.6189994812012</v>
          </cell>
          <cell r="AU33">
            <v>61.321998596191399</v>
          </cell>
          <cell r="AV33">
            <v>60.887001037597699</v>
          </cell>
          <cell r="AW33">
            <v>62.408000946044901</v>
          </cell>
          <cell r="AX33">
            <v>62.630001068115199</v>
          </cell>
          <cell r="AY33">
            <v>62.686000823974602</v>
          </cell>
          <cell r="AZ33">
            <v>63.368000030517599</v>
          </cell>
          <cell r="BA33">
            <v>62.6189994812012</v>
          </cell>
          <cell r="BB33">
            <v>61.0320014953613</v>
          </cell>
          <cell r="BC33">
            <v>60.1640014648438</v>
          </cell>
          <cell r="BD33">
            <v>59.736000061035199</v>
          </cell>
          <cell r="BE33">
            <v>58.513999938964801</v>
          </cell>
          <cell r="BF33">
            <v>59.173000335693402</v>
          </cell>
          <cell r="BG33">
            <v>56.945999145507798</v>
          </cell>
          <cell r="BH33">
            <v>57.929000854492202</v>
          </cell>
          <cell r="BI33">
            <v>59.625999450683601</v>
          </cell>
          <cell r="BJ33">
            <v>59.395999908447301</v>
          </cell>
          <cell r="BK33">
            <v>59.4010009765625</v>
          </cell>
        </row>
        <row r="34">
          <cell r="B34" t="str">
            <v>BRN</v>
          </cell>
          <cell r="C34" t="str">
            <v>Employment to population ratio, 15+, total (%) (modeled ILO estimate)</v>
          </cell>
          <cell r="D34" t="str">
            <v>SL.EMP.TOTL.SP.ZS</v>
          </cell>
          <cell r="AJ34">
            <v>62.132999420166001</v>
          </cell>
          <cell r="AK34">
            <v>62.143001556396499</v>
          </cell>
          <cell r="AL34">
            <v>62.122001647949197</v>
          </cell>
          <cell r="AM34">
            <v>62.286998748779297</v>
          </cell>
          <cell r="AN34">
            <v>62.575000762939503</v>
          </cell>
          <cell r="AO34">
            <v>62.747001647949197</v>
          </cell>
          <cell r="AP34">
            <v>63.006999969482401</v>
          </cell>
          <cell r="AQ34">
            <v>63.277999877929702</v>
          </cell>
          <cell r="AR34">
            <v>63.616001129150398</v>
          </cell>
          <cell r="AS34">
            <v>64.152999877929702</v>
          </cell>
          <cell r="AT34">
            <v>63.861000061035199</v>
          </cell>
          <cell r="AU34">
            <v>63.4010009765625</v>
          </cell>
          <cell r="AV34">
            <v>63.162998199462898</v>
          </cell>
          <cell r="AW34">
            <v>63.189998626708999</v>
          </cell>
          <cell r="AX34">
            <v>63.308998107910199</v>
          </cell>
          <cell r="AY34">
            <v>63.206001281738303</v>
          </cell>
          <cell r="AZ34">
            <v>63.126998901367202</v>
          </cell>
          <cell r="BA34">
            <v>62.986000061035199</v>
          </cell>
          <cell r="BB34">
            <v>62.123001098632798</v>
          </cell>
          <cell r="BC34">
            <v>61.949001312255902</v>
          </cell>
          <cell r="BD34">
            <v>61.978000640869098</v>
          </cell>
          <cell r="BE34">
            <v>61.7630004882813</v>
          </cell>
          <cell r="BF34">
            <v>61.490001678466797</v>
          </cell>
          <cell r="BG34">
            <v>61.443000793457003</v>
          </cell>
          <cell r="BH34">
            <v>60.654998779296903</v>
          </cell>
          <cell r="BI34">
            <v>59.952999114990199</v>
          </cell>
          <cell r="BJ34">
            <v>59.3619995117188</v>
          </cell>
          <cell r="BK34">
            <v>59.186000823974602</v>
          </cell>
        </row>
        <row r="35">
          <cell r="B35" t="str">
            <v>BTN</v>
          </cell>
          <cell r="C35" t="str">
            <v>Employment to population ratio, 15+, total (%) (modeled ILO estimate)</v>
          </cell>
          <cell r="D35" t="str">
            <v>SL.EMP.TOTL.SP.ZS</v>
          </cell>
          <cell r="AJ35">
            <v>69.305000305175795</v>
          </cell>
          <cell r="AK35">
            <v>68.860000610351605</v>
          </cell>
          <cell r="AL35">
            <v>68.388000488281307</v>
          </cell>
          <cell r="AM35">
            <v>67.9219970703125</v>
          </cell>
          <cell r="AN35">
            <v>67.448997497558594</v>
          </cell>
          <cell r="AO35">
            <v>67.406997680664105</v>
          </cell>
          <cell r="AP35">
            <v>67.448997497558594</v>
          </cell>
          <cell r="AQ35">
            <v>67.556999206542997</v>
          </cell>
          <cell r="AR35">
            <v>67.727996826171903</v>
          </cell>
          <cell r="AS35">
            <v>67.793998718261705</v>
          </cell>
          <cell r="AT35">
            <v>67.891998291015597</v>
          </cell>
          <cell r="AU35">
            <v>68.254997253417997</v>
          </cell>
          <cell r="AV35">
            <v>68.664001464843807</v>
          </cell>
          <cell r="AW35">
            <v>68.531997680664105</v>
          </cell>
          <cell r="AX35">
            <v>68.420997619628906</v>
          </cell>
          <cell r="AY35">
            <v>68.3489990234375</v>
          </cell>
          <cell r="AZ35">
            <v>67.892997741699205</v>
          </cell>
          <cell r="BA35">
            <v>67.869003295898395</v>
          </cell>
          <cell r="BB35">
            <v>67.623001098632798</v>
          </cell>
          <cell r="BC35">
            <v>66.018997192382798</v>
          </cell>
          <cell r="BD35">
            <v>64.202003479003906</v>
          </cell>
          <cell r="BE35">
            <v>62.471000671386697</v>
          </cell>
          <cell r="BF35">
            <v>62.424999237060497</v>
          </cell>
          <cell r="BG35">
            <v>60.957000732421903</v>
          </cell>
          <cell r="BH35">
            <v>64.302001953125</v>
          </cell>
          <cell r="BI35">
            <v>64.501998901367202</v>
          </cell>
          <cell r="BJ35">
            <v>64.709999084472699</v>
          </cell>
          <cell r="BK35">
            <v>64.894996643066406</v>
          </cell>
        </row>
        <row r="36">
          <cell r="B36" t="str">
            <v>BWA</v>
          </cell>
          <cell r="C36" t="str">
            <v>Employment to population ratio, 15+, total (%) (modeled ILO estimate)</v>
          </cell>
          <cell r="D36" t="str">
            <v>SL.EMP.TOTL.SP.ZS</v>
          </cell>
          <cell r="AJ36">
            <v>52.106998443603501</v>
          </cell>
          <cell r="AK36">
            <v>50.7109985351563</v>
          </cell>
          <cell r="AL36">
            <v>49.166000366210902</v>
          </cell>
          <cell r="AM36">
            <v>47.571998596191399</v>
          </cell>
          <cell r="AN36">
            <v>47.382999420166001</v>
          </cell>
          <cell r="AO36">
            <v>47.215000152587898</v>
          </cell>
          <cell r="AP36">
            <v>47.341999053955099</v>
          </cell>
          <cell r="AQ36">
            <v>47.5320014953613</v>
          </cell>
          <cell r="AR36">
            <v>48.3880004882813</v>
          </cell>
          <cell r="AS36">
            <v>49.129001617431598</v>
          </cell>
          <cell r="AT36">
            <v>48.220001220703097</v>
          </cell>
          <cell r="AU36">
            <v>47.333999633789098</v>
          </cell>
          <cell r="AV36">
            <v>46.372001647949197</v>
          </cell>
          <cell r="AW36">
            <v>48.2560005187988</v>
          </cell>
          <cell r="AX36">
            <v>50.113998413085902</v>
          </cell>
          <cell r="AY36">
            <v>52.027999877929702</v>
          </cell>
          <cell r="AZ36">
            <v>52.455001831054702</v>
          </cell>
          <cell r="BA36">
            <v>52.777000427246101</v>
          </cell>
          <cell r="BB36">
            <v>52.7760009765625</v>
          </cell>
          <cell r="BC36">
            <v>49.345001220703097</v>
          </cell>
          <cell r="BD36">
            <v>52.771999359130902</v>
          </cell>
          <cell r="BE36">
            <v>55.660999298095703</v>
          </cell>
          <cell r="BF36">
            <v>58.119998931884801</v>
          </cell>
          <cell r="BG36">
            <v>58.207000732421903</v>
          </cell>
          <cell r="BH36">
            <v>58.311000823974602</v>
          </cell>
          <cell r="BI36">
            <v>58.3359985351563</v>
          </cell>
          <cell r="BJ36">
            <v>58.3950004577637</v>
          </cell>
          <cell r="BK36">
            <v>58.404998779296903</v>
          </cell>
        </row>
        <row r="37">
          <cell r="B37" t="str">
            <v>CAF</v>
          </cell>
          <cell r="C37" t="str">
            <v>Employment to population ratio, 15+, total (%) (modeled ILO estimate)</v>
          </cell>
          <cell r="D37" t="str">
            <v>SL.EMP.TOTL.SP.ZS</v>
          </cell>
          <cell r="AJ37">
            <v>69.966003417968807</v>
          </cell>
          <cell r="AK37">
            <v>69.985000610351605</v>
          </cell>
          <cell r="AL37">
            <v>69.913002014160199</v>
          </cell>
          <cell r="AM37">
            <v>69.851997375488295</v>
          </cell>
          <cell r="AN37">
            <v>69.767997741699205</v>
          </cell>
          <cell r="AO37">
            <v>69.775001525878906</v>
          </cell>
          <cell r="AP37">
            <v>69.710998535156307</v>
          </cell>
          <cell r="AQ37">
            <v>69.638000488281307</v>
          </cell>
          <cell r="AR37">
            <v>69.531997680664105</v>
          </cell>
          <cell r="AS37">
            <v>69.523002624511705</v>
          </cell>
          <cell r="AT37">
            <v>69.539001464843807</v>
          </cell>
          <cell r="AU37">
            <v>69.494003295898395</v>
          </cell>
          <cell r="AV37">
            <v>69.540000915527301</v>
          </cell>
          <cell r="AW37">
            <v>69.535003662109403</v>
          </cell>
          <cell r="AX37">
            <v>69.585998535156307</v>
          </cell>
          <cell r="AY37">
            <v>69.775001525878906</v>
          </cell>
          <cell r="AZ37">
            <v>69.933998107910199</v>
          </cell>
          <cell r="BA37">
            <v>70.027999877929702</v>
          </cell>
          <cell r="BB37">
            <v>69.822998046875</v>
          </cell>
          <cell r="BC37">
            <v>69.722000122070298</v>
          </cell>
          <cell r="BD37">
            <v>69.845001220703097</v>
          </cell>
          <cell r="BE37">
            <v>69.869003295898395</v>
          </cell>
          <cell r="BF37">
            <v>70.177001953125</v>
          </cell>
          <cell r="BG37">
            <v>70.119003295898395</v>
          </cell>
          <cell r="BH37">
            <v>69.959999084472699</v>
          </cell>
          <cell r="BI37">
            <v>69.771003723144503</v>
          </cell>
          <cell r="BJ37">
            <v>69.572998046875</v>
          </cell>
          <cell r="BK37">
            <v>69.344001770019503</v>
          </cell>
        </row>
        <row r="38">
          <cell r="B38" t="str">
            <v>CAN</v>
          </cell>
          <cell r="C38" t="str">
            <v>Employment to population ratio, 15+, total (%) (modeled ILO estimate)</v>
          </cell>
          <cell r="D38" t="str">
            <v>SL.EMP.TOTL.SP.ZS</v>
          </cell>
          <cell r="AJ38">
            <v>59.4210014343262</v>
          </cell>
          <cell r="AK38">
            <v>58.0320014953613</v>
          </cell>
          <cell r="AL38">
            <v>57.597000122070298</v>
          </cell>
          <cell r="AM38">
            <v>58.048999786377003</v>
          </cell>
          <cell r="AN38">
            <v>58.294998168945298</v>
          </cell>
          <cell r="AO38">
            <v>58.041999816894503</v>
          </cell>
          <cell r="AP38">
            <v>58.554000854492202</v>
          </cell>
          <cell r="AQ38">
            <v>59.323001861572301</v>
          </cell>
          <cell r="AR38">
            <v>60.138999938964801</v>
          </cell>
          <cell r="AS38">
            <v>60.811000823974602</v>
          </cell>
          <cell r="AT38">
            <v>60.6510009765625</v>
          </cell>
          <cell r="AU38">
            <v>61.242000579833999</v>
          </cell>
          <cell r="AV38">
            <v>61.9799995422363</v>
          </cell>
          <cell r="AW38">
            <v>62.188999176025398</v>
          </cell>
          <cell r="AX38">
            <v>62.161998748779297</v>
          </cell>
          <cell r="AY38">
            <v>62.372001647949197</v>
          </cell>
          <cell r="AZ38">
            <v>63.011001586914098</v>
          </cell>
          <cell r="BA38">
            <v>63.103000640869098</v>
          </cell>
          <cell r="BB38">
            <v>61.2039985656738</v>
          </cell>
          <cell r="BC38">
            <v>61.248001098632798</v>
          </cell>
          <cell r="BD38">
            <v>61.423999786377003</v>
          </cell>
          <cell r="BE38">
            <v>61.419998168945298</v>
          </cell>
          <cell r="BF38">
            <v>61.537998199462898</v>
          </cell>
          <cell r="BG38">
            <v>61.215999603271499</v>
          </cell>
          <cell r="BH38">
            <v>61.081001281738303</v>
          </cell>
          <cell r="BI38">
            <v>60.904998779296903</v>
          </cell>
          <cell r="BJ38">
            <v>61.430999755859403</v>
          </cell>
          <cell r="BK38">
            <v>61.451999664306598</v>
          </cell>
        </row>
        <row r="39">
          <cell r="B39" t="str">
            <v>CEB</v>
          </cell>
          <cell r="C39" t="str">
            <v>Employment to population ratio, 15+, total (%) (modeled ILO estimate)</v>
          </cell>
          <cell r="D39" t="str">
            <v>SL.EMP.TOTL.SP.ZS</v>
          </cell>
          <cell r="AJ39">
            <v>56.509198266812902</v>
          </cell>
          <cell r="AK39">
            <v>55.873051050404719</v>
          </cell>
          <cell r="AL39">
            <v>54.472189279515369</v>
          </cell>
          <cell r="AM39">
            <v>53.648803704917036</v>
          </cell>
          <cell r="AN39">
            <v>53.25564752098321</v>
          </cell>
          <cell r="AO39">
            <v>52.812726292424905</v>
          </cell>
          <cell r="AP39">
            <v>52.886899794180145</v>
          </cell>
          <cell r="AQ39">
            <v>52.615506992316682</v>
          </cell>
          <cell r="AR39">
            <v>51.488882775164406</v>
          </cell>
          <cell r="AS39">
            <v>50.219705591831456</v>
          </cell>
          <cell r="AT39">
            <v>49.659764460194161</v>
          </cell>
          <cell r="AU39">
            <v>47.956588311119361</v>
          </cell>
          <cell r="AV39">
            <v>47.947347401705848</v>
          </cell>
          <cell r="AW39">
            <v>47.767649774346907</v>
          </cell>
          <cell r="AX39">
            <v>48.126542356473223</v>
          </cell>
          <cell r="AY39">
            <v>49.226610743818078</v>
          </cell>
          <cell r="AZ39">
            <v>50.469929099593514</v>
          </cell>
          <cell r="BA39">
            <v>51.361610214481786</v>
          </cell>
          <cell r="BB39">
            <v>50.437912134218713</v>
          </cell>
          <cell r="BC39">
            <v>50.013706441127461</v>
          </cell>
          <cell r="BD39">
            <v>49.901954283942878</v>
          </cell>
          <cell r="BE39">
            <v>50.152702707082291</v>
          </cell>
          <cell r="BF39">
            <v>50.242561385324869</v>
          </cell>
          <cell r="BG39">
            <v>51.273716781691917</v>
          </cell>
          <cell r="BH39">
            <v>51.979890155994688</v>
          </cell>
          <cell r="BI39">
            <v>52.758252176317505</v>
          </cell>
          <cell r="BJ39">
            <v>54.039912946117461</v>
          </cell>
          <cell r="BK39">
            <v>54.678654448183757</v>
          </cell>
        </row>
        <row r="40">
          <cell r="B40" t="str">
            <v>CHE</v>
          </cell>
          <cell r="C40" t="str">
            <v>Employment to population ratio, 15+, total (%) (modeled ILO estimate)</v>
          </cell>
          <cell r="D40" t="str">
            <v>SL.EMP.TOTL.SP.ZS</v>
          </cell>
          <cell r="AJ40">
            <v>67.172996520996094</v>
          </cell>
          <cell r="AK40">
            <v>66.336997985839801</v>
          </cell>
          <cell r="AL40">
            <v>65.665000915527301</v>
          </cell>
          <cell r="AM40">
            <v>64.686996459960895</v>
          </cell>
          <cell r="AN40">
            <v>64.842002868652301</v>
          </cell>
          <cell r="AO40">
            <v>65.064002990722699</v>
          </cell>
          <cell r="AP40">
            <v>64.577003479003906</v>
          </cell>
          <cell r="AQ40">
            <v>65.483001708984403</v>
          </cell>
          <cell r="AR40">
            <v>65.774002075195298</v>
          </cell>
          <cell r="AS40">
            <v>65.614997863769503</v>
          </cell>
          <cell r="AT40">
            <v>66.099998474121094</v>
          </cell>
          <cell r="AU40">
            <v>65.755996704101605</v>
          </cell>
          <cell r="AV40">
            <v>65.035003662109403</v>
          </cell>
          <cell r="AW40">
            <v>64.382003784179702</v>
          </cell>
          <cell r="AX40">
            <v>64.056999206542997</v>
          </cell>
          <cell r="AY40">
            <v>64.720001220703097</v>
          </cell>
          <cell r="AZ40">
            <v>65.25</v>
          </cell>
          <cell r="BA40">
            <v>65.958000183105497</v>
          </cell>
          <cell r="BB40">
            <v>65.466003417968807</v>
          </cell>
          <cell r="BC40">
            <v>63.734001159667997</v>
          </cell>
          <cell r="BD40">
            <v>64.486000061035199</v>
          </cell>
          <cell r="BE40">
            <v>64.499000549316406</v>
          </cell>
          <cell r="BF40">
            <v>64.355003356933594</v>
          </cell>
          <cell r="BG40">
            <v>64.684997558593807</v>
          </cell>
          <cell r="BH40">
            <v>64.938003540039105</v>
          </cell>
          <cell r="BI40">
            <v>65.195999145507798</v>
          </cell>
          <cell r="BJ40">
            <v>65.099998474121094</v>
          </cell>
          <cell r="BK40">
            <v>65.156997680664105</v>
          </cell>
        </row>
        <row r="41">
          <cell r="B41" t="str">
            <v>CHI</v>
          </cell>
          <cell r="C41" t="str">
            <v>Employment to population ratio, 15+, total (%) (modeled ILO estimate)</v>
          </cell>
          <cell r="D41" t="str">
            <v>SL.EMP.TOTL.SP.ZS</v>
          </cell>
          <cell r="AJ41">
            <v>53.088001251220703</v>
          </cell>
          <cell r="AK41">
            <v>53.058998107910199</v>
          </cell>
          <cell r="AL41">
            <v>53.160999298095703</v>
          </cell>
          <cell r="AM41">
            <v>53.540000915527301</v>
          </cell>
          <cell r="AN41">
            <v>53.596000671386697</v>
          </cell>
          <cell r="AO41">
            <v>53.515998840332003</v>
          </cell>
          <cell r="AP41">
            <v>53.693000793457003</v>
          </cell>
          <cell r="AQ41">
            <v>54.033000946044901</v>
          </cell>
          <cell r="AR41">
            <v>54.293998718261697</v>
          </cell>
          <cell r="AS41">
            <v>54.387001037597699</v>
          </cell>
          <cell r="AT41">
            <v>54.436000823974602</v>
          </cell>
          <cell r="AU41">
            <v>54.499000549316399</v>
          </cell>
          <cell r="AV41">
            <v>54.472000122070298</v>
          </cell>
          <cell r="AW41">
            <v>54.353000640869098</v>
          </cell>
          <cell r="AX41">
            <v>54.535999298095703</v>
          </cell>
          <cell r="AY41">
            <v>54.745998382568402</v>
          </cell>
          <cell r="AZ41">
            <v>54.897998809814503</v>
          </cell>
          <cell r="BA41">
            <v>54.824001312255902</v>
          </cell>
          <cell r="BB41">
            <v>54.278999328613303</v>
          </cell>
          <cell r="BC41">
            <v>54.147998809814503</v>
          </cell>
          <cell r="BD41">
            <v>53.689998626708999</v>
          </cell>
          <cell r="BE41">
            <v>53.680999755859403</v>
          </cell>
          <cell r="BF41">
            <v>53.686000823974602</v>
          </cell>
          <cell r="BG41">
            <v>53.867000579833999</v>
          </cell>
          <cell r="BH41">
            <v>54.126998901367202</v>
          </cell>
          <cell r="BI41">
            <v>54.199001312255902</v>
          </cell>
          <cell r="BJ41">
            <v>54.159000396728501</v>
          </cell>
          <cell r="BK41">
            <v>54.080001831054702</v>
          </cell>
        </row>
        <row r="42">
          <cell r="B42" t="str">
            <v>CHL</v>
          </cell>
          <cell r="C42" t="str">
            <v>Employment to population ratio, 15+, total (%) (modeled ILO estimate)</v>
          </cell>
          <cell r="D42" t="str">
            <v>SL.EMP.TOTL.SP.ZS</v>
          </cell>
          <cell r="AJ42">
            <v>51.986000061035199</v>
          </cell>
          <cell r="AK42">
            <v>52.930999755859403</v>
          </cell>
          <cell r="AL42">
            <v>53.117000579833999</v>
          </cell>
          <cell r="AM42">
            <v>52.550998687744098</v>
          </cell>
          <cell r="AN42">
            <v>53.588001251220703</v>
          </cell>
          <cell r="AO42">
            <v>52.352001190185497</v>
          </cell>
          <cell r="AP42">
            <v>52.7960014343262</v>
          </cell>
          <cell r="AQ42">
            <v>52.8489990234375</v>
          </cell>
          <cell r="AR42">
            <v>50.603000640869098</v>
          </cell>
          <cell r="AS42">
            <v>50.444000244140597</v>
          </cell>
          <cell r="AT42">
            <v>49.840000152587898</v>
          </cell>
          <cell r="AU42">
            <v>49.625999450683601</v>
          </cell>
          <cell r="AV42">
            <v>50.4010009765625</v>
          </cell>
          <cell r="AW42">
            <v>50.8810005187988</v>
          </cell>
          <cell r="AX42">
            <v>51.909999847412102</v>
          </cell>
          <cell r="AY42">
            <v>52.772998809814503</v>
          </cell>
          <cell r="AZ42">
            <v>53.713001251220703</v>
          </cell>
          <cell r="BA42">
            <v>54.537998199462898</v>
          </cell>
          <cell r="BB42">
            <v>53.193000793457003</v>
          </cell>
          <cell r="BC42">
            <v>55.331001281738303</v>
          </cell>
          <cell r="BD42">
            <v>57.1189994812012</v>
          </cell>
          <cell r="BE42">
            <v>57.487998962402301</v>
          </cell>
          <cell r="BF42">
            <v>57.877998352050803</v>
          </cell>
          <cell r="BG42">
            <v>57.841999053955099</v>
          </cell>
          <cell r="BH42">
            <v>58.042999267578097</v>
          </cell>
          <cell r="BI42">
            <v>57.844001770019503</v>
          </cell>
          <cell r="BJ42">
            <v>58.000999450683601</v>
          </cell>
          <cell r="BK42">
            <v>57.965000152587898</v>
          </cell>
        </row>
        <row r="43">
          <cell r="B43" t="str">
            <v>CHN</v>
          </cell>
          <cell r="C43" t="str">
            <v>Employment to population ratio, 15+, total (%) (modeled ILO estimate)</v>
          </cell>
          <cell r="D43" t="str">
            <v>SL.EMP.TOTL.SP.ZS</v>
          </cell>
          <cell r="AJ43">
            <v>77.185997009277301</v>
          </cell>
          <cell r="AK43">
            <v>77.129997253417997</v>
          </cell>
          <cell r="AL43">
            <v>76.835998535156307</v>
          </cell>
          <cell r="AM43">
            <v>76.597999572753906</v>
          </cell>
          <cell r="AN43">
            <v>76.393997192382798</v>
          </cell>
          <cell r="AO43">
            <v>76.136001586914105</v>
          </cell>
          <cell r="AP43">
            <v>75.833000183105497</v>
          </cell>
          <cell r="AQ43">
            <v>75.561996459960895</v>
          </cell>
          <cell r="AR43">
            <v>75.234001159667997</v>
          </cell>
          <cell r="AS43">
            <v>74.849998474121094</v>
          </cell>
          <cell r="AT43">
            <v>73.741996765136705</v>
          </cell>
          <cell r="AU43">
            <v>72.633003234863295</v>
          </cell>
          <cell r="AV43">
            <v>71.572998046875</v>
          </cell>
          <cell r="AW43">
            <v>70.888000488281307</v>
          </cell>
          <cell r="AX43">
            <v>70.228996276855497</v>
          </cell>
          <cell r="AY43">
            <v>69.745002746582003</v>
          </cell>
          <cell r="AZ43">
            <v>69.377998352050795</v>
          </cell>
          <cell r="BA43">
            <v>68.838996887207003</v>
          </cell>
          <cell r="BB43">
            <v>68.356002807617202</v>
          </cell>
          <cell r="BC43">
            <v>68.031997680664105</v>
          </cell>
          <cell r="BD43">
            <v>67.789001464843807</v>
          </cell>
          <cell r="BE43">
            <v>67.535003662109403</v>
          </cell>
          <cell r="BF43">
            <v>67.248001098632798</v>
          </cell>
          <cell r="BG43">
            <v>66.933998107910199</v>
          </cell>
          <cell r="BH43">
            <v>66.593002319335895</v>
          </cell>
          <cell r="BI43">
            <v>66.280998229980497</v>
          </cell>
          <cell r="BJ43">
            <v>65.919998168945298</v>
          </cell>
          <cell r="BK43">
            <v>65.568000793457003</v>
          </cell>
        </row>
        <row r="44">
          <cell r="B44" t="str">
            <v>CIV</v>
          </cell>
          <cell r="C44" t="str">
            <v>Employment to population ratio, 15+, total (%) (modeled ILO estimate)</v>
          </cell>
          <cell r="D44" t="str">
            <v>SL.EMP.TOTL.SP.ZS</v>
          </cell>
          <cell r="AJ44">
            <v>63.083000183105497</v>
          </cell>
          <cell r="AK44">
            <v>62.893001556396499</v>
          </cell>
          <cell r="AL44">
            <v>63.301998138427699</v>
          </cell>
          <cell r="AM44">
            <v>63.713001251220703</v>
          </cell>
          <cell r="AN44">
            <v>64</v>
          </cell>
          <cell r="AO44">
            <v>63.826000213622997</v>
          </cell>
          <cell r="AP44">
            <v>63.715000152587898</v>
          </cell>
          <cell r="AQ44">
            <v>63.574001312255902</v>
          </cell>
          <cell r="AR44">
            <v>62.9799995422363</v>
          </cell>
          <cell r="AS44">
            <v>62.425998687744098</v>
          </cell>
          <cell r="AT44">
            <v>61.849998474121101</v>
          </cell>
          <cell r="AU44">
            <v>61.224998474121101</v>
          </cell>
          <cell r="AV44">
            <v>60.616001129150398</v>
          </cell>
          <cell r="AW44">
            <v>60.029998779296903</v>
          </cell>
          <cell r="AX44">
            <v>59.443000793457003</v>
          </cell>
          <cell r="AY44">
            <v>58.924999237060497</v>
          </cell>
          <cell r="AZ44">
            <v>58.390998840332003</v>
          </cell>
          <cell r="BA44">
            <v>57.794998168945298</v>
          </cell>
          <cell r="BB44">
            <v>56.958999633789098</v>
          </cell>
          <cell r="BC44">
            <v>56.263999938964801</v>
          </cell>
          <cell r="BD44">
            <v>55.620998382568402</v>
          </cell>
          <cell r="BE44">
            <v>54.971000671386697</v>
          </cell>
          <cell r="BF44">
            <v>56.228000640869098</v>
          </cell>
          <cell r="BG44">
            <v>56.084999084472699</v>
          </cell>
          <cell r="BH44">
            <v>55.905998229980497</v>
          </cell>
          <cell r="BI44">
            <v>55.702999114990199</v>
          </cell>
          <cell r="BJ44">
            <v>55.212001800537102</v>
          </cell>
          <cell r="BK44">
            <v>55.1570014953613</v>
          </cell>
        </row>
        <row r="45">
          <cell r="B45" t="str">
            <v>CMR</v>
          </cell>
          <cell r="C45" t="str">
            <v>Employment to population ratio, 15+, total (%) (modeled ILO estimate)</v>
          </cell>
          <cell r="D45" t="str">
            <v>SL.EMP.TOTL.SP.ZS</v>
          </cell>
          <cell r="AJ45">
            <v>76.892997741699205</v>
          </cell>
          <cell r="AK45">
            <v>76.853996276855497</v>
          </cell>
          <cell r="AL45">
            <v>76.758003234863295</v>
          </cell>
          <cell r="AM45">
            <v>76.656997680664105</v>
          </cell>
          <cell r="AN45">
            <v>76.527000427246094</v>
          </cell>
          <cell r="AO45">
            <v>76.398002624511705</v>
          </cell>
          <cell r="AP45">
            <v>76.365997314453097</v>
          </cell>
          <cell r="AQ45">
            <v>76.2969970703125</v>
          </cell>
          <cell r="AR45">
            <v>76.1510009765625</v>
          </cell>
          <cell r="AS45">
            <v>76.092002868652301</v>
          </cell>
          <cell r="AT45">
            <v>76.069999694824205</v>
          </cell>
          <cell r="AU45">
            <v>76.570999145507798</v>
          </cell>
          <cell r="AV45">
            <v>77.095001220703097</v>
          </cell>
          <cell r="AW45">
            <v>77.620002746582003</v>
          </cell>
          <cell r="AX45">
            <v>78.150001525878906</v>
          </cell>
          <cell r="AY45">
            <v>78.736000061035199</v>
          </cell>
          <cell r="AZ45">
            <v>79.239997863769503</v>
          </cell>
          <cell r="BA45">
            <v>77.301002502441406</v>
          </cell>
          <cell r="BB45">
            <v>75.075996398925795</v>
          </cell>
          <cell r="BC45">
            <v>72.863998413085895</v>
          </cell>
          <cell r="BD45">
            <v>73.057998657226605</v>
          </cell>
          <cell r="BE45">
            <v>73.240997314453097</v>
          </cell>
          <cell r="BF45">
            <v>73.404998779296903</v>
          </cell>
          <cell r="BG45">
            <v>73.580001831054702</v>
          </cell>
          <cell r="BH45">
            <v>73.609001159667997</v>
          </cell>
          <cell r="BI45">
            <v>73.636001586914105</v>
          </cell>
          <cell r="BJ45">
            <v>73.656997680664105</v>
          </cell>
          <cell r="BK45">
            <v>73.644996643066406</v>
          </cell>
        </row>
        <row r="46">
          <cell r="B46" t="str">
            <v>COD</v>
          </cell>
          <cell r="C46" t="str">
            <v>Employment to population ratio, 15+, total (%) (modeled ILO estimate)</v>
          </cell>
          <cell r="D46" t="str">
            <v>SL.EMP.TOTL.SP.ZS</v>
          </cell>
          <cell r="AJ46">
            <v>68.788002014160199</v>
          </cell>
          <cell r="AK46">
            <v>68.990997314453097</v>
          </cell>
          <cell r="AL46">
            <v>69.192001342773395</v>
          </cell>
          <cell r="AM46">
            <v>69.271003723144503</v>
          </cell>
          <cell r="AN46">
            <v>69.250999450683594</v>
          </cell>
          <cell r="AO46">
            <v>69.330001831054702</v>
          </cell>
          <cell r="AP46">
            <v>69.430999755859403</v>
          </cell>
          <cell r="AQ46">
            <v>69.444000244140597</v>
          </cell>
          <cell r="AR46">
            <v>69.448997497558594</v>
          </cell>
          <cell r="AS46">
            <v>69.525001525878906</v>
          </cell>
          <cell r="AT46">
            <v>69.606002807617202</v>
          </cell>
          <cell r="AU46">
            <v>69.594001770019503</v>
          </cell>
          <cell r="AV46">
            <v>69.573997497558594</v>
          </cell>
          <cell r="AW46">
            <v>69.561996459960895</v>
          </cell>
          <cell r="AX46">
            <v>69.555999755859403</v>
          </cell>
          <cell r="AY46">
            <v>68.488998413085895</v>
          </cell>
          <cell r="AZ46">
            <v>67.394996643066406</v>
          </cell>
          <cell r="BA46">
            <v>66.245002746582003</v>
          </cell>
          <cell r="BB46">
            <v>64.908996582031307</v>
          </cell>
          <cell r="BC46">
            <v>63.658000946044901</v>
          </cell>
          <cell r="BD46">
            <v>62.418998718261697</v>
          </cell>
          <cell r="BE46">
            <v>61.152999877929702</v>
          </cell>
          <cell r="BF46">
            <v>61.1119995117188</v>
          </cell>
          <cell r="BG46">
            <v>61.088001251220703</v>
          </cell>
          <cell r="BH46">
            <v>61.053001403808601</v>
          </cell>
          <cell r="BI46">
            <v>61.076000213622997</v>
          </cell>
          <cell r="BJ46">
            <v>61.077999114990199</v>
          </cell>
          <cell r="BK46">
            <v>61.030998229980497</v>
          </cell>
        </row>
        <row r="47">
          <cell r="B47" t="str">
            <v>COG</v>
          </cell>
          <cell r="C47" t="str">
            <v>Employment to population ratio, 15+, total (%) (modeled ILO estimate)</v>
          </cell>
          <cell r="D47" t="str">
            <v>SL.EMP.TOTL.SP.ZS</v>
          </cell>
          <cell r="AJ47">
            <v>54.917999267578097</v>
          </cell>
          <cell r="AK47">
            <v>54.716999053955099</v>
          </cell>
          <cell r="AL47">
            <v>54.494998931884801</v>
          </cell>
          <cell r="AM47">
            <v>54.472999572753899</v>
          </cell>
          <cell r="AN47">
            <v>54.4140014648438</v>
          </cell>
          <cell r="AO47">
            <v>54.3489990234375</v>
          </cell>
          <cell r="AP47">
            <v>54.416000366210902</v>
          </cell>
          <cell r="AQ47">
            <v>54.464000701904297</v>
          </cell>
          <cell r="AR47">
            <v>54.5200004577637</v>
          </cell>
          <cell r="AS47">
            <v>54.597000122070298</v>
          </cell>
          <cell r="AT47">
            <v>54.687999725341797</v>
          </cell>
          <cell r="AU47">
            <v>54.691001892089801</v>
          </cell>
          <cell r="AV47">
            <v>54.819000244140597</v>
          </cell>
          <cell r="AW47">
            <v>55.020999908447301</v>
          </cell>
          <cell r="AX47">
            <v>55.220001220703097</v>
          </cell>
          <cell r="AY47">
            <v>56.162998199462898</v>
          </cell>
          <cell r="AZ47">
            <v>57.1570014953613</v>
          </cell>
          <cell r="BA47">
            <v>57.952999114990199</v>
          </cell>
          <cell r="BB47">
            <v>58.313999176025398</v>
          </cell>
          <cell r="BC47">
            <v>59.867000579833999</v>
          </cell>
          <cell r="BD47">
            <v>61.469001770019503</v>
          </cell>
          <cell r="BE47">
            <v>62.882999420166001</v>
          </cell>
          <cell r="BF47">
            <v>62.902999877929702</v>
          </cell>
          <cell r="BG47">
            <v>62.890998840332003</v>
          </cell>
          <cell r="BH47">
            <v>62.874000549316399</v>
          </cell>
          <cell r="BI47">
            <v>62.8950004577637</v>
          </cell>
          <cell r="BJ47">
            <v>62.9140014648438</v>
          </cell>
          <cell r="BK47">
            <v>62.846000671386697</v>
          </cell>
        </row>
        <row r="48">
          <cell r="B48" t="str">
            <v>COL</v>
          </cell>
          <cell r="C48" t="str">
            <v>Employment to population ratio, 15+, total (%) (modeled ILO estimate)</v>
          </cell>
          <cell r="D48" t="str">
            <v>SL.EMP.TOTL.SP.ZS</v>
          </cell>
          <cell r="AJ48">
            <v>60.035999298095703</v>
          </cell>
          <cell r="AK48">
            <v>60.694000244140597</v>
          </cell>
          <cell r="AL48">
            <v>62.049999237060497</v>
          </cell>
          <cell r="AM48">
            <v>62.018001556396499</v>
          </cell>
          <cell r="AN48">
            <v>61.935001373291001</v>
          </cell>
          <cell r="AO48">
            <v>59.881999969482401</v>
          </cell>
          <cell r="AP48">
            <v>59.794998168945298</v>
          </cell>
          <cell r="AQ48">
            <v>57.8289985656738</v>
          </cell>
          <cell r="AR48">
            <v>54.105998992919901</v>
          </cell>
          <cell r="AS48">
            <v>53.9010009765625</v>
          </cell>
          <cell r="AT48">
            <v>57.701999664306598</v>
          </cell>
          <cell r="AU48">
            <v>57.292999267578097</v>
          </cell>
          <cell r="AV48">
            <v>58.765998840332003</v>
          </cell>
          <cell r="AW48">
            <v>57.856998443603501</v>
          </cell>
          <cell r="AX48">
            <v>58.439998626708999</v>
          </cell>
          <cell r="AY48">
            <v>57.805999755859403</v>
          </cell>
          <cell r="AZ48">
            <v>57.139999389648402</v>
          </cell>
          <cell r="BA48">
            <v>57.456001281738303</v>
          </cell>
          <cell r="BB48">
            <v>59.261001586914098</v>
          </cell>
          <cell r="BC48">
            <v>60.728000640869098</v>
          </cell>
          <cell r="BD48">
            <v>61.919998168945298</v>
          </cell>
          <cell r="BE48">
            <v>63.019001007080099</v>
          </cell>
          <cell r="BF48">
            <v>63.162998199462898</v>
          </cell>
          <cell r="BG48">
            <v>63.558998107910199</v>
          </cell>
          <cell r="BH48">
            <v>64.063003540039105</v>
          </cell>
          <cell r="BI48">
            <v>63.459999084472699</v>
          </cell>
          <cell r="BJ48">
            <v>63.041000366210902</v>
          </cell>
          <cell r="BK48">
            <v>62.422000885009801</v>
          </cell>
        </row>
        <row r="49">
          <cell r="B49" t="str">
            <v>COM</v>
          </cell>
          <cell r="C49" t="str">
            <v>Employment to population ratio, 15+, total (%) (modeled ILO estimate)</v>
          </cell>
          <cell r="D49" t="str">
            <v>SL.EMP.TOTL.SP.ZS</v>
          </cell>
          <cell r="AJ49">
            <v>40.772998809814503</v>
          </cell>
          <cell r="AK49">
            <v>40.655998229980497</v>
          </cell>
          <cell r="AL49">
            <v>40.6119995117188</v>
          </cell>
          <cell r="AM49">
            <v>40.745998382568402</v>
          </cell>
          <cell r="AN49">
            <v>40.672000885009801</v>
          </cell>
          <cell r="AO49">
            <v>40.667999267578097</v>
          </cell>
          <cell r="AP49">
            <v>40.553001403808601</v>
          </cell>
          <cell r="AQ49">
            <v>40.477001190185497</v>
          </cell>
          <cell r="AR49">
            <v>40.366001129150398</v>
          </cell>
          <cell r="AS49">
            <v>40.118000030517599</v>
          </cell>
          <cell r="AT49">
            <v>40.037998199462898</v>
          </cell>
          <cell r="AU49">
            <v>39.943000793457003</v>
          </cell>
          <cell r="AV49">
            <v>39.887001037597699</v>
          </cell>
          <cell r="AW49">
            <v>39.882999420166001</v>
          </cell>
          <cell r="AX49">
            <v>39.896999359130902</v>
          </cell>
          <cell r="AY49">
            <v>39.9679985046387</v>
          </cell>
          <cell r="AZ49">
            <v>40.097000122070298</v>
          </cell>
          <cell r="BA49">
            <v>40.1570014953613</v>
          </cell>
          <cell r="BB49">
            <v>40.139999389648402</v>
          </cell>
          <cell r="BC49">
            <v>40.201999664306598</v>
          </cell>
          <cell r="BD49">
            <v>40.291000366210902</v>
          </cell>
          <cell r="BE49">
            <v>40.409000396728501</v>
          </cell>
          <cell r="BF49">
            <v>40.504001617431598</v>
          </cell>
          <cell r="BG49">
            <v>40.679000854492202</v>
          </cell>
          <cell r="BH49">
            <v>40.863998413085902</v>
          </cell>
          <cell r="BI49">
            <v>41.014999389648402</v>
          </cell>
          <cell r="BJ49">
            <v>41.162998199462898</v>
          </cell>
          <cell r="BK49">
            <v>41.300998687744098</v>
          </cell>
        </row>
        <row r="50">
          <cell r="B50" t="str">
            <v>CPV</v>
          </cell>
          <cell r="C50" t="str">
            <v>Employment to population ratio, 15+, total (%) (modeled ILO estimate)</v>
          </cell>
          <cell r="D50" t="str">
            <v>SL.EMP.TOTL.SP.ZS</v>
          </cell>
          <cell r="AJ50">
            <v>55.119998931884801</v>
          </cell>
          <cell r="AK50">
            <v>55.016998291015597</v>
          </cell>
          <cell r="AL50">
            <v>54.845001220703097</v>
          </cell>
          <cell r="AM50">
            <v>54.701000213622997</v>
          </cell>
          <cell r="AN50">
            <v>54.525001525878899</v>
          </cell>
          <cell r="AO50">
            <v>54.2369995117188</v>
          </cell>
          <cell r="AP50">
            <v>53.917999267578097</v>
          </cell>
          <cell r="AQ50">
            <v>53.547000885009801</v>
          </cell>
          <cell r="AR50">
            <v>53.109001159667997</v>
          </cell>
          <cell r="AS50">
            <v>52.722000122070298</v>
          </cell>
          <cell r="AT50">
            <v>52.419998168945298</v>
          </cell>
          <cell r="AU50">
            <v>52.087001800537102</v>
          </cell>
          <cell r="AV50">
            <v>51.816001892089801</v>
          </cell>
          <cell r="AW50">
            <v>51.629001617431598</v>
          </cell>
          <cell r="AX50">
            <v>51.508998870849602</v>
          </cell>
          <cell r="AY50">
            <v>51.759998321533203</v>
          </cell>
          <cell r="AZ50">
            <v>52.025001525878899</v>
          </cell>
          <cell r="BA50">
            <v>52.2369995117188</v>
          </cell>
          <cell r="BB50">
            <v>52.214000701904297</v>
          </cell>
          <cell r="BC50">
            <v>52.344001770019503</v>
          </cell>
          <cell r="BD50">
            <v>52.431999206542997</v>
          </cell>
          <cell r="BE50">
            <v>52.550998687744098</v>
          </cell>
          <cell r="BF50">
            <v>52.659999847412102</v>
          </cell>
          <cell r="BG50">
            <v>52.777999877929702</v>
          </cell>
          <cell r="BH50">
            <v>52.798000335693402</v>
          </cell>
          <cell r="BI50">
            <v>52.790000915527301</v>
          </cell>
          <cell r="BJ50">
            <v>52.761001586914098</v>
          </cell>
          <cell r="BK50">
            <v>52.931999206542997</v>
          </cell>
        </row>
        <row r="51">
          <cell r="B51" t="str">
            <v>CRI</v>
          </cell>
          <cell r="C51" t="str">
            <v>Employment to population ratio, 15+, total (%) (modeled ILO estimate)</v>
          </cell>
          <cell r="D51" t="str">
            <v>SL.EMP.TOTL.SP.ZS</v>
          </cell>
          <cell r="AJ51">
            <v>55.180999755859403</v>
          </cell>
          <cell r="AK51">
            <v>55.187000274658203</v>
          </cell>
          <cell r="AL51">
            <v>55.849998474121101</v>
          </cell>
          <cell r="AM51">
            <v>56.1710014343262</v>
          </cell>
          <cell r="AN51">
            <v>56.410999298095703</v>
          </cell>
          <cell r="AO51">
            <v>53.995998382568402</v>
          </cell>
          <cell r="AP51">
            <v>56.326999664306598</v>
          </cell>
          <cell r="AQ51">
            <v>57.978000640869098</v>
          </cell>
          <cell r="AR51">
            <v>57.235000610351598</v>
          </cell>
          <cell r="AS51">
            <v>56.483001708984403</v>
          </cell>
          <cell r="AT51">
            <v>58.088001251220703</v>
          </cell>
          <cell r="AU51">
            <v>57.478000640869098</v>
          </cell>
          <cell r="AV51">
            <v>57.381999969482401</v>
          </cell>
          <cell r="AW51">
            <v>56.424999237060497</v>
          </cell>
          <cell r="AX51">
            <v>58.346000671386697</v>
          </cell>
          <cell r="AY51">
            <v>58.5460014343262</v>
          </cell>
          <cell r="AZ51">
            <v>60.118000030517599</v>
          </cell>
          <cell r="BA51">
            <v>59.620998382568402</v>
          </cell>
          <cell r="BB51">
            <v>57.243000030517599</v>
          </cell>
          <cell r="BC51">
            <v>56.4799995422363</v>
          </cell>
          <cell r="BD51">
            <v>54.082000732421903</v>
          </cell>
          <cell r="BE51">
            <v>57.624000549316399</v>
          </cell>
          <cell r="BF51">
            <v>57.833999633789098</v>
          </cell>
          <cell r="BG51">
            <v>57.3429985046387</v>
          </cell>
          <cell r="BH51">
            <v>56.375</v>
          </cell>
          <cell r="BI51">
            <v>54.261001586914098</v>
          </cell>
          <cell r="BJ51">
            <v>55.2960014343262</v>
          </cell>
          <cell r="BK51">
            <v>56.193000793457003</v>
          </cell>
        </row>
        <row r="52">
          <cell r="B52" t="str">
            <v>CSS</v>
          </cell>
          <cell r="C52" t="str">
            <v>Employment to population ratio, 15+, total (%) (modeled ILO estimate)</v>
          </cell>
          <cell r="D52" t="str">
            <v>SL.EMP.TOTL.SP.ZS</v>
          </cell>
          <cell r="AJ52">
            <v>56.167155907368738</v>
          </cell>
          <cell r="AK52">
            <v>56.131410888106743</v>
          </cell>
          <cell r="AL52">
            <v>56.125514957371493</v>
          </cell>
          <cell r="AM52">
            <v>56.748385360838498</v>
          </cell>
          <cell r="AN52">
            <v>56.775237406564038</v>
          </cell>
          <cell r="AO52">
            <v>56.722617306159286</v>
          </cell>
          <cell r="AP52">
            <v>56.373973633529467</v>
          </cell>
          <cell r="AQ52">
            <v>56.384006951346748</v>
          </cell>
          <cell r="AR52">
            <v>56.103543217463738</v>
          </cell>
          <cell r="AS52">
            <v>56.122874723120979</v>
          </cell>
          <cell r="AT52">
            <v>56.132572126748613</v>
          </cell>
          <cell r="AU52">
            <v>56.018401496832965</v>
          </cell>
          <cell r="AV52">
            <v>56.726011434396398</v>
          </cell>
          <cell r="AW52">
            <v>57.215526693690535</v>
          </cell>
          <cell r="AX52">
            <v>57.533842240312175</v>
          </cell>
          <cell r="AY52">
            <v>57.964880568310022</v>
          </cell>
          <cell r="AZ52">
            <v>58.096547638031602</v>
          </cell>
          <cell r="BA52">
            <v>57.790935226336536</v>
          </cell>
          <cell r="BB52">
            <v>56.641832300922289</v>
          </cell>
          <cell r="BC52">
            <v>55.918464604471581</v>
          </cell>
          <cell r="BD52">
            <v>55.593384037592294</v>
          </cell>
          <cell r="BE52">
            <v>55.240940407791854</v>
          </cell>
          <cell r="BF52">
            <v>55.383976315682759</v>
          </cell>
          <cell r="BG52">
            <v>55.862025891214664</v>
          </cell>
          <cell r="BH52">
            <v>56.025948750461986</v>
          </cell>
          <cell r="BI52">
            <v>56.532721857479785</v>
          </cell>
          <cell r="BJ52">
            <v>57.349215319288106</v>
          </cell>
          <cell r="BK52">
            <v>57.744637280544467</v>
          </cell>
        </row>
        <row r="53">
          <cell r="B53" t="str">
            <v>CUB</v>
          </cell>
          <cell r="C53" t="str">
            <v>Employment to population ratio, 15+, total (%) (modeled ILO estimate)</v>
          </cell>
          <cell r="D53" t="str">
            <v>SL.EMP.TOTL.SP.ZS</v>
          </cell>
          <cell r="AJ53">
            <v>47.008998870849602</v>
          </cell>
          <cell r="AK53">
            <v>47.244998931884801</v>
          </cell>
          <cell r="AL53">
            <v>47.457000732421903</v>
          </cell>
          <cell r="AM53">
            <v>47.692001342773402</v>
          </cell>
          <cell r="AN53">
            <v>47.833000183105497</v>
          </cell>
          <cell r="AO53">
            <v>48.213001251220703</v>
          </cell>
          <cell r="AP53">
            <v>48.444999694824197</v>
          </cell>
          <cell r="AQ53">
            <v>48.841999053955099</v>
          </cell>
          <cell r="AR53">
            <v>48.712001800537102</v>
          </cell>
          <cell r="AS53">
            <v>49.075000762939503</v>
          </cell>
          <cell r="AT53">
            <v>49.693000793457003</v>
          </cell>
          <cell r="AU53">
            <v>50.056999206542997</v>
          </cell>
          <cell r="AV53">
            <v>50.590999603271499</v>
          </cell>
          <cell r="AW53">
            <v>50.861000061035199</v>
          </cell>
          <cell r="AX53">
            <v>51.4799995422363</v>
          </cell>
          <cell r="AY53">
            <v>52.012001037597699</v>
          </cell>
          <cell r="AZ53">
            <v>53.022998809814503</v>
          </cell>
          <cell r="BA53">
            <v>53.569000244140597</v>
          </cell>
          <cell r="BB53">
            <v>54.574001312255902</v>
          </cell>
          <cell r="BC53">
            <v>53.6710014343262</v>
          </cell>
          <cell r="BD53">
            <v>53.201000213622997</v>
          </cell>
          <cell r="BE53">
            <v>52.859001159667997</v>
          </cell>
          <cell r="BF53">
            <v>52.738998413085902</v>
          </cell>
          <cell r="BG53">
            <v>52.841999053955099</v>
          </cell>
          <cell r="BH53">
            <v>52.8619995117188</v>
          </cell>
          <cell r="BI53">
            <v>52.919998168945298</v>
          </cell>
          <cell r="BJ53">
            <v>52.905998229980497</v>
          </cell>
          <cell r="BK53">
            <v>52.759998321533203</v>
          </cell>
        </row>
        <row r="54">
          <cell r="B54" t="str">
            <v>CUW</v>
          </cell>
          <cell r="C54" t="str">
            <v>Employment to population ratio, 15+, total (%) (modeled ILO estimate)</v>
          </cell>
          <cell r="D54" t="str">
            <v>SL.EMP.TOTL.SP.ZS</v>
          </cell>
        </row>
        <row r="55">
          <cell r="B55" t="str">
            <v>CYM</v>
          </cell>
          <cell r="C55" t="str">
            <v>Employment to population ratio, 15+, total (%) (modeled ILO estimate)</v>
          </cell>
          <cell r="D55" t="str">
            <v>SL.EMP.TOTL.SP.ZS</v>
          </cell>
        </row>
        <row r="56">
          <cell r="B56" t="str">
            <v>CYP</v>
          </cell>
          <cell r="C56" t="str">
            <v>Employment to population ratio, 15+, total (%) (modeled ILO estimate)</v>
          </cell>
          <cell r="D56" t="str">
            <v>SL.EMP.TOTL.SP.ZS</v>
          </cell>
          <cell r="AJ56">
            <v>58.923000335693402</v>
          </cell>
          <cell r="AK56">
            <v>58.819000244140597</v>
          </cell>
          <cell r="AL56">
            <v>58.462001800537102</v>
          </cell>
          <cell r="AM56">
            <v>58.609001159667997</v>
          </cell>
          <cell r="AN56">
            <v>57.823001861572301</v>
          </cell>
          <cell r="AO56">
            <v>57.811000823974602</v>
          </cell>
          <cell r="AP56">
            <v>57.941001892089801</v>
          </cell>
          <cell r="AQ56">
            <v>57.280998229980497</v>
          </cell>
          <cell r="AR56">
            <v>57.029998779296903</v>
          </cell>
          <cell r="AS56">
            <v>57.797000885009801</v>
          </cell>
          <cell r="AT56">
            <v>59.639999389648402</v>
          </cell>
          <cell r="AU56">
            <v>59.972999572753899</v>
          </cell>
          <cell r="AV56">
            <v>60.442001342773402</v>
          </cell>
          <cell r="AW56">
            <v>60.674999237060497</v>
          </cell>
          <cell r="AX56">
            <v>59.673999786377003</v>
          </cell>
          <cell r="AY56">
            <v>60.349998474121101</v>
          </cell>
          <cell r="AZ56">
            <v>61.080001831054702</v>
          </cell>
          <cell r="BA56">
            <v>61.095001220703097</v>
          </cell>
          <cell r="BB56">
            <v>60.186000823974602</v>
          </cell>
          <cell r="BC56">
            <v>60.054000854492202</v>
          </cell>
          <cell r="BD56">
            <v>58.227001190185497</v>
          </cell>
          <cell r="BE56">
            <v>55.418998718261697</v>
          </cell>
          <cell r="BF56">
            <v>52.742000579833999</v>
          </cell>
          <cell r="BG56">
            <v>53.070999145507798</v>
          </cell>
          <cell r="BH56">
            <v>53.2960014343262</v>
          </cell>
          <cell r="BI56">
            <v>53.969001770019503</v>
          </cell>
          <cell r="BJ56">
            <v>55.403999328613303</v>
          </cell>
          <cell r="BK56">
            <v>57.936000823974602</v>
          </cell>
        </row>
        <row r="57">
          <cell r="B57" t="str">
            <v>CZE</v>
          </cell>
          <cell r="C57" t="str">
            <v>Employment to population ratio, 15+, total (%) (modeled ILO estimate)</v>
          </cell>
          <cell r="D57" t="str">
            <v>SL.EMP.TOTL.SP.ZS</v>
          </cell>
          <cell r="AJ57">
            <v>59.880001068115199</v>
          </cell>
          <cell r="AK57">
            <v>59.360000610351598</v>
          </cell>
          <cell r="AL57">
            <v>58.706001281738303</v>
          </cell>
          <cell r="AM57">
            <v>58.9010009765625</v>
          </cell>
          <cell r="AN57">
            <v>58.933998107910199</v>
          </cell>
          <cell r="AO57">
            <v>58.675998687744098</v>
          </cell>
          <cell r="AP57">
            <v>57.915000915527301</v>
          </cell>
          <cell r="AQ57">
            <v>56.917999267578097</v>
          </cell>
          <cell r="AR57">
            <v>55.444999694824197</v>
          </cell>
          <cell r="AS57">
            <v>54.856998443603501</v>
          </cell>
          <cell r="AT57">
            <v>54.9679985046387</v>
          </cell>
          <cell r="AU57">
            <v>55.435001373291001</v>
          </cell>
          <cell r="AV57">
            <v>54.891998291015597</v>
          </cell>
          <cell r="AW57">
            <v>54.2760009765625</v>
          </cell>
          <cell r="AX57">
            <v>54.7820014953613</v>
          </cell>
          <cell r="AY57">
            <v>55.0789985656738</v>
          </cell>
          <cell r="AZ57">
            <v>55.724998474121101</v>
          </cell>
          <cell r="BA57">
            <v>55.916000366210902</v>
          </cell>
          <cell r="BB57">
            <v>54.696998596191399</v>
          </cell>
          <cell r="BC57">
            <v>54.101001739502003</v>
          </cell>
          <cell r="BD57">
            <v>54.317001342773402</v>
          </cell>
          <cell r="BE57">
            <v>54.567001342773402</v>
          </cell>
          <cell r="BF57">
            <v>55.226001739502003</v>
          </cell>
          <cell r="BG57">
            <v>55.808998107910199</v>
          </cell>
          <cell r="BH57">
            <v>56.612998962402301</v>
          </cell>
          <cell r="BI57">
            <v>57.765998840332003</v>
          </cell>
          <cell r="BJ57">
            <v>58.708999633789098</v>
          </cell>
          <cell r="BK57">
            <v>59.410999298095703</v>
          </cell>
        </row>
        <row r="58">
          <cell r="B58" t="str">
            <v>DEU</v>
          </cell>
          <cell r="C58" t="str">
            <v>Employment to population ratio, 15+, total (%) (modeled ILO estimate)</v>
          </cell>
          <cell r="D58" t="str">
            <v>SL.EMP.TOTL.SP.ZS</v>
          </cell>
          <cell r="AJ58">
            <v>56.4609985351563</v>
          </cell>
          <cell r="AK58">
            <v>55.277999877929702</v>
          </cell>
          <cell r="AL58">
            <v>53.851001739502003</v>
          </cell>
          <cell r="AM58">
            <v>53.419998168945298</v>
          </cell>
          <cell r="AN58">
            <v>53.443000793457003</v>
          </cell>
          <cell r="AO58">
            <v>52.847999572753899</v>
          </cell>
          <cell r="AP58">
            <v>52.411998748779297</v>
          </cell>
          <cell r="AQ58">
            <v>52.441001892089801</v>
          </cell>
          <cell r="AR58">
            <v>53.158000946044901</v>
          </cell>
          <cell r="AS58">
            <v>53.463001251220703</v>
          </cell>
          <cell r="AT58">
            <v>53.4539985656738</v>
          </cell>
          <cell r="AU58">
            <v>52.943000793457003</v>
          </cell>
          <cell r="AV58">
            <v>52.240001678466797</v>
          </cell>
          <cell r="AW58">
            <v>51.409999847412102</v>
          </cell>
          <cell r="AX58">
            <v>51.926998138427699</v>
          </cell>
          <cell r="AY58">
            <v>52.812000274658203</v>
          </cell>
          <cell r="AZ58">
            <v>54.062000274658203</v>
          </cell>
          <cell r="BA58">
            <v>54.750999450683601</v>
          </cell>
          <cell r="BB58">
            <v>54.7560005187988</v>
          </cell>
          <cell r="BC58">
            <v>55.291999816894503</v>
          </cell>
          <cell r="BD58">
            <v>56.506999969482401</v>
          </cell>
          <cell r="BE58">
            <v>56.7179985046387</v>
          </cell>
          <cell r="BF58">
            <v>57.083999633789098</v>
          </cell>
          <cell r="BG58">
            <v>57.240001678466797</v>
          </cell>
          <cell r="BH58">
            <v>57.304000854492202</v>
          </cell>
          <cell r="BI58">
            <v>57.8289985656738</v>
          </cell>
          <cell r="BJ58">
            <v>58.244998931884801</v>
          </cell>
          <cell r="BK58">
            <v>58.769001007080099</v>
          </cell>
        </row>
        <row r="59">
          <cell r="B59" t="str">
            <v>DJI</v>
          </cell>
          <cell r="C59" t="str">
            <v>Employment to population ratio, 15+, total (%) (modeled ILO estimate)</v>
          </cell>
          <cell r="D59" t="str">
            <v>SL.EMP.TOTL.SP.ZS</v>
          </cell>
          <cell r="AJ59">
            <v>56.534000396728501</v>
          </cell>
          <cell r="AK59">
            <v>56.344001770019503</v>
          </cell>
          <cell r="AL59">
            <v>56.099998474121101</v>
          </cell>
          <cell r="AM59">
            <v>55.887001037597699</v>
          </cell>
          <cell r="AN59">
            <v>55.805000305175803</v>
          </cell>
          <cell r="AO59">
            <v>55.708000183105497</v>
          </cell>
          <cell r="AP59">
            <v>55.716999053955099</v>
          </cell>
          <cell r="AQ59">
            <v>55.748001098632798</v>
          </cell>
          <cell r="AR59">
            <v>55.639999389648402</v>
          </cell>
          <cell r="AS59">
            <v>55.511001586914098</v>
          </cell>
          <cell r="AT59">
            <v>55.323001861572301</v>
          </cell>
          <cell r="AU59">
            <v>54.962001800537102</v>
          </cell>
          <cell r="AV59">
            <v>54.602001190185497</v>
          </cell>
          <cell r="AW59">
            <v>54.345001220703097</v>
          </cell>
          <cell r="AX59">
            <v>54.189998626708999</v>
          </cell>
          <cell r="AY59">
            <v>54.192001342773402</v>
          </cell>
          <cell r="AZ59">
            <v>54.298000335693402</v>
          </cell>
          <cell r="BA59">
            <v>54.393001556396499</v>
          </cell>
          <cell r="BB59">
            <v>54.273998260497997</v>
          </cell>
          <cell r="BC59">
            <v>54.297000885009801</v>
          </cell>
          <cell r="BD59">
            <v>54.247001647949197</v>
          </cell>
          <cell r="BE59">
            <v>54.194999694824197</v>
          </cell>
          <cell r="BF59">
            <v>54.125999450683601</v>
          </cell>
          <cell r="BG59">
            <v>54.106998443603501</v>
          </cell>
          <cell r="BH59">
            <v>54.066001892089801</v>
          </cell>
          <cell r="BI59">
            <v>54.061000823974602</v>
          </cell>
          <cell r="BJ59">
            <v>54.058998107910199</v>
          </cell>
          <cell r="BK59">
            <v>54.044998168945298</v>
          </cell>
        </row>
        <row r="60">
          <cell r="B60" t="str">
            <v>DMA</v>
          </cell>
          <cell r="C60" t="str">
            <v>Employment to population ratio, 15+, total (%) (modeled ILO estimate)</v>
          </cell>
          <cell r="D60" t="str">
            <v>SL.EMP.TOTL.SP.ZS</v>
          </cell>
        </row>
        <row r="61">
          <cell r="B61" t="str">
            <v>DNK</v>
          </cell>
          <cell r="C61" t="str">
            <v>Employment to population ratio, 15+, total (%) (modeled ILO estimate)</v>
          </cell>
          <cell r="D61" t="str">
            <v>SL.EMP.TOTL.SP.ZS</v>
          </cell>
          <cell r="AJ61">
            <v>61.1119995117188</v>
          </cell>
          <cell r="AK61">
            <v>61.018001556396499</v>
          </cell>
          <cell r="AL61">
            <v>59.3289985656738</v>
          </cell>
          <cell r="AM61">
            <v>59.330001831054702</v>
          </cell>
          <cell r="AN61">
            <v>60.780998229980497</v>
          </cell>
          <cell r="AO61">
            <v>60.923000335693402</v>
          </cell>
          <cell r="AP61">
            <v>62.226001739502003</v>
          </cell>
          <cell r="AQ61">
            <v>62.1640014648438</v>
          </cell>
          <cell r="AR61">
            <v>62.783000946044901</v>
          </cell>
          <cell r="AS61">
            <v>62.825000762939503</v>
          </cell>
          <cell r="AT61">
            <v>62.682998657226598</v>
          </cell>
          <cell r="AU61">
            <v>63.271999359130902</v>
          </cell>
          <cell r="AV61">
            <v>61.9799995422363</v>
          </cell>
          <cell r="AW61">
            <v>62.576999664306598</v>
          </cell>
          <cell r="AX61">
            <v>62.680000305175803</v>
          </cell>
          <cell r="AY61">
            <v>63.673999786377003</v>
          </cell>
          <cell r="AZ61">
            <v>63.345001220703097</v>
          </cell>
          <cell r="BA61">
            <v>63.783000946044901</v>
          </cell>
          <cell r="BB61">
            <v>61.397998809814503</v>
          </cell>
          <cell r="BC61">
            <v>59.562999725341797</v>
          </cell>
          <cell r="BD61">
            <v>59.113998413085902</v>
          </cell>
          <cell r="BE61">
            <v>58.419998168945298</v>
          </cell>
          <cell r="BF61">
            <v>57.964000701904297</v>
          </cell>
          <cell r="BG61">
            <v>57.994998931884801</v>
          </cell>
          <cell r="BH61">
            <v>58.196998596191399</v>
          </cell>
          <cell r="BI61">
            <v>59.400001525878899</v>
          </cell>
          <cell r="BJ61">
            <v>58.472000122070298</v>
          </cell>
          <cell r="BK61">
            <v>59.188999176025398</v>
          </cell>
        </row>
        <row r="62">
          <cell r="B62" t="str">
            <v>DOM</v>
          </cell>
          <cell r="C62" t="str">
            <v>Employment to population ratio, 15+, total (%) (modeled ILO estimate)</v>
          </cell>
          <cell r="D62" t="str">
            <v>SL.EMP.TOTL.SP.ZS</v>
          </cell>
          <cell r="AJ62">
            <v>54.930000305175803</v>
          </cell>
          <cell r="AK62">
            <v>55.0859985351563</v>
          </cell>
          <cell r="AL62">
            <v>55.134998321533203</v>
          </cell>
          <cell r="AM62">
            <v>55.137001037597699</v>
          </cell>
          <cell r="AN62">
            <v>55.207000732421903</v>
          </cell>
          <cell r="AO62">
            <v>55.2820014953613</v>
          </cell>
          <cell r="AP62">
            <v>55.433998107910199</v>
          </cell>
          <cell r="AQ62">
            <v>55.543998718261697</v>
          </cell>
          <cell r="AR62">
            <v>55.609001159667997</v>
          </cell>
          <cell r="AS62">
            <v>55.698001861572301</v>
          </cell>
          <cell r="AT62">
            <v>54.131999969482401</v>
          </cell>
          <cell r="AU62">
            <v>54.905998229980497</v>
          </cell>
          <cell r="AV62">
            <v>53.791000366210902</v>
          </cell>
          <cell r="AW62">
            <v>54.097999572753899</v>
          </cell>
          <cell r="AX62">
            <v>53.745998382568402</v>
          </cell>
          <cell r="AY62">
            <v>55.442001342773402</v>
          </cell>
          <cell r="AZ62">
            <v>55.380001068115199</v>
          </cell>
          <cell r="BA62">
            <v>55.958000183105497</v>
          </cell>
          <cell r="BB62">
            <v>53.471000671386697</v>
          </cell>
          <cell r="BC62">
            <v>55.051998138427699</v>
          </cell>
          <cell r="BD62">
            <v>56.062999725341797</v>
          </cell>
          <cell r="BE62">
            <v>56.426998138427699</v>
          </cell>
          <cell r="BF62">
            <v>56.314998626708999</v>
          </cell>
          <cell r="BG62">
            <v>56.972999572753899</v>
          </cell>
          <cell r="BH62">
            <v>58.877998352050803</v>
          </cell>
          <cell r="BI62">
            <v>59.437000274658203</v>
          </cell>
          <cell r="BJ62">
            <v>60.404998779296903</v>
          </cell>
          <cell r="BK62">
            <v>60.560001373291001</v>
          </cell>
        </row>
        <row r="63">
          <cell r="B63" t="str">
            <v>DZA</v>
          </cell>
          <cell r="C63" t="str">
            <v>Employment to population ratio, 15+, total (%) (modeled ILO estimate)</v>
          </cell>
          <cell r="D63" t="str">
            <v>SL.EMP.TOTL.SP.ZS</v>
          </cell>
          <cell r="AJ63">
            <v>35.402999877929702</v>
          </cell>
          <cell r="AK63">
            <v>33.762001037597699</v>
          </cell>
          <cell r="AL63">
            <v>33.094001770019503</v>
          </cell>
          <cell r="AM63">
            <v>32.533000946044901</v>
          </cell>
          <cell r="AN63">
            <v>30.669000625610401</v>
          </cell>
          <cell r="AO63">
            <v>32.102001190185497</v>
          </cell>
          <cell r="AP63">
            <v>33.2439994812012</v>
          </cell>
          <cell r="AQ63">
            <v>32.373001098632798</v>
          </cell>
          <cell r="AR63">
            <v>31.443000793456999</v>
          </cell>
          <cell r="AS63">
            <v>30.6089992523193</v>
          </cell>
          <cell r="AT63">
            <v>31.493000030517599</v>
          </cell>
          <cell r="AU63">
            <v>31.926000595092798</v>
          </cell>
          <cell r="AV63">
            <v>32.708000183105497</v>
          </cell>
          <cell r="AW63">
            <v>35.160999298095703</v>
          </cell>
          <cell r="AX63">
            <v>36.041999816894503</v>
          </cell>
          <cell r="AY63">
            <v>37.196998596191399</v>
          </cell>
          <cell r="AZ63">
            <v>36.446998596191399</v>
          </cell>
          <cell r="BA63">
            <v>37.395999908447301</v>
          </cell>
          <cell r="BB63">
            <v>37.820999145507798</v>
          </cell>
          <cell r="BC63">
            <v>38.117000579833999</v>
          </cell>
          <cell r="BD63">
            <v>38.244998931884801</v>
          </cell>
          <cell r="BE63">
            <v>37.972999572753899</v>
          </cell>
          <cell r="BF63">
            <v>39.3689994812012</v>
          </cell>
          <cell r="BG63">
            <v>37.257999420166001</v>
          </cell>
          <cell r="BH63">
            <v>36.812000274658203</v>
          </cell>
          <cell r="BI63">
            <v>37.200000762939503</v>
          </cell>
          <cell r="BJ63">
            <v>36.419998168945298</v>
          </cell>
          <cell r="BK63">
            <v>36.367000579833999</v>
          </cell>
        </row>
        <row r="64">
          <cell r="B64" t="str">
            <v>EAP</v>
          </cell>
          <cell r="C64" t="str">
            <v>Employment to population ratio, 15+, total (%) (modeled ILO estimate)</v>
          </cell>
          <cell r="D64" t="str">
            <v>SL.EMP.TOTL.SP.ZS</v>
          </cell>
          <cell r="AJ64">
            <v>74.577037057087068</v>
          </cell>
          <cell r="AK64">
            <v>74.62740668860198</v>
          </cell>
          <cell r="AL64">
            <v>74.367083540967798</v>
          </cell>
          <cell r="AM64">
            <v>74.161386711967523</v>
          </cell>
          <cell r="AN64">
            <v>73.994949030054627</v>
          </cell>
          <cell r="AO64">
            <v>73.790458698270299</v>
          </cell>
          <cell r="AP64">
            <v>73.525885875837545</v>
          </cell>
          <cell r="AQ64">
            <v>73.258376230535305</v>
          </cell>
          <cell r="AR64">
            <v>72.975864726137274</v>
          </cell>
          <cell r="AS64">
            <v>72.666566486096045</v>
          </cell>
          <cell r="AT64">
            <v>71.732228179815237</v>
          </cell>
          <cell r="AU64">
            <v>70.786069826491939</v>
          </cell>
          <cell r="AV64">
            <v>69.937600842885715</v>
          </cell>
          <cell r="AW64">
            <v>69.410541819065102</v>
          </cell>
          <cell r="AX64">
            <v>68.766197434532742</v>
          </cell>
          <cell r="AY64">
            <v>68.422702850307573</v>
          </cell>
          <cell r="AZ64">
            <v>68.358031878520563</v>
          </cell>
          <cell r="BA64">
            <v>68.046664111624665</v>
          </cell>
          <cell r="BB64">
            <v>67.783609850501975</v>
          </cell>
          <cell r="BC64">
            <v>67.642835654956698</v>
          </cell>
          <cell r="BD64">
            <v>67.619213355337408</v>
          </cell>
          <cell r="BE64">
            <v>67.503860590975322</v>
          </cell>
          <cell r="BF64">
            <v>67.174665149641655</v>
          </cell>
          <cell r="BG64">
            <v>66.936585571178668</v>
          </cell>
          <cell r="BH64">
            <v>66.559890773643033</v>
          </cell>
          <cell r="BI64">
            <v>66.227719499500253</v>
          </cell>
          <cell r="BJ64">
            <v>65.902931692103678</v>
          </cell>
          <cell r="BK64">
            <v>65.683805293624289</v>
          </cell>
        </row>
        <row r="65">
          <cell r="B65" t="str">
            <v>EAR</v>
          </cell>
          <cell r="C65" t="str">
            <v>Employment to population ratio, 15+, total (%) (modeled ILO estimate)</v>
          </cell>
          <cell r="D65" t="str">
            <v>SL.EMP.TOTL.SP.ZS</v>
          </cell>
          <cell r="AJ65">
            <v>56.112295808734473</v>
          </cell>
          <cell r="AK65">
            <v>56.13132835012776</v>
          </cell>
          <cell r="AL65">
            <v>55.883904684831649</v>
          </cell>
          <cell r="AM65">
            <v>55.901352947603037</v>
          </cell>
          <cell r="AN65">
            <v>55.562765699547235</v>
          </cell>
          <cell r="AO65">
            <v>55.54254104231152</v>
          </cell>
          <cell r="AP65">
            <v>55.593709728973025</v>
          </cell>
          <cell r="AQ65">
            <v>55.561524429721807</v>
          </cell>
          <cell r="AR65">
            <v>55.461412217456697</v>
          </cell>
          <cell r="AS65">
            <v>55.269649830705347</v>
          </cell>
          <cell r="AT65">
            <v>55.150246079892177</v>
          </cell>
          <cell r="AU65">
            <v>54.860446699146344</v>
          </cell>
          <cell r="AV65">
            <v>54.926851413105254</v>
          </cell>
          <cell r="AW65">
            <v>55.175546887143021</v>
          </cell>
          <cell r="AX65">
            <v>55.183890349922322</v>
          </cell>
          <cell r="AY65">
            <v>55.00336222983784</v>
          </cell>
          <cell r="AZ65">
            <v>54.895364970421049</v>
          </cell>
          <cell r="BA65">
            <v>54.599676618368669</v>
          </cell>
          <cell r="BB65">
            <v>54.134193743797354</v>
          </cell>
          <cell r="BC65">
            <v>53.923481316642089</v>
          </cell>
          <cell r="BD65">
            <v>53.611326691534046</v>
          </cell>
          <cell r="BE65">
            <v>53.34692980791035</v>
          </cell>
          <cell r="BF65">
            <v>53.081970034910135</v>
          </cell>
          <cell r="BG65">
            <v>52.876295051224595</v>
          </cell>
          <cell r="BH65">
            <v>52.664996664713009</v>
          </cell>
          <cell r="BI65">
            <v>52.492365071157579</v>
          </cell>
          <cell r="BJ65">
            <v>52.457264201728528</v>
          </cell>
          <cell r="BK65">
            <v>52.354689781867286</v>
          </cell>
        </row>
        <row r="66">
          <cell r="B66" t="str">
            <v>EAS</v>
          </cell>
          <cell r="C66" t="str">
            <v>Employment to population ratio, 15+, total (%) (modeled ILO estimate)</v>
          </cell>
          <cell r="D66" t="str">
            <v>SL.EMP.TOTL.SP.ZS</v>
          </cell>
          <cell r="AJ66">
            <v>72.761973989287242</v>
          </cell>
          <cell r="AK66">
            <v>72.821145734899602</v>
          </cell>
          <cell r="AL66">
            <v>72.564539893176175</v>
          </cell>
          <cell r="AM66">
            <v>72.401652127010678</v>
          </cell>
          <cell r="AN66">
            <v>72.262558187166803</v>
          </cell>
          <cell r="AO66">
            <v>72.098841990133806</v>
          </cell>
          <cell r="AP66">
            <v>71.891401706948116</v>
          </cell>
          <cell r="AQ66">
            <v>71.491401305314568</v>
          </cell>
          <cell r="AR66">
            <v>71.194484584303623</v>
          </cell>
          <cell r="AS66">
            <v>70.958909381283661</v>
          </cell>
          <cell r="AT66">
            <v>70.109856203674354</v>
          </cell>
          <cell r="AU66">
            <v>69.250340362225643</v>
          </cell>
          <cell r="AV66">
            <v>68.491186944138448</v>
          </cell>
          <cell r="AW66">
            <v>68.06871108021781</v>
          </cell>
          <cell r="AX66">
            <v>67.538457344181822</v>
          </cell>
          <cell r="AY66">
            <v>67.267812906215767</v>
          </cell>
          <cell r="AZ66">
            <v>67.254637860270378</v>
          </cell>
          <cell r="BA66">
            <v>66.963887953655416</v>
          </cell>
          <cell r="BB66">
            <v>66.622067833497226</v>
          </cell>
          <cell r="BC66">
            <v>66.495427200549074</v>
          </cell>
          <cell r="BD66">
            <v>66.495926454642884</v>
          </cell>
          <cell r="BE66">
            <v>66.40097745350748</v>
          </cell>
          <cell r="BF66">
            <v>66.150495459040414</v>
          </cell>
          <cell r="BG66">
            <v>65.990393147085769</v>
          </cell>
          <cell r="BH66">
            <v>65.68922061239401</v>
          </cell>
          <cell r="BI66">
            <v>65.441997297747193</v>
          </cell>
          <cell r="BJ66">
            <v>65.208203490190186</v>
          </cell>
          <cell r="BK66">
            <v>65.093637705452309</v>
          </cell>
        </row>
        <row r="67">
          <cell r="B67" t="str">
            <v>ECA</v>
          </cell>
          <cell r="C67" t="str">
            <v>Employment to population ratio, 15+, total (%) (modeled ILO estimate)</v>
          </cell>
          <cell r="D67" t="str">
            <v>SL.EMP.TOTL.SP.ZS</v>
          </cell>
          <cell r="AJ67">
            <v>59.465405966654167</v>
          </cell>
          <cell r="AK67">
            <v>59.067246040181047</v>
          </cell>
          <cell r="AL67">
            <v>57.369619692876576</v>
          </cell>
          <cell r="AM67">
            <v>55.941486038272934</v>
          </cell>
          <cell r="AN67">
            <v>54.807356579025182</v>
          </cell>
          <cell r="AO67">
            <v>53.608074361957023</v>
          </cell>
          <cell r="AP67">
            <v>52.249551050763976</v>
          </cell>
          <cell r="AQ67">
            <v>51.117046496056872</v>
          </cell>
          <cell r="AR67">
            <v>51.928839356204968</v>
          </cell>
          <cell r="AS67">
            <v>52.287560474844291</v>
          </cell>
          <cell r="AT67">
            <v>52.022085212078792</v>
          </cell>
          <cell r="AU67">
            <v>51.965785096176205</v>
          </cell>
          <cell r="AV67">
            <v>51.63099873042809</v>
          </cell>
          <cell r="AW67">
            <v>51.701371696722376</v>
          </cell>
          <cell r="AX67">
            <v>52.076882185321459</v>
          </cell>
          <cell r="AY67">
            <v>52.371218181403954</v>
          </cell>
          <cell r="AZ67">
            <v>53.135890235766325</v>
          </cell>
          <cell r="BA67">
            <v>53.419140981386711</v>
          </cell>
          <cell r="BB67">
            <v>52.517819846865429</v>
          </cell>
          <cell r="BC67">
            <v>53.087825739384812</v>
          </cell>
          <cell r="BD67">
            <v>53.712239804963595</v>
          </cell>
          <cell r="BE67">
            <v>54.069066881613423</v>
          </cell>
          <cell r="BF67">
            <v>54.23432149238387</v>
          </cell>
          <cell r="BG67">
            <v>54.135854387761299</v>
          </cell>
          <cell r="BH67">
            <v>54.268484428129803</v>
          </cell>
          <cell r="BI67">
            <v>54.36800042223819</v>
          </cell>
          <cell r="BJ67">
            <v>54.551529152502212</v>
          </cell>
          <cell r="BK67">
            <v>54.794980882781665</v>
          </cell>
        </row>
        <row r="68">
          <cell r="B68" t="str">
            <v>ECS</v>
          </cell>
          <cell r="C68" t="str">
            <v>Employment to population ratio, 15+, total (%) (modeled ILO estimate)</v>
          </cell>
          <cell r="D68" t="str">
            <v>SL.EMP.TOTL.SP.ZS</v>
          </cell>
          <cell r="AJ68">
            <v>55.593372828322032</v>
          </cell>
          <cell r="AK68">
            <v>54.894800254866851</v>
          </cell>
          <cell r="AL68">
            <v>53.463107596526484</v>
          </cell>
          <cell r="AM68">
            <v>52.568358331853752</v>
          </cell>
          <cell r="AN68">
            <v>52.115030422647884</v>
          </cell>
          <cell r="AO68">
            <v>51.599914542710998</v>
          </cell>
          <cell r="AP68">
            <v>51.09504469015134</v>
          </cell>
          <cell r="AQ68">
            <v>50.825541082731789</v>
          </cell>
          <cell r="AR68">
            <v>51.400915154006228</v>
          </cell>
          <cell r="AS68">
            <v>51.772664425311426</v>
          </cell>
          <cell r="AT68">
            <v>51.806706978799191</v>
          </cell>
          <cell r="AU68">
            <v>51.789406107998772</v>
          </cell>
          <cell r="AV68">
            <v>51.697501939969989</v>
          </cell>
          <cell r="AW68">
            <v>51.701201241502481</v>
          </cell>
          <cell r="AX68">
            <v>52.098106994741912</v>
          </cell>
          <cell r="AY68">
            <v>52.553247936465219</v>
          </cell>
          <cell r="AZ68">
            <v>53.286445098974212</v>
          </cell>
          <cell r="BA68">
            <v>53.585249444674098</v>
          </cell>
          <cell r="BB68">
            <v>52.54665481885521</v>
          </cell>
          <cell r="BC68">
            <v>52.575210147993197</v>
          </cell>
          <cell r="BD68">
            <v>52.833778265408057</v>
          </cell>
          <cell r="BE68">
            <v>52.831992300513136</v>
          </cell>
          <cell r="BF68">
            <v>52.769906276019967</v>
          </cell>
          <cell r="BG68">
            <v>52.92032162546667</v>
          </cell>
          <cell r="BH68">
            <v>53.233641616893159</v>
          </cell>
          <cell r="BI68">
            <v>53.618726025983413</v>
          </cell>
          <cell r="BJ68">
            <v>54.030221549829768</v>
          </cell>
          <cell r="BK68">
            <v>54.470616697461757</v>
          </cell>
        </row>
        <row r="69">
          <cell r="B69" t="str">
            <v>ECU</v>
          </cell>
          <cell r="C69" t="str">
            <v>Employment to population ratio, 15+, total (%) (modeled ILO estimate)</v>
          </cell>
          <cell r="D69" t="str">
            <v>SL.EMP.TOTL.SP.ZS</v>
          </cell>
          <cell r="AJ69">
            <v>61.334999084472699</v>
          </cell>
          <cell r="AK69">
            <v>61.5130004882813</v>
          </cell>
          <cell r="AL69">
            <v>61.654998779296903</v>
          </cell>
          <cell r="AM69">
            <v>61.9679985046387</v>
          </cell>
          <cell r="AN69">
            <v>62.168998718261697</v>
          </cell>
          <cell r="AO69">
            <v>62.290000915527301</v>
          </cell>
          <cell r="AP69">
            <v>62.505001068115199</v>
          </cell>
          <cell r="AQ69">
            <v>64.905998229980497</v>
          </cell>
          <cell r="AR69">
            <v>64.577003479003906</v>
          </cell>
          <cell r="AS69">
            <v>64.277000427246094</v>
          </cell>
          <cell r="AT69">
            <v>64.315002441406307</v>
          </cell>
          <cell r="AU69">
            <v>63.492000579833999</v>
          </cell>
          <cell r="AV69">
            <v>62.648998260497997</v>
          </cell>
          <cell r="AW69">
            <v>65.313003540039105</v>
          </cell>
          <cell r="AX69">
            <v>65.591003417968807</v>
          </cell>
          <cell r="AY69">
            <v>67.002998352050795</v>
          </cell>
          <cell r="AZ69">
            <v>65.862998962402301</v>
          </cell>
          <cell r="BA69">
            <v>65.472000122070298</v>
          </cell>
          <cell r="BB69">
            <v>63.165000915527301</v>
          </cell>
          <cell r="BC69">
            <v>62.448001861572301</v>
          </cell>
          <cell r="BD69">
            <v>62.118000030517599</v>
          </cell>
          <cell r="BE69">
            <v>62.841999053955099</v>
          </cell>
          <cell r="BF69">
            <v>62.318000793457003</v>
          </cell>
          <cell r="BG69">
            <v>61.841999053955099</v>
          </cell>
          <cell r="BH69">
            <v>64.073997497558594</v>
          </cell>
          <cell r="BI69">
            <v>65.263999938964801</v>
          </cell>
          <cell r="BJ69">
            <v>66.422996520996094</v>
          </cell>
          <cell r="BK69">
            <v>65.630996704101605</v>
          </cell>
        </row>
        <row r="70">
          <cell r="B70" t="str">
            <v>EGY</v>
          </cell>
          <cell r="C70" t="str">
            <v>Employment to population ratio, 15+, total (%) (modeled ILO estimate)</v>
          </cell>
          <cell r="D70" t="str">
            <v>SL.EMP.TOTL.SP.ZS</v>
          </cell>
          <cell r="AJ70">
            <v>42.300998687744098</v>
          </cell>
          <cell r="AK70">
            <v>42.504001617431598</v>
          </cell>
          <cell r="AL70">
            <v>41.595001220703097</v>
          </cell>
          <cell r="AM70">
            <v>42.444000244140597</v>
          </cell>
          <cell r="AN70">
            <v>41.352001190185497</v>
          </cell>
          <cell r="AO70">
            <v>41.826000213622997</v>
          </cell>
          <cell r="AP70">
            <v>41.615001678466797</v>
          </cell>
          <cell r="AQ70">
            <v>41.257999420166001</v>
          </cell>
          <cell r="AR70">
            <v>42.668998718261697</v>
          </cell>
          <cell r="AS70">
            <v>41.974998474121101</v>
          </cell>
          <cell r="AT70">
            <v>41.394001007080099</v>
          </cell>
          <cell r="AU70">
            <v>40.608001708984403</v>
          </cell>
          <cell r="AV70">
            <v>40.604000091552699</v>
          </cell>
          <cell r="AW70">
            <v>41.370998382568402</v>
          </cell>
          <cell r="AX70">
            <v>41.3950004577637</v>
          </cell>
          <cell r="AY70">
            <v>42.111000061035199</v>
          </cell>
          <cell r="AZ70">
            <v>43.898998260497997</v>
          </cell>
          <cell r="BA70">
            <v>43.910999298095703</v>
          </cell>
          <cell r="BB70">
            <v>44.216999053955099</v>
          </cell>
          <cell r="BC70">
            <v>44.812999725341797</v>
          </cell>
          <cell r="BD70">
            <v>43.022998809814503</v>
          </cell>
          <cell r="BE70">
            <v>42.9609985351563</v>
          </cell>
          <cell r="BF70">
            <v>43.087001800537102</v>
          </cell>
          <cell r="BG70">
            <v>43.094001770019503</v>
          </cell>
          <cell r="BH70">
            <v>41.666000366210902</v>
          </cell>
          <cell r="BI70">
            <v>41.778999328613303</v>
          </cell>
          <cell r="BJ70">
            <v>40.945999145507798</v>
          </cell>
          <cell r="BK70">
            <v>40.946998596191399</v>
          </cell>
        </row>
        <row r="71">
          <cell r="B71" t="str">
            <v>EMU</v>
          </cell>
          <cell r="C71" t="str">
            <v>Employment to population ratio, 15+, total (%) (modeled ILO estimate)</v>
          </cell>
          <cell r="D71" t="str">
            <v>SL.EMP.TOTL.SP.ZS</v>
          </cell>
          <cell r="AJ71">
            <v>50.722720855966671</v>
          </cell>
          <cell r="AK71">
            <v>49.839454216379302</v>
          </cell>
          <cell r="AL71">
            <v>48.585948067408808</v>
          </cell>
          <cell r="AM71">
            <v>48.026172386929574</v>
          </cell>
          <cell r="AN71">
            <v>48.048423533950412</v>
          </cell>
          <cell r="AO71">
            <v>48.018005266923026</v>
          </cell>
          <cell r="AP71">
            <v>48.123192068967178</v>
          </cell>
          <cell r="AQ71">
            <v>48.565602595779815</v>
          </cell>
          <cell r="AR71">
            <v>49.258000259574494</v>
          </cell>
          <cell r="AS71">
            <v>49.929874612378306</v>
          </cell>
          <cell r="AT71">
            <v>50.362014512745212</v>
          </cell>
          <cell r="AU71">
            <v>50.563571707886787</v>
          </cell>
          <cell r="AV71">
            <v>50.728126363655733</v>
          </cell>
          <cell r="AW71">
            <v>50.686810172496564</v>
          </cell>
          <cell r="AX71">
            <v>51.092227897568286</v>
          </cell>
          <cell r="AY71">
            <v>51.691893096518356</v>
          </cell>
          <cell r="AZ71">
            <v>52.401550511561275</v>
          </cell>
          <cell r="BA71">
            <v>52.58095898406642</v>
          </cell>
          <cell r="BB71">
            <v>51.34786070383042</v>
          </cell>
          <cell r="BC71">
            <v>50.989302586549222</v>
          </cell>
          <cell r="BD71">
            <v>50.942502977237631</v>
          </cell>
          <cell r="BE71">
            <v>50.462623840196194</v>
          </cell>
          <cell r="BF71">
            <v>50.023800704138544</v>
          </cell>
          <cell r="BG71">
            <v>50.089752000095928</v>
          </cell>
          <cell r="BH71">
            <v>50.458801935780485</v>
          </cell>
          <cell r="BI71">
            <v>51.026083876528745</v>
          </cell>
          <cell r="BJ71">
            <v>51.645594846758733</v>
          </cell>
          <cell r="BK71">
            <v>52.274545434816559</v>
          </cell>
        </row>
        <row r="72">
          <cell r="B72" t="str">
            <v>ERI</v>
          </cell>
          <cell r="C72" t="str">
            <v>Employment to population ratio, 15+, total (%) (modeled ILO estimate)</v>
          </cell>
          <cell r="D72" t="str">
            <v>SL.EMP.TOTL.SP.ZS</v>
          </cell>
          <cell r="AJ72">
            <v>76.452003479003906</v>
          </cell>
          <cell r="AK72">
            <v>76.492996215820298</v>
          </cell>
          <cell r="AL72">
            <v>76.294998168945298</v>
          </cell>
          <cell r="AM72">
            <v>76.041999816894503</v>
          </cell>
          <cell r="AN72">
            <v>75.874000549316406</v>
          </cell>
          <cell r="AO72">
            <v>75.569999694824205</v>
          </cell>
          <cell r="AP72">
            <v>75.236000061035199</v>
          </cell>
          <cell r="AQ72">
            <v>74.875</v>
          </cell>
          <cell r="AR72">
            <v>74.438003540039105</v>
          </cell>
          <cell r="AS72">
            <v>74.083999633789105</v>
          </cell>
          <cell r="AT72">
            <v>73.2760009765625</v>
          </cell>
          <cell r="AU72">
            <v>72.486000061035199</v>
          </cell>
          <cell r="AV72">
            <v>71.858001708984403</v>
          </cell>
          <cell r="AW72">
            <v>71.358001708984403</v>
          </cell>
          <cell r="AX72">
            <v>71.035003662109403</v>
          </cell>
          <cell r="AY72">
            <v>71.444999694824205</v>
          </cell>
          <cell r="AZ72">
            <v>71.887001037597699</v>
          </cell>
          <cell r="BA72">
            <v>72.408996582031307</v>
          </cell>
          <cell r="BB72">
            <v>72.592002868652301</v>
          </cell>
          <cell r="BC72">
            <v>72.954002380371094</v>
          </cell>
          <cell r="BD72">
            <v>73.446998596191406</v>
          </cell>
          <cell r="BE72">
            <v>73.847999572753906</v>
          </cell>
          <cell r="BF72">
            <v>74.157997131347699</v>
          </cell>
          <cell r="BG72">
            <v>74.430999755859403</v>
          </cell>
          <cell r="BH72">
            <v>74.577003479003906</v>
          </cell>
          <cell r="BI72">
            <v>74.5469970703125</v>
          </cell>
          <cell r="BJ72">
            <v>74.518997192382798</v>
          </cell>
          <cell r="BK72">
            <v>74.463996887207003</v>
          </cell>
        </row>
        <row r="73">
          <cell r="B73" t="str">
            <v>ESP</v>
          </cell>
          <cell r="C73" t="str">
            <v>Employment to population ratio, 15+, total (%) (modeled ILO estimate)</v>
          </cell>
          <cell r="D73" t="str">
            <v>SL.EMP.TOTL.SP.ZS</v>
          </cell>
          <cell r="AJ73">
            <v>42.112998962402301</v>
          </cell>
          <cell r="AK73">
            <v>41.042999267578097</v>
          </cell>
          <cell r="AL73">
            <v>38.838001251220703</v>
          </cell>
          <cell r="AM73">
            <v>38.063999176025398</v>
          </cell>
          <cell r="AN73">
            <v>38.659999847412102</v>
          </cell>
          <cell r="AO73">
            <v>39.191001892089801</v>
          </cell>
          <cell r="AP73">
            <v>40.305000305175803</v>
          </cell>
          <cell r="AQ73">
            <v>41.6310005187988</v>
          </cell>
          <cell r="AR73">
            <v>43.728000640869098</v>
          </cell>
          <cell r="AS73">
            <v>45.554000854492202</v>
          </cell>
          <cell r="AT73">
            <v>46.75</v>
          </cell>
          <cell r="AU73">
            <v>47.7369995117188</v>
          </cell>
          <cell r="AV73">
            <v>48.678001403808601</v>
          </cell>
          <cell r="AW73">
            <v>49.557998657226598</v>
          </cell>
          <cell r="AX73">
            <v>51.6570014953613</v>
          </cell>
          <cell r="AY73">
            <v>52.762001037597699</v>
          </cell>
          <cell r="AZ73">
            <v>53.324001312255902</v>
          </cell>
          <cell r="BA73">
            <v>52.221000671386697</v>
          </cell>
          <cell r="BB73">
            <v>48.502998352050803</v>
          </cell>
          <cell r="BC73">
            <v>47.520999908447301</v>
          </cell>
          <cell r="BD73">
            <v>46.6049995422363</v>
          </cell>
          <cell r="BE73">
            <v>44.5989990234375</v>
          </cell>
          <cell r="BF73">
            <v>43.5859985351563</v>
          </cell>
          <cell r="BG73">
            <v>44.283000946044901</v>
          </cell>
          <cell r="BH73">
            <v>45.587001800537102</v>
          </cell>
          <cell r="BI73">
            <v>46.862998962402301</v>
          </cell>
          <cell r="BJ73">
            <v>48.002998352050803</v>
          </cell>
          <cell r="BK73">
            <v>48.946998596191399</v>
          </cell>
        </row>
        <row r="74">
          <cell r="B74" t="str">
            <v>EST</v>
          </cell>
          <cell r="C74" t="str">
            <v>Employment to population ratio, 15+, total (%) (modeled ILO estimate)</v>
          </cell>
          <cell r="D74" t="str">
            <v>SL.EMP.TOTL.SP.ZS</v>
          </cell>
          <cell r="AJ74">
            <v>62.075000762939503</v>
          </cell>
          <cell r="AK74">
            <v>60.353000640869098</v>
          </cell>
          <cell r="AL74">
            <v>58.251998901367202</v>
          </cell>
          <cell r="AM74">
            <v>57.3359985351563</v>
          </cell>
          <cell r="AN74">
            <v>55.7960014343262</v>
          </cell>
          <cell r="AO74">
            <v>55.132999420166001</v>
          </cell>
          <cell r="AP74">
            <v>55.178001403808601</v>
          </cell>
          <cell r="AQ74">
            <v>54.682998657226598</v>
          </cell>
          <cell r="AR74">
            <v>52.373001098632798</v>
          </cell>
          <cell r="AS74">
            <v>51.118000030517599</v>
          </cell>
          <cell r="AT74">
            <v>50.466999053955099</v>
          </cell>
          <cell r="AU74">
            <v>51.1380004882813</v>
          </cell>
          <cell r="AV74">
            <v>52.198001861572301</v>
          </cell>
          <cell r="AW74">
            <v>52.875</v>
          </cell>
          <cell r="AX74">
            <v>53.912998199462898</v>
          </cell>
          <cell r="AY74">
            <v>56.9939994812012</v>
          </cell>
          <cell r="AZ74">
            <v>57.887001037597699</v>
          </cell>
          <cell r="BA74">
            <v>58.002998352050803</v>
          </cell>
          <cell r="BB74">
            <v>52.629001617431598</v>
          </cell>
          <cell r="BC74">
            <v>50.416000366210902</v>
          </cell>
          <cell r="BD74">
            <v>53.655998229980497</v>
          </cell>
          <cell r="BE74">
            <v>55.132999420166001</v>
          </cell>
          <cell r="BF74">
            <v>55.991001129150398</v>
          </cell>
          <cell r="BG74">
            <v>56.6510009765625</v>
          </cell>
          <cell r="BH74">
            <v>58.3489990234375</v>
          </cell>
          <cell r="BI74">
            <v>58.743000030517599</v>
          </cell>
          <cell r="BJ74">
            <v>60.084999084472699</v>
          </cell>
          <cell r="BK74">
            <v>60.4070014953613</v>
          </cell>
        </row>
        <row r="75">
          <cell r="B75" t="str">
            <v>ETH</v>
          </cell>
          <cell r="C75" t="str">
            <v>Employment to population ratio, 15+, total (%) (modeled ILO estimate)</v>
          </cell>
          <cell r="D75" t="str">
            <v>SL.EMP.TOTL.SP.ZS</v>
          </cell>
          <cell r="AJ75">
            <v>75.6510009765625</v>
          </cell>
          <cell r="AK75">
            <v>75.714996337890597</v>
          </cell>
          <cell r="AL75">
            <v>75.610000610351605</v>
          </cell>
          <cell r="AM75">
            <v>75.591003417968807</v>
          </cell>
          <cell r="AN75">
            <v>75.917999267578097</v>
          </cell>
          <cell r="AO75">
            <v>76.206001281738295</v>
          </cell>
          <cell r="AP75">
            <v>76.489997863769503</v>
          </cell>
          <cell r="AQ75">
            <v>76.754997253417997</v>
          </cell>
          <cell r="AR75">
            <v>76.975997924804702</v>
          </cell>
          <cell r="AS75">
            <v>77.513000488281307</v>
          </cell>
          <cell r="AT75">
            <v>78.043998718261705</v>
          </cell>
          <cell r="AU75">
            <v>78.537002563476605</v>
          </cell>
          <cell r="AV75">
            <v>79.054000854492202</v>
          </cell>
          <cell r="AW75">
            <v>79.583000183105497</v>
          </cell>
          <cell r="AX75">
            <v>80.087997436523395</v>
          </cell>
          <cell r="AY75">
            <v>80.035003662109403</v>
          </cell>
          <cell r="AZ75">
            <v>79.952003479003906</v>
          </cell>
          <cell r="BA75">
            <v>79.814002990722699</v>
          </cell>
          <cell r="BB75">
            <v>79.521003723144503</v>
          </cell>
          <cell r="BC75">
            <v>79.324996948242202</v>
          </cell>
          <cell r="BD75">
            <v>79.180999755859403</v>
          </cell>
          <cell r="BE75">
            <v>79.038002014160199</v>
          </cell>
          <cell r="BF75">
            <v>78.902000427246094</v>
          </cell>
          <cell r="BG75">
            <v>78.633003234863295</v>
          </cell>
          <cell r="BH75">
            <v>78.364997863769503</v>
          </cell>
          <cell r="BI75">
            <v>78.164001464843807</v>
          </cell>
          <cell r="BJ75">
            <v>77.986000061035199</v>
          </cell>
          <cell r="BK75">
            <v>77.838996887207003</v>
          </cell>
        </row>
        <row r="76">
          <cell r="B76" t="str">
            <v>EUU</v>
          </cell>
          <cell r="C76" t="str">
            <v>Employment to population ratio, 15+, total (%) (modeled ILO estimate)</v>
          </cell>
          <cell r="D76" t="str">
            <v>SL.EMP.TOTL.SP.ZS</v>
          </cell>
          <cell r="AJ76">
            <v>52.289564904435615</v>
          </cell>
          <cell r="AK76">
            <v>51.451309869021649</v>
          </cell>
          <cell r="AL76">
            <v>50.198287240636823</v>
          </cell>
          <cell r="AM76">
            <v>49.605979158112945</v>
          </cell>
          <cell r="AN76">
            <v>49.583284915353666</v>
          </cell>
          <cell r="AO76">
            <v>49.429206962014597</v>
          </cell>
          <cell r="AP76">
            <v>49.500622890323179</v>
          </cell>
          <cell r="AQ76">
            <v>49.784769303260553</v>
          </cell>
          <cell r="AR76">
            <v>50.090940057386831</v>
          </cell>
          <cell r="AS76">
            <v>50.346394657682261</v>
          </cell>
          <cell r="AT76">
            <v>50.549890722515684</v>
          </cell>
          <cell r="AU76">
            <v>50.2639338336135</v>
          </cell>
          <cell r="AV76">
            <v>50.337567447837017</v>
          </cell>
          <cell r="AW76">
            <v>50.258008779919599</v>
          </cell>
          <cell r="AX76">
            <v>50.633756542635084</v>
          </cell>
          <cell r="AY76">
            <v>51.334549824059572</v>
          </cell>
          <cell r="AZ76">
            <v>52.154366671501556</v>
          </cell>
          <cell r="BA76">
            <v>52.503117673840471</v>
          </cell>
          <cell r="BB76">
            <v>51.388352819354175</v>
          </cell>
          <cell r="BC76">
            <v>51.04028932041291</v>
          </cell>
          <cell r="BD76">
            <v>50.960221278924799</v>
          </cell>
          <cell r="BE76">
            <v>50.625898616756828</v>
          </cell>
          <cell r="BF76">
            <v>50.304604192915761</v>
          </cell>
          <cell r="BG76">
            <v>50.577594339809998</v>
          </cell>
          <cell r="BH76">
            <v>51.000555541206808</v>
          </cell>
          <cell r="BI76">
            <v>51.604437919025941</v>
          </cell>
          <cell r="BJ76">
            <v>52.336921567981456</v>
          </cell>
          <cell r="BK76">
            <v>52.953853154022561</v>
          </cell>
        </row>
        <row r="77">
          <cell r="B77" t="str">
            <v>FCS</v>
          </cell>
          <cell r="C77" t="str">
            <v>Employment to population ratio, 15+, total (%) (modeled ILO estimate)</v>
          </cell>
          <cell r="D77" t="str">
            <v>SL.EMP.TOTL.SP.ZS</v>
          </cell>
          <cell r="AJ77">
            <v>60.716255787170617</v>
          </cell>
          <cell r="AK77">
            <v>60.582192801285096</v>
          </cell>
          <cell r="AL77">
            <v>60.434576556340176</v>
          </cell>
          <cell r="AM77">
            <v>60.196009417092824</v>
          </cell>
          <cell r="AN77">
            <v>59.994370285809701</v>
          </cell>
          <cell r="AO77">
            <v>59.768394384152401</v>
          </cell>
          <cell r="AP77">
            <v>59.662305909065815</v>
          </cell>
          <cell r="AQ77">
            <v>59.506473467893642</v>
          </cell>
          <cell r="AR77">
            <v>59.205673959483541</v>
          </cell>
          <cell r="AS77">
            <v>59.066897727414634</v>
          </cell>
          <cell r="AT77">
            <v>58.878779882039218</v>
          </cell>
          <cell r="AU77">
            <v>58.517143005271571</v>
          </cell>
          <cell r="AV77">
            <v>58.327948262934051</v>
          </cell>
          <cell r="AW77">
            <v>58.24343860593806</v>
          </cell>
          <cell r="AX77">
            <v>58.250143991870829</v>
          </cell>
          <cell r="AY77">
            <v>58.16232410435336</v>
          </cell>
          <cell r="AZ77">
            <v>57.970312355375377</v>
          </cell>
          <cell r="BA77">
            <v>57.701557466496197</v>
          </cell>
          <cell r="BB77">
            <v>57.34120172840511</v>
          </cell>
          <cell r="BC77">
            <v>56.907785600182905</v>
          </cell>
          <cell r="BD77">
            <v>56.70758541205555</v>
          </cell>
          <cell r="BE77">
            <v>55.86663560275619</v>
          </cell>
          <cell r="BF77">
            <v>55.118753019309075</v>
          </cell>
          <cell r="BG77">
            <v>54.750929186406658</v>
          </cell>
          <cell r="BH77">
            <v>54.58067054628949</v>
          </cell>
          <cell r="BI77">
            <v>53.859358150065802</v>
          </cell>
          <cell r="BJ77">
            <v>53.391064186584352</v>
          </cell>
          <cell r="BK77">
            <v>53.369449824664166</v>
          </cell>
        </row>
        <row r="78">
          <cell r="B78" t="str">
            <v>FIN</v>
          </cell>
          <cell r="C78" t="str">
            <v>Employment to population ratio, 15+, total (%) (modeled ILO estimate)</v>
          </cell>
          <cell r="D78" t="str">
            <v>SL.EMP.TOTL.SP.ZS</v>
          </cell>
          <cell r="AJ78">
            <v>59.616001129150398</v>
          </cell>
          <cell r="AK78">
            <v>55.062999725341797</v>
          </cell>
          <cell r="AL78">
            <v>51.4739990234375</v>
          </cell>
          <cell r="AM78">
            <v>50.666000366210902</v>
          </cell>
          <cell r="AN78">
            <v>49.658000946044901</v>
          </cell>
          <cell r="AO78">
            <v>49.958000183105497</v>
          </cell>
          <cell r="AP78">
            <v>51.000999450683601</v>
          </cell>
          <cell r="AQ78">
            <v>52.139999389648402</v>
          </cell>
          <cell r="AR78">
            <v>53.701000213622997</v>
          </cell>
          <cell r="AS78">
            <v>54.233001708984403</v>
          </cell>
          <cell r="AT78">
            <v>54.919998168945298</v>
          </cell>
          <cell r="AU78">
            <v>54.922000885009801</v>
          </cell>
          <cell r="AV78">
            <v>54.641998291015597</v>
          </cell>
          <cell r="AW78">
            <v>54.2820014953613</v>
          </cell>
          <cell r="AX78">
            <v>55.519001007080099</v>
          </cell>
          <cell r="AY78">
            <v>56.316001892089801</v>
          </cell>
          <cell r="AZ78">
            <v>57.103000640869098</v>
          </cell>
          <cell r="BA78">
            <v>57.597000122070298</v>
          </cell>
          <cell r="BB78">
            <v>55.4539985656738</v>
          </cell>
          <cell r="BC78">
            <v>54.817001342773402</v>
          </cell>
          <cell r="BD78">
            <v>55.169998168945298</v>
          </cell>
          <cell r="BE78">
            <v>55.0789985656738</v>
          </cell>
          <cell r="BF78">
            <v>54.219001770019503</v>
          </cell>
          <cell r="BG78">
            <v>53.7820014953613</v>
          </cell>
          <cell r="BH78">
            <v>53.325000762939503</v>
          </cell>
          <cell r="BI78">
            <v>53.319999694824197</v>
          </cell>
          <cell r="BJ78">
            <v>53.6570014953613</v>
          </cell>
          <cell r="BK78">
            <v>54.937000274658203</v>
          </cell>
        </row>
        <row r="79">
          <cell r="B79" t="str">
            <v>FJI</v>
          </cell>
          <cell r="C79" t="str">
            <v>Employment to population ratio, 15+, total (%) (modeled ILO estimate)</v>
          </cell>
          <cell r="D79" t="str">
            <v>SL.EMP.TOTL.SP.ZS</v>
          </cell>
          <cell r="AJ79">
            <v>57.859001159667997</v>
          </cell>
          <cell r="AK79">
            <v>57.641998291015597</v>
          </cell>
          <cell r="AL79">
            <v>57.5320014953613</v>
          </cell>
          <cell r="AM79">
            <v>57.345001220703097</v>
          </cell>
          <cell r="AN79">
            <v>57.258998870849602</v>
          </cell>
          <cell r="AO79">
            <v>57.033000946044901</v>
          </cell>
          <cell r="AP79">
            <v>56.530998229980497</v>
          </cell>
          <cell r="AQ79">
            <v>56.033000946044901</v>
          </cell>
          <cell r="AR79">
            <v>55.535999298095703</v>
          </cell>
          <cell r="AS79">
            <v>55.111000061035199</v>
          </cell>
          <cell r="AT79">
            <v>54.972999572753899</v>
          </cell>
          <cell r="AU79">
            <v>54.867000579833999</v>
          </cell>
          <cell r="AV79">
            <v>54.819999694824197</v>
          </cell>
          <cell r="AW79">
            <v>54.797000885009801</v>
          </cell>
          <cell r="AX79">
            <v>54.758998870849602</v>
          </cell>
          <cell r="AY79">
            <v>55.672000885009801</v>
          </cell>
          <cell r="AZ79">
            <v>56.5460014343262</v>
          </cell>
          <cell r="BA79">
            <v>57.359001159667997</v>
          </cell>
          <cell r="BB79">
            <v>58.013999938964801</v>
          </cell>
          <cell r="BC79">
            <v>58.791999816894503</v>
          </cell>
          <cell r="BD79">
            <v>59.719001770019503</v>
          </cell>
          <cell r="BE79">
            <v>58.689998626708999</v>
          </cell>
          <cell r="BF79">
            <v>57.652999877929702</v>
          </cell>
          <cell r="BG79">
            <v>56.636001586914098</v>
          </cell>
          <cell r="BH79">
            <v>56.220001220703097</v>
          </cell>
          <cell r="BI79">
            <v>55.636001586914098</v>
          </cell>
          <cell r="BJ79">
            <v>55.472000122070298</v>
          </cell>
          <cell r="BK79">
            <v>55.298000335693402</v>
          </cell>
        </row>
        <row r="80">
          <cell r="B80" t="str">
            <v>FRA</v>
          </cell>
          <cell r="C80" t="str">
            <v>Employment to population ratio, 15+, total (%) (modeled ILO estimate)</v>
          </cell>
          <cell r="D80" t="str">
            <v>SL.EMP.TOTL.SP.ZS</v>
          </cell>
          <cell r="AJ80">
            <v>50.027999877929702</v>
          </cell>
          <cell r="AK80">
            <v>49.527999877929702</v>
          </cell>
          <cell r="AL80">
            <v>48.904998779296903</v>
          </cell>
          <cell r="AM80">
            <v>48.130001068115199</v>
          </cell>
          <cell r="AN80">
            <v>48.581001281738303</v>
          </cell>
          <cell r="AO80">
            <v>48.639999389648402</v>
          </cell>
          <cell r="AP80">
            <v>48.2239990234375</v>
          </cell>
          <cell r="AQ80">
            <v>48.542999267578097</v>
          </cell>
          <cell r="AR80">
            <v>48.808998107910199</v>
          </cell>
          <cell r="AS80">
            <v>49.731998443603501</v>
          </cell>
          <cell r="AT80">
            <v>50.339000701904297</v>
          </cell>
          <cell r="AU80">
            <v>50.474998474121101</v>
          </cell>
          <cell r="AV80">
            <v>51.283000946044901</v>
          </cell>
          <cell r="AW80">
            <v>50.840000152587898</v>
          </cell>
          <cell r="AX80">
            <v>51.147998809814503</v>
          </cell>
          <cell r="AY80">
            <v>51.083999633789098</v>
          </cell>
          <cell r="AZ80">
            <v>51.650001525878899</v>
          </cell>
          <cell r="BA80">
            <v>52.073001861572301</v>
          </cell>
          <cell r="BB80">
            <v>51.293998718261697</v>
          </cell>
          <cell r="BC80">
            <v>51.129001617431598</v>
          </cell>
          <cell r="BD80">
            <v>50.925998687744098</v>
          </cell>
          <cell r="BE80">
            <v>50.756999969482401</v>
          </cell>
          <cell r="BF80">
            <v>50.432998657226598</v>
          </cell>
          <cell r="BG80">
            <v>49.863998413085902</v>
          </cell>
          <cell r="BH80">
            <v>49.721000671386697</v>
          </cell>
          <cell r="BI80">
            <v>49.790000915527301</v>
          </cell>
          <cell r="BJ80">
            <v>50.0320014953613</v>
          </cell>
          <cell r="BK80">
            <v>50.305999755859403</v>
          </cell>
        </row>
        <row r="81">
          <cell r="B81" t="str">
            <v>FRO</v>
          </cell>
          <cell r="C81" t="str">
            <v>Employment to population ratio, 15+, total (%) (modeled ILO estimate)</v>
          </cell>
          <cell r="D81" t="str">
            <v>SL.EMP.TOTL.SP.ZS</v>
          </cell>
        </row>
        <row r="82">
          <cell r="B82" t="str">
            <v>FSM</v>
          </cell>
          <cell r="C82" t="str">
            <v>Employment to population ratio, 15+, total (%) (modeled ILO estimate)</v>
          </cell>
          <cell r="D82" t="str">
            <v>SL.EMP.TOTL.SP.ZS</v>
          </cell>
        </row>
        <row r="83">
          <cell r="B83" t="str">
            <v>GAB</v>
          </cell>
          <cell r="C83" t="str">
            <v>Employment to population ratio, 15+, total (%) (modeled ILO estimate)</v>
          </cell>
          <cell r="D83" t="str">
            <v>SL.EMP.TOTL.SP.ZS</v>
          </cell>
          <cell r="AJ83">
            <v>38.459999084472699</v>
          </cell>
          <cell r="AK83">
            <v>38.472999572753899</v>
          </cell>
          <cell r="AL83">
            <v>38.345001220703097</v>
          </cell>
          <cell r="AM83">
            <v>38.332000732421903</v>
          </cell>
          <cell r="AN83">
            <v>38.319000244140597</v>
          </cell>
          <cell r="AO83">
            <v>38.344001770019503</v>
          </cell>
          <cell r="AP83">
            <v>38.370998382568402</v>
          </cell>
          <cell r="AQ83">
            <v>38.437999725341797</v>
          </cell>
          <cell r="AR83">
            <v>38.678001403808601</v>
          </cell>
          <cell r="AS83">
            <v>38.860000610351598</v>
          </cell>
          <cell r="AT83">
            <v>38.926998138427699</v>
          </cell>
          <cell r="AU83">
            <v>39.015998840332003</v>
          </cell>
          <cell r="AV83">
            <v>39.140998840332003</v>
          </cell>
          <cell r="AW83">
            <v>39.374000549316399</v>
          </cell>
          <cell r="AX83">
            <v>39.625999450683601</v>
          </cell>
          <cell r="AY83">
            <v>39.650001525878899</v>
          </cell>
          <cell r="AZ83">
            <v>39.590000152587898</v>
          </cell>
          <cell r="BA83">
            <v>39.674999237060497</v>
          </cell>
          <cell r="BB83">
            <v>39.463001251220703</v>
          </cell>
          <cell r="BC83">
            <v>39.3689994812012</v>
          </cell>
          <cell r="BD83">
            <v>39.470001220703097</v>
          </cell>
          <cell r="BE83">
            <v>39.680999755859403</v>
          </cell>
          <cell r="BF83">
            <v>39.9739990234375</v>
          </cell>
          <cell r="BG83">
            <v>40.437999725341797</v>
          </cell>
          <cell r="BH83">
            <v>40.933998107910199</v>
          </cell>
          <cell r="BI83">
            <v>41.3689994812012</v>
          </cell>
          <cell r="BJ83">
            <v>41.824001312255902</v>
          </cell>
          <cell r="BK83">
            <v>42.212001800537102</v>
          </cell>
        </row>
        <row r="84">
          <cell r="B84" t="str">
            <v>GBR</v>
          </cell>
          <cell r="C84" t="str">
            <v>Employment to population ratio, 15+, total (%) (modeled ILO estimate)</v>
          </cell>
          <cell r="D84" t="str">
            <v>SL.EMP.TOTL.SP.ZS</v>
          </cell>
          <cell r="AJ84">
            <v>56.867000579833999</v>
          </cell>
          <cell r="AK84">
            <v>55.706001281738303</v>
          </cell>
          <cell r="AL84">
            <v>54.858001708984403</v>
          </cell>
          <cell r="AM84">
            <v>55.1119995117188</v>
          </cell>
          <cell r="AN84">
            <v>55.536998748779297</v>
          </cell>
          <cell r="AO84">
            <v>55.883998870849602</v>
          </cell>
          <cell r="AP84">
            <v>56.727001190185497</v>
          </cell>
          <cell r="AQ84">
            <v>57.158000946044901</v>
          </cell>
          <cell r="AR84">
            <v>57.550998687744098</v>
          </cell>
          <cell r="AS84">
            <v>58.025001525878899</v>
          </cell>
          <cell r="AT84">
            <v>58.126998901367202</v>
          </cell>
          <cell r="AU84">
            <v>58.166000366210902</v>
          </cell>
          <cell r="AV84">
            <v>58.418998718261697</v>
          </cell>
          <cell r="AW84">
            <v>58.594001770019503</v>
          </cell>
          <cell r="AX84">
            <v>58.824001312255902</v>
          </cell>
          <cell r="AY84">
            <v>58.771999359130902</v>
          </cell>
          <cell r="AZ84">
            <v>58.682998657226598</v>
          </cell>
          <cell r="BA84">
            <v>58.719001770019503</v>
          </cell>
          <cell r="BB84">
            <v>57.372001647949197</v>
          </cell>
          <cell r="BC84">
            <v>57.051998138427699</v>
          </cell>
          <cell r="BD84">
            <v>56.826000213622997</v>
          </cell>
          <cell r="BE84">
            <v>57.150001525878899</v>
          </cell>
          <cell r="BF84">
            <v>57.527999877929702</v>
          </cell>
          <cell r="BG84">
            <v>58.5</v>
          </cell>
          <cell r="BH84">
            <v>59.061000823974602</v>
          </cell>
          <cell r="BI84">
            <v>59.504001617431598</v>
          </cell>
          <cell r="BJ84">
            <v>59.805000305175803</v>
          </cell>
          <cell r="BK84">
            <v>60.238998413085902</v>
          </cell>
        </row>
        <row r="85">
          <cell r="B85" t="str">
            <v>GEO</v>
          </cell>
          <cell r="C85" t="str">
            <v>Employment to population ratio, 15+, total (%) (modeled ILO estimate)</v>
          </cell>
          <cell r="D85" t="str">
            <v>SL.EMP.TOTL.SP.ZS</v>
          </cell>
          <cell r="AJ85">
            <v>65.311996459960895</v>
          </cell>
          <cell r="AK85">
            <v>63.896999359130902</v>
          </cell>
          <cell r="AL85">
            <v>64.316001892089801</v>
          </cell>
          <cell r="AM85">
            <v>62.712001800537102</v>
          </cell>
          <cell r="AN85">
            <v>62.805000305175803</v>
          </cell>
          <cell r="AO85">
            <v>59.363998413085902</v>
          </cell>
          <cell r="AP85">
            <v>58.6310005187988</v>
          </cell>
          <cell r="AQ85">
            <v>56.314998626708999</v>
          </cell>
          <cell r="AR85">
            <v>56.519001007080099</v>
          </cell>
          <cell r="AS85">
            <v>56.603000640869098</v>
          </cell>
          <cell r="AT85">
            <v>58.588001251220703</v>
          </cell>
          <cell r="AU85">
            <v>55.875999450683601</v>
          </cell>
          <cell r="AV85">
            <v>57.833999633789098</v>
          </cell>
          <cell r="AW85">
            <v>56.141998291015597</v>
          </cell>
          <cell r="AX85">
            <v>55.261001586914098</v>
          </cell>
          <cell r="AY85">
            <v>55.583000183105497</v>
          </cell>
          <cell r="AZ85">
            <v>55.958999633789098</v>
          </cell>
          <cell r="BA85">
            <v>53.191001892089801</v>
          </cell>
          <cell r="BB85">
            <v>51.537998199462898</v>
          </cell>
          <cell r="BC85">
            <v>52.917999267578097</v>
          </cell>
          <cell r="BD85">
            <v>54.0989990234375</v>
          </cell>
          <cell r="BE85">
            <v>54.849998474121101</v>
          </cell>
          <cell r="BF85">
            <v>54.5859985351563</v>
          </cell>
          <cell r="BG85">
            <v>56.582000732421903</v>
          </cell>
          <cell r="BH85">
            <v>57.826999664306598</v>
          </cell>
          <cell r="BI85">
            <v>57.074001312255902</v>
          </cell>
          <cell r="BJ85">
            <v>58.840000152587898</v>
          </cell>
          <cell r="BK85">
            <v>58.869998931884801</v>
          </cell>
        </row>
        <row r="86">
          <cell r="B86" t="str">
            <v>GHA</v>
          </cell>
          <cell r="C86" t="str">
            <v>Employment to population ratio, 15+, total (%) (modeled ILO estimate)</v>
          </cell>
          <cell r="D86" t="str">
            <v>SL.EMP.TOTL.SP.ZS</v>
          </cell>
          <cell r="AJ86">
            <v>71.403999328613295</v>
          </cell>
          <cell r="AK86">
            <v>71.394996643066406</v>
          </cell>
          <cell r="AL86">
            <v>70.958000183105497</v>
          </cell>
          <cell r="AM86">
            <v>70.551002502441406</v>
          </cell>
          <cell r="AN86">
            <v>70.113998413085895</v>
          </cell>
          <cell r="AO86">
            <v>69.680000305175795</v>
          </cell>
          <cell r="AP86">
            <v>69.245002746582003</v>
          </cell>
          <cell r="AQ86">
            <v>68.755996704101605</v>
          </cell>
          <cell r="AR86">
            <v>67.277000427246094</v>
          </cell>
          <cell r="AS86">
            <v>66.994003295898395</v>
          </cell>
          <cell r="AT86">
            <v>67.286003112792997</v>
          </cell>
          <cell r="AU86">
            <v>67.457000732421903</v>
          </cell>
          <cell r="AV86">
            <v>67.630996704101605</v>
          </cell>
          <cell r="AW86">
            <v>67.808998107910199</v>
          </cell>
          <cell r="AX86">
            <v>67.956001281738295</v>
          </cell>
          <cell r="AY86">
            <v>68.094001770019503</v>
          </cell>
          <cell r="AZ86">
            <v>67.7760009765625</v>
          </cell>
          <cell r="BA86">
            <v>67.413002014160199</v>
          </cell>
          <cell r="BB86">
            <v>66.855003356933594</v>
          </cell>
          <cell r="BC86">
            <v>66.400001525878906</v>
          </cell>
          <cell r="BD86">
            <v>65.833999633789105</v>
          </cell>
          <cell r="BE86">
            <v>65.234001159667997</v>
          </cell>
          <cell r="BF86">
            <v>64.602996826171903</v>
          </cell>
          <cell r="BG86">
            <v>64.009002685546903</v>
          </cell>
          <cell r="BH86">
            <v>63.388999938964801</v>
          </cell>
          <cell r="BI86">
            <v>64.311996459960895</v>
          </cell>
          <cell r="BJ86">
            <v>65.081001281738295</v>
          </cell>
          <cell r="BK86">
            <v>65.069999694824205</v>
          </cell>
        </row>
        <row r="87">
          <cell r="B87" t="str">
            <v>GIB</v>
          </cell>
          <cell r="C87" t="str">
            <v>Employment to population ratio, 15+, total (%) (modeled ILO estimate)</v>
          </cell>
          <cell r="D87" t="str">
            <v>SL.EMP.TOTL.SP.ZS</v>
          </cell>
        </row>
        <row r="88">
          <cell r="B88" t="str">
            <v>GIN</v>
          </cell>
          <cell r="C88" t="str">
            <v>Employment to population ratio, 15+, total (%) (modeled ILO estimate)</v>
          </cell>
          <cell r="D88" t="str">
            <v>SL.EMP.TOTL.SP.ZS</v>
          </cell>
          <cell r="AJ88">
            <v>61.457000732421903</v>
          </cell>
          <cell r="AK88">
            <v>61.505001068115199</v>
          </cell>
          <cell r="AL88">
            <v>61.451999664306598</v>
          </cell>
          <cell r="AM88">
            <v>61.419998168945298</v>
          </cell>
          <cell r="AN88">
            <v>61.347000122070298</v>
          </cell>
          <cell r="AO88">
            <v>61.370998382568402</v>
          </cell>
          <cell r="AP88">
            <v>61.360000610351598</v>
          </cell>
          <cell r="AQ88">
            <v>61.326999664306598</v>
          </cell>
          <cell r="AR88">
            <v>61.220001220703097</v>
          </cell>
          <cell r="AS88">
            <v>61.130001068115199</v>
          </cell>
          <cell r="AT88">
            <v>61.125999450683601</v>
          </cell>
          <cell r="AU88">
            <v>61.013999938964801</v>
          </cell>
          <cell r="AV88">
            <v>60.935001373291001</v>
          </cell>
          <cell r="AW88">
            <v>60.834999084472699</v>
          </cell>
          <cell r="AX88">
            <v>60.707000732421903</v>
          </cell>
          <cell r="AY88">
            <v>60.745998382568402</v>
          </cell>
          <cell r="AZ88">
            <v>60.680000305175803</v>
          </cell>
          <cell r="BA88">
            <v>60.584999084472699</v>
          </cell>
          <cell r="BB88">
            <v>60.376998901367202</v>
          </cell>
          <cell r="BC88">
            <v>60.178001403808601</v>
          </cell>
          <cell r="BD88">
            <v>60.053001403808601</v>
          </cell>
          <cell r="BE88">
            <v>59.908000946044901</v>
          </cell>
          <cell r="BF88">
            <v>59.771999359130902</v>
          </cell>
          <cell r="BG88">
            <v>59.668998718261697</v>
          </cell>
          <cell r="BH88">
            <v>59.548000335693402</v>
          </cell>
          <cell r="BI88">
            <v>59.2960014343262</v>
          </cell>
          <cell r="BJ88">
            <v>59.043998718261697</v>
          </cell>
          <cell r="BK88">
            <v>58.870998382568402</v>
          </cell>
        </row>
        <row r="89">
          <cell r="B89" t="str">
            <v>GMB</v>
          </cell>
          <cell r="C89" t="str">
            <v>Employment to population ratio, 15+, total (%) (modeled ILO estimate)</v>
          </cell>
          <cell r="D89" t="str">
            <v>SL.EMP.TOTL.SP.ZS</v>
          </cell>
          <cell r="AJ89">
            <v>52.594001770019503</v>
          </cell>
          <cell r="AK89">
            <v>52.7299995422363</v>
          </cell>
          <cell r="AL89">
            <v>52.785999298095703</v>
          </cell>
          <cell r="AM89">
            <v>52.866001129150398</v>
          </cell>
          <cell r="AN89">
            <v>52.950000762939503</v>
          </cell>
          <cell r="AO89">
            <v>52.950000762939503</v>
          </cell>
          <cell r="AP89">
            <v>52.956001281738303</v>
          </cell>
          <cell r="AQ89">
            <v>52.948001861572301</v>
          </cell>
          <cell r="AR89">
            <v>52.887001037597699</v>
          </cell>
          <cell r="AS89">
            <v>52.868000030517599</v>
          </cell>
          <cell r="AT89">
            <v>52.8549995422363</v>
          </cell>
          <cell r="AU89">
            <v>52.7890014648438</v>
          </cell>
          <cell r="AV89">
            <v>52.765998840332003</v>
          </cell>
          <cell r="AW89">
            <v>52.800998687744098</v>
          </cell>
          <cell r="AX89">
            <v>52.866001129150398</v>
          </cell>
          <cell r="AY89">
            <v>53.001998901367202</v>
          </cell>
          <cell r="AZ89">
            <v>53.125</v>
          </cell>
          <cell r="BA89">
            <v>53.200000762939503</v>
          </cell>
          <cell r="BB89">
            <v>53.064998626708999</v>
          </cell>
          <cell r="BC89">
            <v>53.118000030517599</v>
          </cell>
          <cell r="BD89">
            <v>53.2439994812012</v>
          </cell>
          <cell r="BE89">
            <v>53.383998870849602</v>
          </cell>
          <cell r="BF89">
            <v>53.355998992919901</v>
          </cell>
          <cell r="BG89">
            <v>53.4869995117188</v>
          </cell>
          <cell r="BH89">
            <v>53.515998840332003</v>
          </cell>
          <cell r="BI89">
            <v>53.679000854492202</v>
          </cell>
          <cell r="BJ89">
            <v>53.804000854492202</v>
          </cell>
          <cell r="BK89">
            <v>53.886001586914098</v>
          </cell>
        </row>
        <row r="90">
          <cell r="B90" t="str">
            <v>GNB</v>
          </cell>
          <cell r="C90" t="str">
            <v>Employment to population ratio, 15+, total (%) (modeled ILO estimate)</v>
          </cell>
          <cell r="D90" t="str">
            <v>SL.EMP.TOTL.SP.ZS</v>
          </cell>
          <cell r="AJ90">
            <v>71.290000915527301</v>
          </cell>
          <cell r="AK90">
            <v>71.232002258300795</v>
          </cell>
          <cell r="AL90">
            <v>71.117996215820298</v>
          </cell>
          <cell r="AM90">
            <v>71.001998901367202</v>
          </cell>
          <cell r="AN90">
            <v>70.838996887207003</v>
          </cell>
          <cell r="AO90">
            <v>70.658996582031307</v>
          </cell>
          <cell r="AP90">
            <v>70.477996826171903</v>
          </cell>
          <cell r="AQ90">
            <v>70.595001220703097</v>
          </cell>
          <cell r="AR90">
            <v>70.390998840332003</v>
          </cell>
          <cell r="AS90">
            <v>70.210998535156307</v>
          </cell>
          <cell r="AT90">
            <v>70.106002807617202</v>
          </cell>
          <cell r="AU90">
            <v>70.002998352050795</v>
          </cell>
          <cell r="AV90">
            <v>69.918998718261705</v>
          </cell>
          <cell r="AW90">
            <v>69.846000671386705</v>
          </cell>
          <cell r="AX90">
            <v>69.772003173828097</v>
          </cell>
          <cell r="AY90">
            <v>69.805000305175795</v>
          </cell>
          <cell r="AZ90">
            <v>69.823997497558594</v>
          </cell>
          <cell r="BA90">
            <v>69.815002441406307</v>
          </cell>
          <cell r="BB90">
            <v>69.660003662109403</v>
          </cell>
          <cell r="BC90">
            <v>69.627998352050795</v>
          </cell>
          <cell r="BD90">
            <v>69.660003662109403</v>
          </cell>
          <cell r="BE90">
            <v>69.769996643066406</v>
          </cell>
          <cell r="BF90">
            <v>69.834999084472699</v>
          </cell>
          <cell r="BG90">
            <v>69.952003479003906</v>
          </cell>
          <cell r="BH90">
            <v>70.001998901367202</v>
          </cell>
          <cell r="BI90">
            <v>70.058998107910199</v>
          </cell>
          <cell r="BJ90">
            <v>70.117996215820298</v>
          </cell>
          <cell r="BK90">
            <v>70.170997619628906</v>
          </cell>
        </row>
        <row r="91">
          <cell r="B91" t="str">
            <v>GNQ</v>
          </cell>
          <cell r="C91" t="str">
            <v>Employment to population ratio, 15+, total (%) (modeled ILO estimate)</v>
          </cell>
          <cell r="D91" t="str">
            <v>SL.EMP.TOTL.SP.ZS</v>
          </cell>
          <cell r="AJ91">
            <v>56.054000854492202</v>
          </cell>
          <cell r="AK91">
            <v>56.070999145507798</v>
          </cell>
          <cell r="AL91">
            <v>56.057998657226598</v>
          </cell>
          <cell r="AM91">
            <v>56.055000305175803</v>
          </cell>
          <cell r="AN91">
            <v>55.990001678466797</v>
          </cell>
          <cell r="AO91">
            <v>55.576000213622997</v>
          </cell>
          <cell r="AP91">
            <v>55.229000091552699</v>
          </cell>
          <cell r="AQ91">
            <v>55.014999389648402</v>
          </cell>
          <cell r="AR91">
            <v>54.9609985351563</v>
          </cell>
          <cell r="AS91">
            <v>55.134998321533203</v>
          </cell>
          <cell r="AT91">
            <v>55.0260009765625</v>
          </cell>
          <cell r="AU91">
            <v>55.050998687744098</v>
          </cell>
          <cell r="AV91">
            <v>55.320999145507798</v>
          </cell>
          <cell r="AW91">
            <v>55.7890014648438</v>
          </cell>
          <cell r="AX91">
            <v>56.345001220703097</v>
          </cell>
          <cell r="AY91">
            <v>56.416000366210902</v>
          </cell>
          <cell r="AZ91">
            <v>56.615001678466797</v>
          </cell>
          <cell r="BA91">
            <v>56.944000244140597</v>
          </cell>
          <cell r="BB91">
            <v>57.189998626708999</v>
          </cell>
          <cell r="BC91">
            <v>57.624000549316399</v>
          </cell>
          <cell r="BD91">
            <v>57.506999969482401</v>
          </cell>
          <cell r="BE91">
            <v>57.459999084472699</v>
          </cell>
          <cell r="BF91">
            <v>57.569000244140597</v>
          </cell>
          <cell r="BG91">
            <v>57.882999420166001</v>
          </cell>
          <cell r="BH91">
            <v>58.2560005187988</v>
          </cell>
          <cell r="BI91">
            <v>57.952999114990199</v>
          </cell>
          <cell r="BJ91">
            <v>57.787998199462898</v>
          </cell>
          <cell r="BK91">
            <v>57.820999145507798</v>
          </cell>
        </row>
        <row r="92">
          <cell r="B92" t="str">
            <v>GRC</v>
          </cell>
          <cell r="C92" t="str">
            <v>Employment to population ratio, 15+, total (%) (modeled ILO estimate)</v>
          </cell>
          <cell r="D92" t="str">
            <v>SL.EMP.TOTL.SP.ZS</v>
          </cell>
          <cell r="AJ92">
            <v>46.1189994812012</v>
          </cell>
          <cell r="AK92">
            <v>46.6710014343262</v>
          </cell>
          <cell r="AL92">
            <v>46.137001037597699</v>
          </cell>
          <cell r="AM92">
            <v>46.624000549316399</v>
          </cell>
          <cell r="AN92">
            <v>46.955001831054702</v>
          </cell>
          <cell r="AO92">
            <v>47.248001098632798</v>
          </cell>
          <cell r="AP92">
            <v>47.094001770019503</v>
          </cell>
          <cell r="AQ92">
            <v>47.252998352050803</v>
          </cell>
          <cell r="AR92">
            <v>47.060001373291001</v>
          </cell>
          <cell r="AS92">
            <v>47.366001129150398</v>
          </cell>
          <cell r="AT92">
            <v>46.897998809814503</v>
          </cell>
          <cell r="AU92">
            <v>47.452999114990199</v>
          </cell>
          <cell r="AV92">
            <v>48.096000671386697</v>
          </cell>
          <cell r="AW92">
            <v>48.361000061035199</v>
          </cell>
          <cell r="AX92">
            <v>48.359001159667997</v>
          </cell>
          <cell r="AY92">
            <v>48.918998718261697</v>
          </cell>
          <cell r="AZ92">
            <v>48.956001281738303</v>
          </cell>
          <cell r="BA92">
            <v>49.087001800537102</v>
          </cell>
          <cell r="BB92">
            <v>48.316001892089801</v>
          </cell>
          <cell r="BC92">
            <v>46.612998962402301</v>
          </cell>
          <cell r="BD92">
            <v>43.400001525878899</v>
          </cell>
          <cell r="BE92">
            <v>39.777000427246101</v>
          </cell>
          <cell r="BF92">
            <v>38.008998870849602</v>
          </cell>
          <cell r="BG92">
            <v>38.277999877929702</v>
          </cell>
          <cell r="BH92">
            <v>39.199001312255902</v>
          </cell>
          <cell r="BI92">
            <v>39.949001312255902</v>
          </cell>
          <cell r="BJ92">
            <v>40.949001312255902</v>
          </cell>
          <cell r="BK92">
            <v>42.042999267578097</v>
          </cell>
        </row>
        <row r="93">
          <cell r="B93" t="str">
            <v>GRD</v>
          </cell>
          <cell r="C93" t="str">
            <v>Employment to population ratio, 15+, total (%) (modeled ILO estimate)</v>
          </cell>
          <cell r="D93" t="str">
            <v>SL.EMP.TOTL.SP.ZS</v>
          </cell>
        </row>
        <row r="94">
          <cell r="B94" t="str">
            <v>GRL</v>
          </cell>
          <cell r="C94" t="str">
            <v>Employment to population ratio, 15+, total (%) (modeled ILO estimate)</v>
          </cell>
          <cell r="D94" t="str">
            <v>SL.EMP.TOTL.SP.ZS</v>
          </cell>
        </row>
        <row r="95">
          <cell r="B95" t="str">
            <v>GTM</v>
          </cell>
          <cell r="C95" t="str">
            <v>Employment to population ratio, 15+, total (%) (modeled ILO estimate)</v>
          </cell>
          <cell r="D95" t="str">
            <v>SL.EMP.TOTL.SP.ZS</v>
          </cell>
          <cell r="AJ95">
            <v>60.231998443603501</v>
          </cell>
          <cell r="AK95">
            <v>60.243000030517599</v>
          </cell>
          <cell r="AL95">
            <v>60.201999664306598</v>
          </cell>
          <cell r="AM95">
            <v>60.214000701904297</v>
          </cell>
          <cell r="AN95">
            <v>60.2890014648438</v>
          </cell>
          <cell r="AO95">
            <v>60.284000396728501</v>
          </cell>
          <cell r="AP95">
            <v>60.362998962402301</v>
          </cell>
          <cell r="AQ95">
            <v>60.477001190185497</v>
          </cell>
          <cell r="AR95">
            <v>60.527999877929702</v>
          </cell>
          <cell r="AS95">
            <v>60.595001220703097</v>
          </cell>
          <cell r="AT95">
            <v>60.658000946044901</v>
          </cell>
          <cell r="AU95">
            <v>60.7439994812012</v>
          </cell>
          <cell r="AV95">
            <v>60.801998138427699</v>
          </cell>
          <cell r="AW95">
            <v>60.791999816894503</v>
          </cell>
          <cell r="AX95">
            <v>60.584999084472699</v>
          </cell>
          <cell r="AY95">
            <v>60.4210014343262</v>
          </cell>
          <cell r="AZ95">
            <v>60.236000061035199</v>
          </cell>
          <cell r="BA95">
            <v>60</v>
          </cell>
          <cell r="BB95">
            <v>59.6049995422363</v>
          </cell>
          <cell r="BC95">
            <v>59.311000823974602</v>
          </cell>
          <cell r="BD95">
            <v>59.355998992919901</v>
          </cell>
          <cell r="BE95">
            <v>64.232002258300795</v>
          </cell>
          <cell r="BF95">
            <v>59.403999328613303</v>
          </cell>
          <cell r="BG95">
            <v>60.104000091552699</v>
          </cell>
          <cell r="BH95">
            <v>59.887001037597699</v>
          </cell>
          <cell r="BI95">
            <v>60.340999603271499</v>
          </cell>
          <cell r="BJ95">
            <v>60.665000915527301</v>
          </cell>
          <cell r="BK95">
            <v>60.833999633789098</v>
          </cell>
        </row>
        <row r="96">
          <cell r="B96" t="str">
            <v>GUM</v>
          </cell>
          <cell r="C96" t="str">
            <v>Employment to population ratio, 15+, total (%) (modeled ILO estimate)</v>
          </cell>
          <cell r="D96" t="str">
            <v>SL.EMP.TOTL.SP.ZS</v>
          </cell>
          <cell r="AJ96">
            <v>69.070999145507798</v>
          </cell>
          <cell r="AK96">
            <v>68.758003234863295</v>
          </cell>
          <cell r="AL96">
            <v>67.400001525878906</v>
          </cell>
          <cell r="AM96">
            <v>65.736000061035199</v>
          </cell>
          <cell r="AN96">
            <v>65.335998535156307</v>
          </cell>
          <cell r="AO96">
            <v>64.916000366210895</v>
          </cell>
          <cell r="AP96">
            <v>63.678001403808601</v>
          </cell>
          <cell r="AQ96">
            <v>64.679000854492202</v>
          </cell>
          <cell r="AR96">
            <v>60.0929985046387</v>
          </cell>
          <cell r="AS96">
            <v>58.8950004577637</v>
          </cell>
          <cell r="AT96">
            <v>60.146999359130902</v>
          </cell>
          <cell r="AU96">
            <v>61.167999267578097</v>
          </cell>
          <cell r="AV96">
            <v>62.126998901367202</v>
          </cell>
          <cell r="AW96">
            <v>63.133998870849602</v>
          </cell>
          <cell r="AX96">
            <v>63.292999267578097</v>
          </cell>
          <cell r="AY96">
            <v>62.754001617431598</v>
          </cell>
          <cell r="AZ96">
            <v>61.820999145507798</v>
          </cell>
          <cell r="BA96">
            <v>61.779998779296903</v>
          </cell>
          <cell r="BB96">
            <v>60.708999633789098</v>
          </cell>
          <cell r="BC96">
            <v>61.180000305175803</v>
          </cell>
          <cell r="BD96">
            <v>57.492000579833999</v>
          </cell>
          <cell r="BE96">
            <v>57.993000030517599</v>
          </cell>
          <cell r="BF96">
            <v>58.2369995117188</v>
          </cell>
          <cell r="BG96">
            <v>60.590000152587898</v>
          </cell>
          <cell r="BH96">
            <v>60.7630004882813</v>
          </cell>
          <cell r="BI96">
            <v>61.512001037597699</v>
          </cell>
          <cell r="BJ96">
            <v>61.502998352050803</v>
          </cell>
          <cell r="BK96">
            <v>61.438999176025398</v>
          </cell>
        </row>
        <row r="97">
          <cell r="B97" t="str">
            <v>GUY</v>
          </cell>
          <cell r="C97" t="str">
            <v>Employment to population ratio, 15+, total (%) (modeled ILO estimate)</v>
          </cell>
          <cell r="D97" t="str">
            <v>SL.EMP.TOTL.SP.ZS</v>
          </cell>
          <cell r="AJ97">
            <v>52.698001861572301</v>
          </cell>
          <cell r="AK97">
            <v>52.785999298095703</v>
          </cell>
          <cell r="AL97">
            <v>52.846000671386697</v>
          </cell>
          <cell r="AM97">
            <v>52.3880004882813</v>
          </cell>
          <cell r="AN97">
            <v>51.933998107910199</v>
          </cell>
          <cell r="AO97">
            <v>51.555000305175803</v>
          </cell>
          <cell r="AP97">
            <v>51.250999450683601</v>
          </cell>
          <cell r="AQ97">
            <v>50.991001129150398</v>
          </cell>
          <cell r="AR97">
            <v>50.720001220703097</v>
          </cell>
          <cell r="AS97">
            <v>50.511001586914098</v>
          </cell>
          <cell r="AT97">
            <v>50.105998992919901</v>
          </cell>
          <cell r="AU97">
            <v>49.606998443603501</v>
          </cell>
          <cell r="AV97">
            <v>49.832000732421903</v>
          </cell>
          <cell r="AW97">
            <v>50.018001556396499</v>
          </cell>
          <cell r="AX97">
            <v>50.131999969482401</v>
          </cell>
          <cell r="AY97">
            <v>50.3810005187988</v>
          </cell>
          <cell r="AZ97">
            <v>50.379001617431598</v>
          </cell>
          <cell r="BA97">
            <v>50.279998779296903</v>
          </cell>
          <cell r="BB97">
            <v>49.943000793457003</v>
          </cell>
          <cell r="BC97">
            <v>49.819000244140597</v>
          </cell>
          <cell r="BD97">
            <v>49.673000335693402</v>
          </cell>
          <cell r="BE97">
            <v>49.566001892089801</v>
          </cell>
          <cell r="BF97">
            <v>49.4799995422363</v>
          </cell>
          <cell r="BG97">
            <v>49.4609985351563</v>
          </cell>
          <cell r="BH97">
            <v>49.416999816894503</v>
          </cell>
          <cell r="BI97">
            <v>49.418998718261697</v>
          </cell>
          <cell r="BJ97">
            <v>49.4539985656738</v>
          </cell>
          <cell r="BK97">
            <v>49.4679985046387</v>
          </cell>
        </row>
        <row r="98">
          <cell r="B98" t="str">
            <v>HIC</v>
          </cell>
          <cell r="C98" t="str">
            <v>Employment to population ratio, 15+, total (%) (modeled ILO estimate)</v>
          </cell>
          <cell r="D98" t="str">
            <v>SL.EMP.TOTL.SP.ZS</v>
          </cell>
          <cell r="AJ98">
            <v>56.604537068630194</v>
          </cell>
          <cell r="AK98">
            <v>56.104047032813924</v>
          </cell>
          <cell r="AL98">
            <v>55.544638476601534</v>
          </cell>
          <cell r="AM98">
            <v>55.593308738672107</v>
          </cell>
          <cell r="AN98">
            <v>55.790816182808697</v>
          </cell>
          <cell r="AO98">
            <v>55.847647428023173</v>
          </cell>
          <cell r="AP98">
            <v>56.113976267525267</v>
          </cell>
          <cell r="AQ98">
            <v>56.101916527206598</v>
          </cell>
          <cell r="AR98">
            <v>56.24718236193722</v>
          </cell>
          <cell r="AS98">
            <v>56.553110037204071</v>
          </cell>
          <cell r="AT98">
            <v>56.372603229998113</v>
          </cell>
          <cell r="AU98">
            <v>56.036991244753906</v>
          </cell>
          <cell r="AV98">
            <v>55.932914025856647</v>
          </cell>
          <cell r="AW98">
            <v>56.011297460712349</v>
          </cell>
          <cell r="AX98">
            <v>56.371182445504417</v>
          </cell>
          <cell r="AY98">
            <v>56.827300224903958</v>
          </cell>
          <cell r="AZ98">
            <v>57.2511865686606</v>
          </cell>
          <cell r="BA98">
            <v>57.228709461098646</v>
          </cell>
          <cell r="BB98">
            <v>55.734990305450395</v>
          </cell>
          <cell r="BC98">
            <v>55.408328037060052</v>
          </cell>
          <cell r="BD98">
            <v>55.483600328484044</v>
          </cell>
          <cell r="BE98">
            <v>55.584696510265708</v>
          </cell>
          <cell r="BF98">
            <v>55.579710503426377</v>
          </cell>
          <cell r="BG98">
            <v>55.956850224088257</v>
          </cell>
          <cell r="BH98">
            <v>56.343591294473491</v>
          </cell>
          <cell r="BI98">
            <v>56.79391159839512</v>
          </cell>
          <cell r="BJ98">
            <v>57.266956532528631</v>
          </cell>
          <cell r="BK98">
            <v>57.744290742885717</v>
          </cell>
        </row>
        <row r="99">
          <cell r="B99" t="str">
            <v>HKG</v>
          </cell>
          <cell r="C99" t="str">
            <v>Employment to population ratio, 15+, total (%) (modeled ILO estimate)</v>
          </cell>
          <cell r="D99" t="str">
            <v>SL.EMP.TOTL.SP.ZS</v>
          </cell>
          <cell r="AJ99">
            <v>62.548999786377003</v>
          </cell>
          <cell r="AK99">
            <v>61.506999969482401</v>
          </cell>
          <cell r="AL99">
            <v>60.931999206542997</v>
          </cell>
          <cell r="AM99">
            <v>60.7179985046387</v>
          </cell>
          <cell r="AN99">
            <v>59.958000183105497</v>
          </cell>
          <cell r="AO99">
            <v>59.853000640869098</v>
          </cell>
          <cell r="AP99">
            <v>59.972000122070298</v>
          </cell>
          <cell r="AQ99">
            <v>58.495998382568402</v>
          </cell>
          <cell r="AR99">
            <v>57.444999694824197</v>
          </cell>
          <cell r="AS99">
            <v>58.2560005187988</v>
          </cell>
          <cell r="AT99">
            <v>58.127998352050803</v>
          </cell>
          <cell r="AU99">
            <v>57.1119995117188</v>
          </cell>
          <cell r="AV99">
            <v>56.430000305175803</v>
          </cell>
          <cell r="AW99">
            <v>57.048000335693402</v>
          </cell>
          <cell r="AX99">
            <v>57.527000427246101</v>
          </cell>
          <cell r="AY99">
            <v>57.931999206542997</v>
          </cell>
          <cell r="AZ99">
            <v>58.430999755859403</v>
          </cell>
          <cell r="BA99">
            <v>58.242000579833999</v>
          </cell>
          <cell r="BB99">
            <v>57.097000122070298</v>
          </cell>
          <cell r="BC99">
            <v>56.5989990234375</v>
          </cell>
          <cell r="BD99">
            <v>57.576000213622997</v>
          </cell>
          <cell r="BE99">
            <v>58.1119995117188</v>
          </cell>
          <cell r="BF99">
            <v>58.777999877929702</v>
          </cell>
          <cell r="BG99">
            <v>58.672000885009801</v>
          </cell>
          <cell r="BH99">
            <v>58.748001098632798</v>
          </cell>
          <cell r="BI99">
            <v>58.590999603271499</v>
          </cell>
          <cell r="BJ99">
            <v>58.679000854492202</v>
          </cell>
          <cell r="BK99">
            <v>58.645999908447301</v>
          </cell>
        </row>
        <row r="100">
          <cell r="B100" t="str">
            <v>HND</v>
          </cell>
          <cell r="C100" t="str">
            <v>Employment to population ratio, 15+, total (%) (modeled ILO estimate)</v>
          </cell>
          <cell r="D100" t="str">
            <v>SL.EMP.TOTL.SP.ZS</v>
          </cell>
          <cell r="AJ100">
            <v>63.271999359130902</v>
          </cell>
          <cell r="AK100">
            <v>64.457000732421903</v>
          </cell>
          <cell r="AL100">
            <v>64.591003417968807</v>
          </cell>
          <cell r="AM100">
            <v>64.516998291015597</v>
          </cell>
          <cell r="AN100">
            <v>64.688003540039105</v>
          </cell>
          <cell r="AO100">
            <v>63.965999603271499</v>
          </cell>
          <cell r="AP100">
            <v>64.811996459960895</v>
          </cell>
          <cell r="AQ100">
            <v>64.450996398925795</v>
          </cell>
          <cell r="AR100">
            <v>64.510002136230497</v>
          </cell>
          <cell r="AS100">
            <v>63.469001770019503</v>
          </cell>
          <cell r="AT100">
            <v>62.389999389648402</v>
          </cell>
          <cell r="AU100">
            <v>62.102001190185497</v>
          </cell>
          <cell r="AV100">
            <v>61.0060005187988</v>
          </cell>
          <cell r="AW100">
            <v>60.2960014343262</v>
          </cell>
          <cell r="AX100">
            <v>60.7179985046387</v>
          </cell>
          <cell r="AY100">
            <v>60.062999725341797</v>
          </cell>
          <cell r="AZ100">
            <v>59.363998413085902</v>
          </cell>
          <cell r="BA100">
            <v>60.126998901367202</v>
          </cell>
          <cell r="BB100">
            <v>61.1119995117188</v>
          </cell>
          <cell r="BC100">
            <v>61.694999694824197</v>
          </cell>
          <cell r="BD100">
            <v>59.402999877929702</v>
          </cell>
          <cell r="BE100">
            <v>58.951999664306598</v>
          </cell>
          <cell r="BF100">
            <v>61.442001342773402</v>
          </cell>
          <cell r="BG100">
            <v>61.8810005187988</v>
          </cell>
          <cell r="BH100">
            <v>62.4739990234375</v>
          </cell>
          <cell r="BI100">
            <v>61.708000183105497</v>
          </cell>
          <cell r="BJ100">
            <v>63.287998199462898</v>
          </cell>
          <cell r="BK100">
            <v>64.873001098632798</v>
          </cell>
        </row>
        <row r="101">
          <cell r="B101" t="str">
            <v>HPC</v>
          </cell>
          <cell r="C101" t="str">
            <v>Employment to population ratio, 15+, total (%) (modeled ILO estimate)</v>
          </cell>
          <cell r="D101" t="str">
            <v>SL.EMP.TOTL.SP.ZS</v>
          </cell>
          <cell r="AJ101">
            <v>69.180495176485621</v>
          </cell>
          <cell r="AK101">
            <v>69.09031043233631</v>
          </cell>
          <cell r="AL101">
            <v>68.923027011179485</v>
          </cell>
          <cell r="AM101">
            <v>68.833414118499476</v>
          </cell>
          <cell r="AN101">
            <v>68.79085547199135</v>
          </cell>
          <cell r="AO101">
            <v>68.785420679466498</v>
          </cell>
          <cell r="AP101">
            <v>68.818387883912081</v>
          </cell>
          <cell r="AQ101">
            <v>68.827431093467709</v>
          </cell>
          <cell r="AR101">
            <v>68.70608538646141</v>
          </cell>
          <cell r="AS101">
            <v>68.682270885796726</v>
          </cell>
          <cell r="AT101">
            <v>68.687385130928462</v>
          </cell>
          <cell r="AU101">
            <v>68.661961174580881</v>
          </cell>
          <cell r="AV101">
            <v>68.638521476284637</v>
          </cell>
          <cell r="AW101">
            <v>68.706443576719423</v>
          </cell>
          <cell r="AX101">
            <v>68.758168572111344</v>
          </cell>
          <cell r="AY101">
            <v>68.688588334308648</v>
          </cell>
          <cell r="AZ101">
            <v>68.532320184132303</v>
          </cell>
          <cell r="BA101">
            <v>68.320100705005345</v>
          </cell>
          <cell r="BB101">
            <v>67.8778616421328</v>
          </cell>
          <cell r="BC101">
            <v>67.397493979198117</v>
          </cell>
          <cell r="BD101">
            <v>67.118868500469191</v>
          </cell>
          <cell r="BE101">
            <v>66.81874887419157</v>
          </cell>
          <cell r="BF101">
            <v>66.705498573619892</v>
          </cell>
          <cell r="BG101">
            <v>66.527832248376242</v>
          </cell>
          <cell r="BH101">
            <v>66.270335333370653</v>
          </cell>
          <cell r="BI101">
            <v>66.266521911339538</v>
          </cell>
          <cell r="BJ101">
            <v>66.298563831792009</v>
          </cell>
          <cell r="BK101">
            <v>66.329492107453731</v>
          </cell>
        </row>
        <row r="102">
          <cell r="B102" t="str">
            <v>HRV</v>
          </cell>
          <cell r="C102" t="str">
            <v>Employment to population ratio, 15+, total (%) (modeled ILO estimate)</v>
          </cell>
          <cell r="D102" t="str">
            <v>SL.EMP.TOTL.SP.ZS</v>
          </cell>
          <cell r="AJ102">
            <v>51.198001861572301</v>
          </cell>
          <cell r="AK102">
            <v>50.840999603271499</v>
          </cell>
          <cell r="AL102">
            <v>50.312000274658203</v>
          </cell>
          <cell r="AM102">
            <v>49.9140014648438</v>
          </cell>
          <cell r="AN102">
            <v>49.715000152587898</v>
          </cell>
          <cell r="AO102">
            <v>49.742000579833999</v>
          </cell>
          <cell r="AP102">
            <v>49.356998443603501</v>
          </cell>
          <cell r="AQ102">
            <v>48.106998443603501</v>
          </cell>
          <cell r="AR102">
            <v>46.6380004882813</v>
          </cell>
          <cell r="AS102">
            <v>45.027999877929702</v>
          </cell>
          <cell r="AT102">
            <v>44.858001708984403</v>
          </cell>
          <cell r="AU102">
            <v>44.419998168945298</v>
          </cell>
          <cell r="AV102">
            <v>45.042999267578097</v>
          </cell>
          <cell r="AW102">
            <v>46.180999755859403</v>
          </cell>
          <cell r="AX102">
            <v>46.583999633789098</v>
          </cell>
          <cell r="AY102">
            <v>46.851001739502003</v>
          </cell>
          <cell r="AZ102">
            <v>47.844001770019503</v>
          </cell>
          <cell r="BA102">
            <v>48.740001678466797</v>
          </cell>
          <cell r="BB102">
            <v>48.366001129150398</v>
          </cell>
          <cell r="BC102">
            <v>46.557998657226598</v>
          </cell>
          <cell r="BD102">
            <v>44.726001739502003</v>
          </cell>
          <cell r="BE102">
            <v>43.108001708984403</v>
          </cell>
          <cell r="BF102">
            <v>41.929000854492202</v>
          </cell>
          <cell r="BG102">
            <v>43.120998382568402</v>
          </cell>
          <cell r="BH102">
            <v>44.043998718261697</v>
          </cell>
          <cell r="BI102">
            <v>44.480998992919901</v>
          </cell>
          <cell r="BJ102">
            <v>45.826000213622997</v>
          </cell>
          <cell r="BK102">
            <v>47.0260009765625</v>
          </cell>
        </row>
        <row r="103">
          <cell r="B103" t="str">
            <v>HTI</v>
          </cell>
          <cell r="C103" t="str">
            <v>Employment to population ratio, 15+, total (%) (modeled ILO estimate)</v>
          </cell>
          <cell r="D103" t="str">
            <v>SL.EMP.TOTL.SP.ZS</v>
          </cell>
          <cell r="AJ103">
            <v>62.4869995117188</v>
          </cell>
          <cell r="AK103">
            <v>62.174999237060497</v>
          </cell>
          <cell r="AL103">
            <v>61.791000366210902</v>
          </cell>
          <cell r="AM103">
            <v>61.404998779296903</v>
          </cell>
          <cell r="AN103">
            <v>60.980998992919901</v>
          </cell>
          <cell r="AO103">
            <v>60.543998718261697</v>
          </cell>
          <cell r="AP103">
            <v>60.0789985656738</v>
          </cell>
          <cell r="AQ103">
            <v>59.597000122070298</v>
          </cell>
          <cell r="AR103">
            <v>59.118000030517599</v>
          </cell>
          <cell r="AS103">
            <v>58.076999664306598</v>
          </cell>
          <cell r="AT103">
            <v>57.487998962402301</v>
          </cell>
          <cell r="AU103">
            <v>56.867000579833999</v>
          </cell>
          <cell r="AV103">
            <v>56.277999877929702</v>
          </cell>
          <cell r="AW103">
            <v>55.722000122070298</v>
          </cell>
          <cell r="AX103">
            <v>55.158000946044901</v>
          </cell>
          <cell r="AY103">
            <v>54.561000823974602</v>
          </cell>
          <cell r="AZ103">
            <v>53.944999694824197</v>
          </cell>
          <cell r="BA103">
            <v>54.576000213622997</v>
          </cell>
          <cell r="BB103">
            <v>54.833000183105497</v>
          </cell>
          <cell r="BC103">
            <v>55.226001739502003</v>
          </cell>
          <cell r="BD103">
            <v>55.896999359130902</v>
          </cell>
          <cell r="BE103">
            <v>56.507999420166001</v>
          </cell>
          <cell r="BF103">
            <v>56.713001251220703</v>
          </cell>
          <cell r="BG103">
            <v>56.972000122070298</v>
          </cell>
          <cell r="BH103">
            <v>57.176998138427699</v>
          </cell>
          <cell r="BI103">
            <v>57.395999908447301</v>
          </cell>
          <cell r="BJ103">
            <v>57.646999359130902</v>
          </cell>
          <cell r="BK103">
            <v>57.8950004577637</v>
          </cell>
        </row>
        <row r="104">
          <cell r="B104" t="str">
            <v>HUN</v>
          </cell>
          <cell r="C104" t="str">
            <v>Employment to population ratio, 15+, total (%) (modeled ILO estimate)</v>
          </cell>
          <cell r="D104" t="str">
            <v>SL.EMP.TOTL.SP.ZS</v>
          </cell>
          <cell r="AJ104">
            <v>49.591999053955099</v>
          </cell>
          <cell r="AK104">
            <v>48.985000610351598</v>
          </cell>
          <cell r="AL104">
            <v>45.976001739502003</v>
          </cell>
          <cell r="AM104">
            <v>45.007999420166001</v>
          </cell>
          <cell r="AN104">
            <v>44.409999847412102</v>
          </cell>
          <cell r="AO104">
            <v>43.273998260497997</v>
          </cell>
          <cell r="AP104">
            <v>42.983001708984403</v>
          </cell>
          <cell r="AQ104">
            <v>43.5929985046387</v>
          </cell>
          <cell r="AR104">
            <v>45.367000579833999</v>
          </cell>
          <cell r="AS104">
            <v>45.773998260497997</v>
          </cell>
          <cell r="AT104">
            <v>45.983001708984403</v>
          </cell>
          <cell r="AU104">
            <v>46.033000946044901</v>
          </cell>
          <cell r="AV104">
            <v>46.743000030517599</v>
          </cell>
          <cell r="AW104">
            <v>46.483001708984403</v>
          </cell>
          <cell r="AX104">
            <v>46.541999816894503</v>
          </cell>
          <cell r="AY104">
            <v>46.7700004577637</v>
          </cell>
          <cell r="AZ104">
            <v>46.627998352050803</v>
          </cell>
          <cell r="BA104">
            <v>46.097000122070298</v>
          </cell>
          <cell r="BB104">
            <v>44.969001770019503</v>
          </cell>
          <cell r="BC104">
            <v>44.859001159667997</v>
          </cell>
          <cell r="BD104">
            <v>45.159000396728501</v>
          </cell>
          <cell r="BE104">
            <v>45.905998229980497</v>
          </cell>
          <cell r="BF104">
            <v>46.766998291015597</v>
          </cell>
          <cell r="BG104">
            <v>49.506999969482401</v>
          </cell>
          <cell r="BH104">
            <v>51.094001770019503</v>
          </cell>
          <cell r="BI104">
            <v>52.9070014953613</v>
          </cell>
          <cell r="BJ104">
            <v>53.911998748779297</v>
          </cell>
          <cell r="BK104">
            <v>54.458999633789098</v>
          </cell>
        </row>
        <row r="105">
          <cell r="B105" t="str">
            <v>IBD</v>
          </cell>
          <cell r="C105" t="str">
            <v>Employment to population ratio, 15+, total (%) (modeled ILO estimate)</v>
          </cell>
          <cell r="D105" t="str">
            <v>SL.EMP.TOTL.SP.ZS</v>
          </cell>
          <cell r="AJ105">
            <v>63.924718771350399</v>
          </cell>
          <cell r="AK105">
            <v>63.886920837965178</v>
          </cell>
          <cell r="AL105">
            <v>63.552081169231649</v>
          </cell>
          <cell r="AM105">
            <v>63.261298777168925</v>
          </cell>
          <cell r="AN105">
            <v>62.893474685705741</v>
          </cell>
          <cell r="AO105">
            <v>62.58255110091438</v>
          </cell>
          <cell r="AP105">
            <v>62.341696861019983</v>
          </cell>
          <cell r="AQ105">
            <v>62.0343874336656</v>
          </cell>
          <cell r="AR105">
            <v>61.844894967669774</v>
          </cell>
          <cell r="AS105">
            <v>61.658163229242966</v>
          </cell>
          <cell r="AT105">
            <v>61.217970643064177</v>
          </cell>
          <cell r="AU105">
            <v>60.734414490368508</v>
          </cell>
          <cell r="AV105">
            <v>60.400805540596508</v>
          </cell>
          <cell r="AW105">
            <v>60.378669929826977</v>
          </cell>
          <cell r="AX105">
            <v>60.238021270469126</v>
          </cell>
          <cell r="AY105">
            <v>60.026239690430714</v>
          </cell>
          <cell r="AZ105">
            <v>59.9387308055937</v>
          </cell>
          <cell r="BA105">
            <v>59.66207927111072</v>
          </cell>
          <cell r="BB105">
            <v>59.130731449425653</v>
          </cell>
          <cell r="BC105">
            <v>58.837172829149907</v>
          </cell>
          <cell r="BD105">
            <v>58.59972025309596</v>
          </cell>
          <cell r="BE105">
            <v>58.397732262588931</v>
          </cell>
          <cell r="BF105">
            <v>58.129634067366688</v>
          </cell>
          <cell r="BG105">
            <v>57.838905312905993</v>
          </cell>
          <cell r="BH105">
            <v>57.50189313792157</v>
          </cell>
          <cell r="BI105">
            <v>57.145745141106737</v>
          </cell>
          <cell r="BJ105">
            <v>56.886994954106868</v>
          </cell>
          <cell r="BK105">
            <v>56.708356413979899</v>
          </cell>
        </row>
        <row r="106">
          <cell r="B106" t="str">
            <v>IBT</v>
          </cell>
          <cell r="C106" t="str">
            <v>Employment to population ratio, 15+, total (%) (modeled ILO estimate)</v>
          </cell>
          <cell r="D106" t="str">
            <v>SL.EMP.TOTL.SP.ZS</v>
          </cell>
          <cell r="AJ106">
            <v>63.848517023376431</v>
          </cell>
          <cell r="AK106">
            <v>63.797780715055708</v>
          </cell>
          <cell r="AL106">
            <v>63.480566433764054</v>
          </cell>
          <cell r="AM106">
            <v>63.230186992542279</v>
          </cell>
          <cell r="AN106">
            <v>62.890678038703172</v>
          </cell>
          <cell r="AO106">
            <v>62.620803149629467</v>
          </cell>
          <cell r="AP106">
            <v>62.424931842852651</v>
          </cell>
          <cell r="AQ106">
            <v>62.150868496448588</v>
          </cell>
          <cell r="AR106">
            <v>61.981552100044425</v>
          </cell>
          <cell r="AS106">
            <v>61.82118317591604</v>
          </cell>
          <cell r="AT106">
            <v>61.447580182064343</v>
          </cell>
          <cell r="AU106">
            <v>61.023334516772479</v>
          </cell>
          <cell r="AV106">
            <v>60.741246363897289</v>
          </cell>
          <cell r="AW106">
            <v>60.723686900867001</v>
          </cell>
          <cell r="AX106">
            <v>60.590256781250019</v>
          </cell>
          <cell r="AY106">
            <v>60.411199938854942</v>
          </cell>
          <cell r="AZ106">
            <v>60.327107527794929</v>
          </cell>
          <cell r="BA106">
            <v>60.076398106447343</v>
          </cell>
          <cell r="BB106">
            <v>59.604080734460531</v>
          </cell>
          <cell r="BC106">
            <v>59.361274620879733</v>
          </cell>
          <cell r="BD106">
            <v>59.153520355999618</v>
          </cell>
          <cell r="BE106">
            <v>58.913599065632603</v>
          </cell>
          <cell r="BF106">
            <v>58.627890646052563</v>
          </cell>
          <cell r="BG106">
            <v>58.378435829095501</v>
          </cell>
          <cell r="BH106">
            <v>58.102599813829052</v>
          </cell>
          <cell r="BI106">
            <v>57.766780510965127</v>
          </cell>
          <cell r="BJ106">
            <v>57.590616021879832</v>
          </cell>
          <cell r="BK106">
            <v>57.460674467306866</v>
          </cell>
        </row>
        <row r="107">
          <cell r="B107" t="str">
            <v>IDA</v>
          </cell>
          <cell r="C107" t="str">
            <v>Employment to population ratio, 15+, total (%) (modeled ILO estimate)</v>
          </cell>
          <cell r="D107" t="str">
            <v>SL.EMP.TOTL.SP.ZS</v>
          </cell>
          <cell r="AJ107">
            <v>63.473908743898065</v>
          </cell>
          <cell r="AK107">
            <v>63.363490291452329</v>
          </cell>
          <cell r="AL107">
            <v>63.135254012902777</v>
          </cell>
          <cell r="AM107">
            <v>63.081409649876129</v>
          </cell>
          <cell r="AN107">
            <v>62.877448273831924</v>
          </cell>
          <cell r="AO107">
            <v>62.800527618789729</v>
          </cell>
          <cell r="AP107">
            <v>62.812440206074314</v>
          </cell>
          <cell r="AQ107">
            <v>62.687588820512097</v>
          </cell>
          <cell r="AR107">
            <v>62.605022877814903</v>
          </cell>
          <cell r="AS107">
            <v>62.55811556261866</v>
          </cell>
          <cell r="AT107">
            <v>62.476230772873706</v>
          </cell>
          <cell r="AU107">
            <v>62.30731449792043</v>
          </cell>
          <cell r="AV107">
            <v>62.242629032782062</v>
          </cell>
          <cell r="AW107">
            <v>62.232266336831401</v>
          </cell>
          <cell r="AX107">
            <v>62.115040063524802</v>
          </cell>
          <cell r="AY107">
            <v>62.060940450585967</v>
          </cell>
          <cell r="AZ107">
            <v>61.972390359859162</v>
          </cell>
          <cell r="BA107">
            <v>61.809666989003631</v>
          </cell>
          <cell r="BB107">
            <v>61.558883521555607</v>
          </cell>
          <cell r="BC107">
            <v>61.496798722098234</v>
          </cell>
          <cell r="BD107">
            <v>61.380566456306376</v>
          </cell>
          <cell r="BE107">
            <v>60.961175409933723</v>
          </cell>
          <cell r="BF107">
            <v>60.579349799946243</v>
          </cell>
          <cell r="BG107">
            <v>60.462595833135701</v>
          </cell>
          <cell r="BH107">
            <v>60.390224964875287</v>
          </cell>
          <cell r="BI107">
            <v>60.098508176999758</v>
          </cell>
          <cell r="BJ107">
            <v>60.194081847495816</v>
          </cell>
          <cell r="BK107">
            <v>60.201741619295937</v>
          </cell>
        </row>
        <row r="108">
          <cell r="B108" t="str">
            <v>IDB</v>
          </cell>
          <cell r="C108" t="str">
            <v>Employment to population ratio, 15+, total (%) (modeled ILO estimate)</v>
          </cell>
          <cell r="D108" t="str">
            <v>SL.EMP.TOTL.SP.ZS</v>
          </cell>
          <cell r="AJ108">
            <v>58.059722857779192</v>
          </cell>
          <cell r="AK108">
            <v>57.920525406651841</v>
          </cell>
          <cell r="AL108">
            <v>57.550930190726994</v>
          </cell>
          <cell r="AM108">
            <v>57.522580567213893</v>
          </cell>
          <cell r="AN108">
            <v>57.002559410727223</v>
          </cell>
          <cell r="AO108">
            <v>56.968569078732763</v>
          </cell>
          <cell r="AP108">
            <v>57.123479596358763</v>
          </cell>
          <cell r="AQ108">
            <v>56.915960553240843</v>
          </cell>
          <cell r="AR108">
            <v>56.936795910159155</v>
          </cell>
          <cell r="AS108">
            <v>57.07738538919974</v>
          </cell>
          <cell r="AT108">
            <v>56.948904202911933</v>
          </cell>
          <cell r="AU108">
            <v>56.802514561341745</v>
          </cell>
          <cell r="AV108">
            <v>56.910879640162925</v>
          </cell>
          <cell r="AW108">
            <v>57.032445135680177</v>
          </cell>
          <cell r="AX108">
            <v>56.78619317233143</v>
          </cell>
          <cell r="AY108">
            <v>56.777990498496784</v>
          </cell>
          <cell r="AZ108">
            <v>56.961213590129702</v>
          </cell>
          <cell r="BA108">
            <v>56.941531417598434</v>
          </cell>
          <cell r="BB108">
            <v>56.969827596095392</v>
          </cell>
          <cell r="BC108">
            <v>57.009901591209626</v>
          </cell>
          <cell r="BD108">
            <v>57.140768821807512</v>
          </cell>
          <cell r="BE108">
            <v>56.44231572096772</v>
          </cell>
          <cell r="BF108">
            <v>55.675545144417185</v>
          </cell>
          <cell r="BG108">
            <v>55.620189703810311</v>
          </cell>
          <cell r="BH108">
            <v>55.573037704839614</v>
          </cell>
          <cell r="BI108">
            <v>54.805678937390901</v>
          </cell>
          <cell r="BJ108">
            <v>54.443638053974361</v>
          </cell>
          <cell r="BK108">
            <v>54.354839076761579</v>
          </cell>
        </row>
        <row r="109">
          <cell r="B109" t="str">
            <v>IDN</v>
          </cell>
          <cell r="C109" t="str">
            <v>Employment to population ratio, 15+, total (%) (modeled ILO estimate)</v>
          </cell>
          <cell r="D109" t="str">
            <v>SL.EMP.TOTL.SP.ZS</v>
          </cell>
          <cell r="AJ109">
            <v>62.582000732421903</v>
          </cell>
          <cell r="AK109">
            <v>63.390998840332003</v>
          </cell>
          <cell r="AL109">
            <v>63.307998657226598</v>
          </cell>
          <cell r="AM109">
            <v>63.231998443603501</v>
          </cell>
          <cell r="AN109">
            <v>63.145999908447301</v>
          </cell>
          <cell r="AO109">
            <v>63.029998779296903</v>
          </cell>
          <cell r="AP109">
            <v>63.0130004882813</v>
          </cell>
          <cell r="AQ109">
            <v>63.333999633789098</v>
          </cell>
          <cell r="AR109">
            <v>63.519001007080099</v>
          </cell>
          <cell r="AS109">
            <v>63.153999328613303</v>
          </cell>
          <cell r="AT109">
            <v>62.330001831054702</v>
          </cell>
          <cell r="AU109">
            <v>60.875</v>
          </cell>
          <cell r="AV109">
            <v>60.446998596191399</v>
          </cell>
          <cell r="AW109">
            <v>60.2890014648438</v>
          </cell>
          <cell r="AX109">
            <v>58.830001831054702</v>
          </cell>
          <cell r="AY109">
            <v>59.208999633789098</v>
          </cell>
          <cell r="AZ109">
            <v>60.937000274658203</v>
          </cell>
          <cell r="BA109">
            <v>61.839000701904297</v>
          </cell>
          <cell r="BB109">
            <v>62.587001800537102</v>
          </cell>
          <cell r="BC109">
            <v>63.416000366210902</v>
          </cell>
          <cell r="BD109">
            <v>63.805999755859403</v>
          </cell>
          <cell r="BE109">
            <v>64.707000732421903</v>
          </cell>
          <cell r="BF109">
            <v>64.143997192382798</v>
          </cell>
          <cell r="BG109">
            <v>64.108001708984403</v>
          </cell>
          <cell r="BH109">
            <v>63.4939994812012</v>
          </cell>
          <cell r="BI109">
            <v>63.333999633789098</v>
          </cell>
          <cell r="BJ109">
            <v>64.211997985839801</v>
          </cell>
          <cell r="BK109">
            <v>64.472999572753906</v>
          </cell>
        </row>
        <row r="110">
          <cell r="B110" t="str">
            <v>IDX</v>
          </cell>
          <cell r="C110" t="str">
            <v>Employment to population ratio, 15+, total (%) (modeled ILO estimate)</v>
          </cell>
          <cell r="D110" t="str">
            <v>SL.EMP.TOTL.SP.ZS</v>
          </cell>
          <cell r="AJ110">
            <v>66.268204553308792</v>
          </cell>
          <cell r="AK110">
            <v>66.16651267605792</v>
          </cell>
          <cell r="AL110">
            <v>66.005314627324623</v>
          </cell>
          <cell r="AM110">
            <v>65.932905917380538</v>
          </cell>
          <cell r="AN110">
            <v>65.88612810631318</v>
          </cell>
          <cell r="AO110">
            <v>65.788949905605108</v>
          </cell>
          <cell r="AP110">
            <v>65.73020220166093</v>
          </cell>
          <cell r="AQ110">
            <v>65.650519670883241</v>
          </cell>
          <cell r="AR110">
            <v>65.516612523281609</v>
          </cell>
          <cell r="AS110">
            <v>65.375553709555447</v>
          </cell>
          <cell r="AT110">
            <v>65.317609388205852</v>
          </cell>
          <cell r="AU110">
            <v>65.136831936279179</v>
          </cell>
          <cell r="AV110">
            <v>64.982978127529947</v>
          </cell>
          <cell r="AW110">
            <v>64.904939742498271</v>
          </cell>
          <cell r="AX110">
            <v>64.854567104048087</v>
          </cell>
          <cell r="AY110">
            <v>64.778439240200157</v>
          </cell>
          <cell r="AZ110">
            <v>64.552188614897517</v>
          </cell>
          <cell r="BA110">
            <v>64.318292525167692</v>
          </cell>
          <cell r="BB110">
            <v>63.926155558529203</v>
          </cell>
          <cell r="BC110">
            <v>63.815561660880967</v>
          </cell>
          <cell r="BD110">
            <v>63.573246314148214</v>
          </cell>
          <cell r="BE110">
            <v>63.297845903189952</v>
          </cell>
          <cell r="BF110">
            <v>63.114517772318393</v>
          </cell>
          <cell r="BG110">
            <v>62.96500537371967</v>
          </cell>
          <cell r="BH110">
            <v>62.8777187207126</v>
          </cell>
          <cell r="BI110">
            <v>62.827313171961698</v>
          </cell>
          <cell r="BJ110">
            <v>63.153491348023287</v>
          </cell>
          <cell r="BK110">
            <v>63.205023389357223</v>
          </cell>
        </row>
        <row r="111">
          <cell r="B111" t="str">
            <v>IMN</v>
          </cell>
          <cell r="C111" t="str">
            <v>Employment to population ratio, 15+, total (%) (modeled ILO estimate)</v>
          </cell>
          <cell r="D111" t="str">
            <v>SL.EMP.TOTL.SP.ZS</v>
          </cell>
        </row>
        <row r="112">
          <cell r="B112" t="str">
            <v>IND</v>
          </cell>
          <cell r="C112" t="str">
            <v>Employment to population ratio, 15+, total (%) (modeled ILO estimate)</v>
          </cell>
          <cell r="D112" t="str">
            <v>SL.EMP.TOTL.SP.ZS</v>
          </cell>
          <cell r="AJ112">
            <v>55.196998596191399</v>
          </cell>
          <cell r="AK112">
            <v>55.138999938964801</v>
          </cell>
          <cell r="AL112">
            <v>55.076999664306598</v>
          </cell>
          <cell r="AM112">
            <v>55.097000122070298</v>
          </cell>
          <cell r="AN112">
            <v>54.974998474121101</v>
          </cell>
          <cell r="AO112">
            <v>54.824001312255902</v>
          </cell>
          <cell r="AP112">
            <v>54.689998626708999</v>
          </cell>
          <cell r="AQ112">
            <v>54.554000854492202</v>
          </cell>
          <cell r="AR112">
            <v>54.390998840332003</v>
          </cell>
          <cell r="AS112">
            <v>54.2820014953613</v>
          </cell>
          <cell r="AT112">
            <v>54.3810005187988</v>
          </cell>
          <cell r="AU112">
            <v>54.4539985656738</v>
          </cell>
          <cell r="AV112">
            <v>54.570999145507798</v>
          </cell>
          <cell r="AW112">
            <v>54.735000610351598</v>
          </cell>
          <cell r="AX112">
            <v>54.918998718261697</v>
          </cell>
          <cell r="AY112">
            <v>54.168998718261697</v>
          </cell>
          <cell r="AZ112">
            <v>53.435001373291001</v>
          </cell>
          <cell r="BA112">
            <v>52.679000854492202</v>
          </cell>
          <cell r="BB112">
            <v>51.762001037597699</v>
          </cell>
          <cell r="BC112">
            <v>50.984001159667997</v>
          </cell>
          <cell r="BD112">
            <v>50.103000640869098</v>
          </cell>
          <cell r="BE112">
            <v>49.244998931884801</v>
          </cell>
          <cell r="BF112">
            <v>48.793998718261697</v>
          </cell>
          <cell r="BG112">
            <v>48.389999389648402</v>
          </cell>
          <cell r="BH112">
            <v>47.980998992919901</v>
          </cell>
          <cell r="BI112">
            <v>47.566001892089801</v>
          </cell>
          <cell r="BJ112">
            <v>47.175998687744098</v>
          </cell>
          <cell r="BK112">
            <v>46.785999298095703</v>
          </cell>
        </row>
        <row r="113">
          <cell r="B113" t="str">
            <v>INX</v>
          </cell>
          <cell r="C113" t="str">
            <v>Employment to population ratio, 15+, total (%) (modeled ILO estimate)</v>
          </cell>
          <cell r="D113" t="str">
            <v>SL.EMP.TOTL.SP.ZS</v>
          </cell>
        </row>
        <row r="114">
          <cell r="B114" t="str">
            <v>IRL</v>
          </cell>
          <cell r="C114" t="str">
            <v>Employment to population ratio, 15+, total (%) (modeled ILO estimate)</v>
          </cell>
          <cell r="D114" t="str">
            <v>SL.EMP.TOTL.SP.ZS</v>
          </cell>
          <cell r="AJ114">
            <v>47.610000610351598</v>
          </cell>
          <cell r="AK114">
            <v>46.8950004577637</v>
          </cell>
          <cell r="AL114">
            <v>47.108001708984403</v>
          </cell>
          <cell r="AM114">
            <v>48.2299995422363</v>
          </cell>
          <cell r="AN114">
            <v>49.8289985656738</v>
          </cell>
          <cell r="AO114">
            <v>50.686000823974602</v>
          </cell>
          <cell r="AP114">
            <v>52.172000885009801</v>
          </cell>
          <cell r="AQ114">
            <v>55.449001312255902</v>
          </cell>
          <cell r="AR114">
            <v>58.055999755859403</v>
          </cell>
          <cell r="AS114">
            <v>59.826999664306598</v>
          </cell>
          <cell r="AT114">
            <v>60.1380004882813</v>
          </cell>
          <cell r="AU114">
            <v>59.945999145507798</v>
          </cell>
          <cell r="AV114">
            <v>59.977001190185497</v>
          </cell>
          <cell r="AW114">
            <v>60.2369995117188</v>
          </cell>
          <cell r="AX114">
            <v>62.284000396728501</v>
          </cell>
          <cell r="AY114">
            <v>62.950000762939503</v>
          </cell>
          <cell r="AZ114">
            <v>63.138999938964801</v>
          </cell>
          <cell r="BA114">
            <v>61.365001678466797</v>
          </cell>
          <cell r="BB114">
            <v>56.102001190185497</v>
          </cell>
          <cell r="BC114">
            <v>53.804000854492202</v>
          </cell>
          <cell r="BD114">
            <v>52.756999969482401</v>
          </cell>
          <cell r="BE114">
            <v>52.457000732421903</v>
          </cell>
          <cell r="BF114">
            <v>53.817001342773402</v>
          </cell>
          <cell r="BG114">
            <v>54.805999755859403</v>
          </cell>
          <cell r="BH114">
            <v>55.995998382568402</v>
          </cell>
          <cell r="BI114">
            <v>57.169998168945298</v>
          </cell>
          <cell r="BJ114">
            <v>58.020999908447301</v>
          </cell>
          <cell r="BK114">
            <v>58.780998229980497</v>
          </cell>
        </row>
        <row r="115">
          <cell r="B115" t="str">
            <v>IRN</v>
          </cell>
          <cell r="C115" t="str">
            <v>Employment to population ratio, 15+, total (%) (modeled ILO estimate)</v>
          </cell>
          <cell r="D115" t="str">
            <v>SL.EMP.TOTL.SP.ZS</v>
          </cell>
          <cell r="AJ115">
            <v>40.633998870849602</v>
          </cell>
          <cell r="AK115">
            <v>40.370998382568402</v>
          </cell>
          <cell r="AL115">
            <v>40.054000854492202</v>
          </cell>
          <cell r="AM115">
            <v>39.759998321533203</v>
          </cell>
          <cell r="AN115">
            <v>39.446998596191399</v>
          </cell>
          <cell r="AO115">
            <v>39.127998352050803</v>
          </cell>
          <cell r="AP115">
            <v>39.084999084472699</v>
          </cell>
          <cell r="AQ115">
            <v>39.064998626708999</v>
          </cell>
          <cell r="AR115">
            <v>39.060001373291001</v>
          </cell>
          <cell r="AS115">
            <v>39.150001525878899</v>
          </cell>
          <cell r="AT115">
            <v>39.340000152587898</v>
          </cell>
          <cell r="AU115">
            <v>39.529998779296903</v>
          </cell>
          <cell r="AV115">
            <v>40.672000885009801</v>
          </cell>
          <cell r="AW115">
            <v>41.8880004882813</v>
          </cell>
          <cell r="AX115">
            <v>41.722000122070298</v>
          </cell>
          <cell r="AY115">
            <v>41.187000274658203</v>
          </cell>
          <cell r="AZ115">
            <v>40.549999237060497</v>
          </cell>
          <cell r="BA115">
            <v>38.6119995117188</v>
          </cell>
          <cell r="BB115">
            <v>38.388999938964801</v>
          </cell>
          <cell r="BC115">
            <v>37.0989990234375</v>
          </cell>
          <cell r="BD115">
            <v>37.194000244140597</v>
          </cell>
          <cell r="BE115">
            <v>36.784000396728501</v>
          </cell>
          <cell r="BF115">
            <v>37.374000549316399</v>
          </cell>
          <cell r="BG115">
            <v>36.969001770019503</v>
          </cell>
          <cell r="BH115">
            <v>37.75</v>
          </cell>
          <cell r="BI115">
            <v>38.4799995422363</v>
          </cell>
          <cell r="BJ115">
            <v>39.437999725341797</v>
          </cell>
          <cell r="BK115">
            <v>39.540000915527301</v>
          </cell>
        </row>
        <row r="116">
          <cell r="B116" t="str">
            <v>IRQ</v>
          </cell>
          <cell r="C116" t="str">
            <v>Employment to population ratio, 15+, total (%) (modeled ILO estimate)</v>
          </cell>
          <cell r="D116" t="str">
            <v>SL.EMP.TOTL.SP.ZS</v>
          </cell>
          <cell r="AJ116">
            <v>38.441001892089801</v>
          </cell>
          <cell r="AK116">
            <v>38.2960014343262</v>
          </cell>
          <cell r="AL116">
            <v>38.338001251220703</v>
          </cell>
          <cell r="AM116">
            <v>38.430000305175803</v>
          </cell>
          <cell r="AN116">
            <v>38.483001708984403</v>
          </cell>
          <cell r="AO116">
            <v>38.562999725341797</v>
          </cell>
          <cell r="AP116">
            <v>38.613998413085902</v>
          </cell>
          <cell r="AQ116">
            <v>38.599998474121101</v>
          </cell>
          <cell r="AR116">
            <v>38.560001373291001</v>
          </cell>
          <cell r="AS116">
            <v>38.557998657226598</v>
          </cell>
          <cell r="AT116">
            <v>38.550998687744098</v>
          </cell>
          <cell r="AU116">
            <v>38.511001586914098</v>
          </cell>
          <cell r="AV116">
            <v>38.492000579833999</v>
          </cell>
          <cell r="AW116">
            <v>38.5</v>
          </cell>
          <cell r="AX116">
            <v>38.513999938964801</v>
          </cell>
          <cell r="AY116">
            <v>38.540000915527301</v>
          </cell>
          <cell r="AZ116">
            <v>38.548999786377003</v>
          </cell>
          <cell r="BA116">
            <v>38.633998870849602</v>
          </cell>
          <cell r="BB116">
            <v>38.549999237060497</v>
          </cell>
          <cell r="BC116">
            <v>38.560001373291001</v>
          </cell>
          <cell r="BD116">
            <v>38.674999237060497</v>
          </cell>
          <cell r="BE116">
            <v>38.798000335693402</v>
          </cell>
          <cell r="BF116">
            <v>39.008998870849602</v>
          </cell>
          <cell r="BG116">
            <v>39.221000671386697</v>
          </cell>
          <cell r="BH116">
            <v>39.2560005187988</v>
          </cell>
          <cell r="BI116">
            <v>39.255001068115199</v>
          </cell>
          <cell r="BJ116">
            <v>37.077999114990199</v>
          </cell>
          <cell r="BK116">
            <v>37.339000701904297</v>
          </cell>
        </row>
        <row r="117">
          <cell r="B117" t="str">
            <v>ISL</v>
          </cell>
          <cell r="C117" t="str">
            <v>Employment to population ratio, 15+, total (%) (modeled ILO estimate)</v>
          </cell>
          <cell r="D117" t="str">
            <v>SL.EMP.TOTL.SP.ZS</v>
          </cell>
          <cell r="AJ117">
            <v>72.383003234863295</v>
          </cell>
          <cell r="AK117">
            <v>71.968002319335895</v>
          </cell>
          <cell r="AL117">
            <v>70.521003723144503</v>
          </cell>
          <cell r="AM117">
            <v>70.505996704101605</v>
          </cell>
          <cell r="AN117">
            <v>72.731002807617202</v>
          </cell>
          <cell r="AO117">
            <v>72.792999267578097</v>
          </cell>
          <cell r="AP117">
            <v>71.857002258300795</v>
          </cell>
          <cell r="AQ117">
            <v>73.678001403808594</v>
          </cell>
          <cell r="AR117">
            <v>75.545997619628906</v>
          </cell>
          <cell r="AS117">
            <v>76.8489990234375</v>
          </cell>
          <cell r="AT117">
            <v>76.630996704101605</v>
          </cell>
          <cell r="AU117">
            <v>74.708999633789105</v>
          </cell>
          <cell r="AV117">
            <v>73.714996337890597</v>
          </cell>
          <cell r="AW117">
            <v>73.301002502441406</v>
          </cell>
          <cell r="AX117">
            <v>73.837997436523395</v>
          </cell>
          <cell r="AY117">
            <v>74.454002380371094</v>
          </cell>
          <cell r="AZ117">
            <v>74.994003295898395</v>
          </cell>
          <cell r="BA117">
            <v>73.830001831054702</v>
          </cell>
          <cell r="BB117">
            <v>69.25</v>
          </cell>
          <cell r="BC117">
            <v>69.236000061035199</v>
          </cell>
          <cell r="BD117">
            <v>69.091003417968807</v>
          </cell>
          <cell r="BE117">
            <v>69.890998840332003</v>
          </cell>
          <cell r="BF117">
            <v>71.056999206542997</v>
          </cell>
          <cell r="BG117">
            <v>72.533996582031307</v>
          </cell>
          <cell r="BH117">
            <v>73.954002380371094</v>
          </cell>
          <cell r="BI117">
            <v>75.431999206542997</v>
          </cell>
          <cell r="BJ117">
            <v>74.541999816894503</v>
          </cell>
          <cell r="BK117">
            <v>73.254997253417997</v>
          </cell>
        </row>
        <row r="118">
          <cell r="B118" t="str">
            <v>ISR</v>
          </cell>
          <cell r="C118" t="str">
            <v>Employment to population ratio, 15+, total (%) (modeled ILO estimate)</v>
          </cell>
          <cell r="D118" t="str">
            <v>SL.EMP.TOTL.SP.ZS</v>
          </cell>
          <cell r="AJ118">
            <v>51.215999603271499</v>
          </cell>
          <cell r="AK118">
            <v>51.176998138427699</v>
          </cell>
          <cell r="AL118">
            <v>53.119998931884801</v>
          </cell>
          <cell r="AM118">
            <v>55.500999450683601</v>
          </cell>
          <cell r="AN118">
            <v>56.398998260497997</v>
          </cell>
          <cell r="AO118">
            <v>55.9609985351563</v>
          </cell>
          <cell r="AP118">
            <v>54.754001617431598</v>
          </cell>
          <cell r="AQ118">
            <v>53.868000030517599</v>
          </cell>
          <cell r="AR118">
            <v>53.923000335693402</v>
          </cell>
          <cell r="AS118">
            <v>54.408000946044901</v>
          </cell>
          <cell r="AT118">
            <v>53.9609985351563</v>
          </cell>
          <cell r="AU118">
            <v>52.6640014648438</v>
          </cell>
          <cell r="AV118">
            <v>52.569000244140597</v>
          </cell>
          <cell r="AW118">
            <v>53.305999755859403</v>
          </cell>
          <cell r="AX118">
            <v>54.709999084472699</v>
          </cell>
          <cell r="AY118">
            <v>55.491001129150398</v>
          </cell>
          <cell r="AZ118">
            <v>56.814998626708999</v>
          </cell>
          <cell r="BA118">
            <v>57.916999816894503</v>
          </cell>
          <cell r="BB118">
            <v>56.764999389648402</v>
          </cell>
          <cell r="BC118">
            <v>57.686000823974602</v>
          </cell>
          <cell r="BD118">
            <v>58.375</v>
          </cell>
          <cell r="BE118">
            <v>59.198001861572301</v>
          </cell>
          <cell r="BF118">
            <v>59.772998809814503</v>
          </cell>
          <cell r="BG118">
            <v>60.375</v>
          </cell>
          <cell r="BH118">
            <v>60.7630004882813</v>
          </cell>
          <cell r="BI118">
            <v>61.1450004577637</v>
          </cell>
          <cell r="BJ118">
            <v>61.403999328613303</v>
          </cell>
          <cell r="BK118">
            <v>61.521999359130902</v>
          </cell>
        </row>
        <row r="119">
          <cell r="B119" t="str">
            <v>ITA</v>
          </cell>
          <cell r="C119" t="str">
            <v>Employment to population ratio, 15+, total (%) (modeled ILO estimate)</v>
          </cell>
          <cell r="D119" t="str">
            <v>SL.EMP.TOTL.SP.ZS</v>
          </cell>
          <cell r="AJ119">
            <v>45.471000671386697</v>
          </cell>
          <cell r="AK119">
            <v>44.2179985046387</v>
          </cell>
          <cell r="AL119">
            <v>43.351001739502003</v>
          </cell>
          <cell r="AM119">
            <v>42.448001861572301</v>
          </cell>
          <cell r="AN119">
            <v>41.812000274658203</v>
          </cell>
          <cell r="AO119">
            <v>41.778999328613303</v>
          </cell>
          <cell r="AP119">
            <v>41.666999816894503</v>
          </cell>
          <cell r="AQ119">
            <v>41.7760009765625</v>
          </cell>
          <cell r="AR119">
            <v>42.154998779296903</v>
          </cell>
          <cell r="AS119">
            <v>42.541999816894503</v>
          </cell>
          <cell r="AT119">
            <v>43.299999237060497</v>
          </cell>
          <cell r="AU119">
            <v>43.888999938964801</v>
          </cell>
          <cell r="AV119">
            <v>44.430000305175803</v>
          </cell>
          <cell r="AW119">
            <v>45.625</v>
          </cell>
          <cell r="AX119">
            <v>45.167999267578097</v>
          </cell>
          <cell r="AY119">
            <v>45.581001281738303</v>
          </cell>
          <cell r="AZ119">
            <v>45.659000396728501</v>
          </cell>
          <cell r="BA119">
            <v>45.639999389648402</v>
          </cell>
          <cell r="BB119">
            <v>44.549999237060497</v>
          </cell>
          <cell r="BC119">
            <v>44.009998321533203</v>
          </cell>
          <cell r="BD119">
            <v>43.958000183105497</v>
          </cell>
          <cell r="BE119">
            <v>43.692001342773402</v>
          </cell>
          <cell r="BF119">
            <v>42.659999847412102</v>
          </cell>
          <cell r="BG119">
            <v>42.624000549316399</v>
          </cell>
          <cell r="BH119">
            <v>42.944999694824197</v>
          </cell>
          <cell r="BI119">
            <v>43.5200004577637</v>
          </cell>
          <cell r="BJ119">
            <v>44.048999786377003</v>
          </cell>
          <cell r="BK119">
            <v>44.439998626708999</v>
          </cell>
        </row>
        <row r="120">
          <cell r="B120" t="str">
            <v>JAM</v>
          </cell>
          <cell r="C120" t="str">
            <v>Employment to population ratio, 15+, total (%) (modeled ILO estimate)</v>
          </cell>
          <cell r="D120" t="str">
            <v>SL.EMP.TOTL.SP.ZS</v>
          </cell>
          <cell r="AJ120">
            <v>60.166000366210902</v>
          </cell>
          <cell r="AK120">
            <v>60.165000915527301</v>
          </cell>
          <cell r="AL120">
            <v>59.759998321533203</v>
          </cell>
          <cell r="AM120">
            <v>60.437000274658203</v>
          </cell>
          <cell r="AN120">
            <v>59.219001770019503</v>
          </cell>
          <cell r="AO120">
            <v>58.734001159667997</v>
          </cell>
          <cell r="AP120">
            <v>57.755001068115199</v>
          </cell>
          <cell r="AQ120">
            <v>57.479000091552699</v>
          </cell>
          <cell r="AR120">
            <v>56.863998413085902</v>
          </cell>
          <cell r="AS120">
            <v>56.519001007080099</v>
          </cell>
          <cell r="AT120">
            <v>56.4739990234375</v>
          </cell>
          <cell r="AU120">
            <v>56.490001678466797</v>
          </cell>
          <cell r="AV120">
            <v>57.597000122070298</v>
          </cell>
          <cell r="AW120">
            <v>57.577999114990199</v>
          </cell>
          <cell r="AX120">
            <v>57.432998657226598</v>
          </cell>
          <cell r="AY120">
            <v>57.764999389648402</v>
          </cell>
          <cell r="AZ120">
            <v>57.869998931884801</v>
          </cell>
          <cell r="BA120">
            <v>57.231998443603501</v>
          </cell>
          <cell r="BB120">
            <v>56.311000823974602</v>
          </cell>
          <cell r="BC120">
            <v>55.409000396728501</v>
          </cell>
          <cell r="BD120">
            <v>55.023998260497997</v>
          </cell>
          <cell r="BE120">
            <v>54.070999145507798</v>
          </cell>
          <cell r="BF120">
            <v>54.194999694824197</v>
          </cell>
          <cell r="BG120">
            <v>55.152999877929702</v>
          </cell>
          <cell r="BH120">
            <v>55.640998840332003</v>
          </cell>
          <cell r="BI120">
            <v>57.028999328613303</v>
          </cell>
          <cell r="BJ120">
            <v>58.805000305175803</v>
          </cell>
          <cell r="BK120">
            <v>59.846000671386697</v>
          </cell>
        </row>
        <row r="121">
          <cell r="B121" t="str">
            <v>JOR</v>
          </cell>
          <cell r="C121" t="str">
            <v>Employment to population ratio, 15+, total (%) (modeled ILO estimate)</v>
          </cell>
          <cell r="D121" t="str">
            <v>SL.EMP.TOTL.SP.ZS</v>
          </cell>
          <cell r="AJ121">
            <v>32.844001770019503</v>
          </cell>
          <cell r="AK121">
            <v>32.909000396728501</v>
          </cell>
          <cell r="AL121">
            <v>33.283000946044901</v>
          </cell>
          <cell r="AM121">
            <v>34.794998168945298</v>
          </cell>
          <cell r="AN121">
            <v>36.160999298095703</v>
          </cell>
          <cell r="AO121">
            <v>36.575000762939503</v>
          </cell>
          <cell r="AP121">
            <v>36.523998260497997</v>
          </cell>
          <cell r="AQ121">
            <v>36.444999694824197</v>
          </cell>
          <cell r="AR121">
            <v>36.326999664306598</v>
          </cell>
          <cell r="AS121">
            <v>36.264999389648402</v>
          </cell>
          <cell r="AT121">
            <v>35.764999389648402</v>
          </cell>
          <cell r="AU121">
            <v>35.174999237060497</v>
          </cell>
          <cell r="AV121">
            <v>34.970001220703097</v>
          </cell>
          <cell r="AW121">
            <v>34.912998199462898</v>
          </cell>
          <cell r="AX121">
            <v>34.833999633789098</v>
          </cell>
          <cell r="AY121">
            <v>34.956001281738303</v>
          </cell>
          <cell r="AZ121">
            <v>36.506999969482401</v>
          </cell>
          <cell r="BA121">
            <v>36.4210014343262</v>
          </cell>
          <cell r="BB121">
            <v>37.044998168945298</v>
          </cell>
          <cell r="BC121">
            <v>36.569000244140597</v>
          </cell>
          <cell r="BD121">
            <v>35.833000183105497</v>
          </cell>
          <cell r="BE121">
            <v>35.368000030517599</v>
          </cell>
          <cell r="BF121">
            <v>34.301998138427699</v>
          </cell>
          <cell r="BG121">
            <v>34.577999114990199</v>
          </cell>
          <cell r="BH121">
            <v>34.130001068115199</v>
          </cell>
          <cell r="BI121">
            <v>33.312000274658203</v>
          </cell>
          <cell r="BJ121">
            <v>33.4140014648438</v>
          </cell>
          <cell r="BK121">
            <v>33.511001586914098</v>
          </cell>
        </row>
        <row r="122">
          <cell r="B122" t="str">
            <v>JPN</v>
          </cell>
          <cell r="C122" t="str">
            <v>Employment to population ratio, 15+, total (%) (modeled ILO estimate)</v>
          </cell>
          <cell r="D122" t="str">
            <v>SL.EMP.TOTL.SP.ZS</v>
          </cell>
          <cell r="AJ122">
            <v>62.581001281738303</v>
          </cell>
          <cell r="AK122">
            <v>62.793998718261697</v>
          </cell>
          <cell r="AL122">
            <v>62.437999725341797</v>
          </cell>
          <cell r="AM122">
            <v>61.972000122070298</v>
          </cell>
          <cell r="AN122">
            <v>61.583999633789098</v>
          </cell>
          <cell r="AO122">
            <v>61.534000396728501</v>
          </cell>
          <cell r="AP122">
            <v>61.713001251220703</v>
          </cell>
          <cell r="AQ122">
            <v>60.952999114990199</v>
          </cell>
          <cell r="AR122">
            <v>60.082000732421903</v>
          </cell>
          <cell r="AS122">
            <v>59.646999359130902</v>
          </cell>
          <cell r="AT122">
            <v>59.129001617431598</v>
          </cell>
          <cell r="AU122">
            <v>58.226001739502003</v>
          </cell>
          <cell r="AV122">
            <v>57.930000305175803</v>
          </cell>
          <cell r="AW122">
            <v>57.860000610351598</v>
          </cell>
          <cell r="AX122">
            <v>57.944000244140597</v>
          </cell>
          <cell r="AY122">
            <v>58.053001403808601</v>
          </cell>
          <cell r="AZ122">
            <v>58.3359985351563</v>
          </cell>
          <cell r="BA122">
            <v>58.159000396728501</v>
          </cell>
          <cell r="BB122">
            <v>57.291999816894503</v>
          </cell>
          <cell r="BC122">
            <v>57.011001586914098</v>
          </cell>
          <cell r="BD122">
            <v>56.898998260497997</v>
          </cell>
          <cell r="BE122">
            <v>56.730998992919901</v>
          </cell>
          <cell r="BF122">
            <v>57.227001190185497</v>
          </cell>
          <cell r="BG122">
            <v>57.665000915527301</v>
          </cell>
          <cell r="BH122">
            <v>57.949001312255902</v>
          </cell>
          <cell r="BI122">
            <v>58.573001861572301</v>
          </cell>
          <cell r="BJ122">
            <v>59.168998718261697</v>
          </cell>
          <cell r="BK122">
            <v>60.396999359130902</v>
          </cell>
        </row>
        <row r="123">
          <cell r="B123" t="str">
            <v>KAZ</v>
          </cell>
          <cell r="C123" t="str">
            <v>Employment to population ratio, 15+, total (%) (modeled ILO estimate)</v>
          </cell>
          <cell r="D123" t="str">
            <v>SL.EMP.TOTL.SP.ZS</v>
          </cell>
          <cell r="AJ123">
            <v>70.503997802734403</v>
          </cell>
          <cell r="AK123">
            <v>70.375</v>
          </cell>
          <cell r="AL123">
            <v>70.3489990234375</v>
          </cell>
          <cell r="AM123">
            <v>65.942001342773395</v>
          </cell>
          <cell r="AN123">
            <v>63.569999694824197</v>
          </cell>
          <cell r="AO123">
            <v>62.060001373291001</v>
          </cell>
          <cell r="AP123">
            <v>61.928001403808601</v>
          </cell>
          <cell r="AQ123">
            <v>61.854000091552699</v>
          </cell>
          <cell r="AR123">
            <v>61.551998138427699</v>
          </cell>
          <cell r="AS123">
            <v>61.858001708984403</v>
          </cell>
          <cell r="AT123">
            <v>63.160999298095703</v>
          </cell>
          <cell r="AU123">
            <v>63.680999755859403</v>
          </cell>
          <cell r="AV123">
            <v>63.701999664306598</v>
          </cell>
          <cell r="AW123">
            <v>63.425998687744098</v>
          </cell>
          <cell r="AX123">
            <v>63.866001129150398</v>
          </cell>
          <cell r="AY123">
            <v>64.292999267578097</v>
          </cell>
          <cell r="AZ123">
            <v>64.9219970703125</v>
          </cell>
          <cell r="BA123">
            <v>65.680999755859403</v>
          </cell>
          <cell r="BB123">
            <v>65.456001281738295</v>
          </cell>
          <cell r="BC123">
            <v>66.299003601074205</v>
          </cell>
          <cell r="BD123">
            <v>66.586997985839801</v>
          </cell>
          <cell r="BE123">
            <v>66.75</v>
          </cell>
          <cell r="BF123">
            <v>66.940002441406307</v>
          </cell>
          <cell r="BG123">
            <v>67.288002014160199</v>
          </cell>
          <cell r="BH123">
            <v>67.399002075195298</v>
          </cell>
          <cell r="BI123">
            <v>66.647003173828097</v>
          </cell>
          <cell r="BJ123">
            <v>65.852996826171903</v>
          </cell>
          <cell r="BK123">
            <v>65.736999511718807</v>
          </cell>
        </row>
        <row r="124">
          <cell r="B124" t="str">
            <v>KEN</v>
          </cell>
          <cell r="C124" t="str">
            <v>Employment to population ratio, 15+, total (%) (modeled ILO estimate)</v>
          </cell>
          <cell r="D124" t="str">
            <v>SL.EMP.TOTL.SP.ZS</v>
          </cell>
          <cell r="AJ124">
            <v>71.308998107910199</v>
          </cell>
          <cell r="AK124">
            <v>71.126998901367202</v>
          </cell>
          <cell r="AL124">
            <v>70.891998291015597</v>
          </cell>
          <cell r="AM124">
            <v>70.686996459960895</v>
          </cell>
          <cell r="AN124">
            <v>70.496002197265597</v>
          </cell>
          <cell r="AO124">
            <v>70.297996520996094</v>
          </cell>
          <cell r="AP124">
            <v>70.197998046875</v>
          </cell>
          <cell r="AQ124">
            <v>70.100997924804702</v>
          </cell>
          <cell r="AR124">
            <v>69.986000061035199</v>
          </cell>
          <cell r="AS124">
            <v>69.011001586914105</v>
          </cell>
          <cell r="AT124">
            <v>67.956001281738295</v>
          </cell>
          <cell r="AU124">
            <v>66.806999206542997</v>
          </cell>
          <cell r="AV124">
            <v>65.636001586914105</v>
          </cell>
          <cell r="AW124">
            <v>64.466003417968807</v>
          </cell>
          <cell r="AX124">
            <v>63.284999847412102</v>
          </cell>
          <cell r="AY124">
            <v>64.492996215820298</v>
          </cell>
          <cell r="AZ124">
            <v>65.694999694824205</v>
          </cell>
          <cell r="BA124">
            <v>66.829002380371094</v>
          </cell>
          <cell r="BB124">
            <v>67.730003356933594</v>
          </cell>
          <cell r="BC124">
            <v>68.629997253417997</v>
          </cell>
          <cell r="BD124">
            <v>69.486000061035199</v>
          </cell>
          <cell r="BE124">
            <v>70.251998901367202</v>
          </cell>
          <cell r="BF124">
            <v>70.947998046875</v>
          </cell>
          <cell r="BG124">
            <v>71.646003723144503</v>
          </cell>
          <cell r="BH124">
            <v>72.311996459960895</v>
          </cell>
          <cell r="BI124">
            <v>72.962997436523395</v>
          </cell>
          <cell r="BJ124">
            <v>72.762001037597699</v>
          </cell>
          <cell r="BK124">
            <v>72.541999816894503</v>
          </cell>
        </row>
        <row r="125">
          <cell r="B125" t="str">
            <v>KGZ</v>
          </cell>
          <cell r="C125" t="str">
            <v>Employment to population ratio, 15+, total (%) (modeled ILO estimate)</v>
          </cell>
          <cell r="D125" t="str">
            <v>SL.EMP.TOTL.SP.ZS</v>
          </cell>
          <cell r="AJ125">
            <v>61.370998382568402</v>
          </cell>
          <cell r="AK125">
            <v>62.008998870849602</v>
          </cell>
          <cell r="AL125">
            <v>61.339000701904297</v>
          </cell>
          <cell r="AM125">
            <v>61.555999755859403</v>
          </cell>
          <cell r="AN125">
            <v>61.319999694824197</v>
          </cell>
          <cell r="AO125">
            <v>60.019001007080099</v>
          </cell>
          <cell r="AP125">
            <v>59.596000671386697</v>
          </cell>
          <cell r="AQ125">
            <v>58.712001800537102</v>
          </cell>
          <cell r="AR125">
            <v>59.0060005187988</v>
          </cell>
          <cell r="AS125">
            <v>59.472999572753899</v>
          </cell>
          <cell r="AT125">
            <v>59.2039985656738</v>
          </cell>
          <cell r="AU125">
            <v>56.290000915527301</v>
          </cell>
          <cell r="AV125">
            <v>57.647998809814503</v>
          </cell>
          <cell r="AW125">
            <v>58.247001647949197</v>
          </cell>
          <cell r="AX125">
            <v>59.588001251220703</v>
          </cell>
          <cell r="AY125">
            <v>60.250999450683601</v>
          </cell>
          <cell r="AZ125">
            <v>59.858001708984403</v>
          </cell>
          <cell r="BA125">
            <v>59.229000091552699</v>
          </cell>
          <cell r="BB125">
            <v>58.476001739502003</v>
          </cell>
          <cell r="BC125">
            <v>58.544998168945298</v>
          </cell>
          <cell r="BD125">
            <v>59.0260009765625</v>
          </cell>
          <cell r="BE125">
            <v>58.528999328613303</v>
          </cell>
          <cell r="BF125">
            <v>57.297000885009801</v>
          </cell>
          <cell r="BG125">
            <v>57.375</v>
          </cell>
          <cell r="BH125">
            <v>57.667999267578097</v>
          </cell>
          <cell r="BI125">
            <v>57.1310005187988</v>
          </cell>
          <cell r="BJ125">
            <v>56.055999755859403</v>
          </cell>
          <cell r="BK125">
            <v>56.390998840332003</v>
          </cell>
        </row>
        <row r="126">
          <cell r="B126" t="str">
            <v>KHM</v>
          </cell>
          <cell r="C126" t="str">
            <v>Employment to population ratio, 15+, total (%) (modeled ILO estimate)</v>
          </cell>
          <cell r="D126" t="str">
            <v>SL.EMP.TOTL.SP.ZS</v>
          </cell>
          <cell r="AJ126">
            <v>78.524002075195298</v>
          </cell>
          <cell r="AK126">
            <v>78.775001525878906</v>
          </cell>
          <cell r="AL126">
            <v>79.080001831054702</v>
          </cell>
          <cell r="AM126">
            <v>80.154998779296903</v>
          </cell>
          <cell r="AN126">
            <v>79.982002258300795</v>
          </cell>
          <cell r="AO126">
            <v>79.7239990234375</v>
          </cell>
          <cell r="AP126">
            <v>79.643997192382798</v>
          </cell>
          <cell r="AQ126">
            <v>79.402999877929702</v>
          </cell>
          <cell r="AR126">
            <v>79.181999206542997</v>
          </cell>
          <cell r="AS126">
            <v>77.957000732421903</v>
          </cell>
          <cell r="AT126">
            <v>82.596000671386705</v>
          </cell>
          <cell r="AU126">
            <v>81.846000671386705</v>
          </cell>
          <cell r="AV126">
            <v>80.866996765136705</v>
          </cell>
          <cell r="AW126">
            <v>79.502998352050795</v>
          </cell>
          <cell r="AX126">
            <v>79.902999877929702</v>
          </cell>
          <cell r="AY126">
            <v>80.362998962402301</v>
          </cell>
          <cell r="AZ126">
            <v>80.747001647949205</v>
          </cell>
          <cell r="BA126">
            <v>81.496002197265597</v>
          </cell>
          <cell r="BB126">
            <v>82.082000732421903</v>
          </cell>
          <cell r="BC126">
            <v>84.572998046875</v>
          </cell>
          <cell r="BD126">
            <v>85.371002197265597</v>
          </cell>
          <cell r="BE126">
            <v>83.030998229980497</v>
          </cell>
          <cell r="BF126">
            <v>80.406997680664105</v>
          </cell>
          <cell r="BG126">
            <v>80.097999572753906</v>
          </cell>
          <cell r="BH126">
            <v>80.013000488281307</v>
          </cell>
          <cell r="BI126">
            <v>81.768997192382798</v>
          </cell>
          <cell r="BJ126">
            <v>81.735000610351605</v>
          </cell>
          <cell r="BK126">
            <v>81.678001403808594</v>
          </cell>
        </row>
        <row r="127">
          <cell r="B127" t="str">
            <v>KIR</v>
          </cell>
          <cell r="C127" t="str">
            <v>Employment to population ratio, 15+, total (%) (modeled ILO estimate)</v>
          </cell>
          <cell r="D127" t="str">
            <v>SL.EMP.TOTL.SP.ZS</v>
          </cell>
        </row>
        <row r="128">
          <cell r="B128" t="str">
            <v>KNA</v>
          </cell>
          <cell r="C128" t="str">
            <v>Employment to population ratio, 15+, total (%) (modeled ILO estimate)</v>
          </cell>
          <cell r="D128" t="str">
            <v>SL.EMP.TOTL.SP.ZS</v>
          </cell>
        </row>
        <row r="129">
          <cell r="B129" t="str">
            <v>KOR</v>
          </cell>
          <cell r="C129" t="str">
            <v>Employment to population ratio, 15+, total (%) (modeled ILO estimate)</v>
          </cell>
          <cell r="D129" t="str">
            <v>SL.EMP.TOTL.SP.ZS</v>
          </cell>
          <cell r="AJ129">
            <v>58.873001098632798</v>
          </cell>
          <cell r="AK129">
            <v>58.981998443603501</v>
          </cell>
          <cell r="AL129">
            <v>58.715999603271499</v>
          </cell>
          <cell r="AM129">
            <v>59.707000732421903</v>
          </cell>
          <cell r="AN129">
            <v>60.377998352050803</v>
          </cell>
          <cell r="AO129">
            <v>60.755001068115199</v>
          </cell>
          <cell r="AP129">
            <v>60.903999328613303</v>
          </cell>
          <cell r="AQ129">
            <v>56.481998443603501</v>
          </cell>
          <cell r="AR129">
            <v>56.801998138427699</v>
          </cell>
          <cell r="AS129">
            <v>58.441001892089801</v>
          </cell>
          <cell r="AT129">
            <v>58.807998657226598</v>
          </cell>
          <cell r="AU129">
            <v>59.805000305175803</v>
          </cell>
          <cell r="AV129">
            <v>59.192001342773402</v>
          </cell>
          <cell r="AW129">
            <v>59.807998657226598</v>
          </cell>
          <cell r="AX129">
            <v>59.780998229980497</v>
          </cell>
          <cell r="AY129">
            <v>59.817001342773402</v>
          </cell>
          <cell r="AZ129">
            <v>59.926998138427699</v>
          </cell>
          <cell r="BA129">
            <v>59.428001403808601</v>
          </cell>
          <cell r="BB129">
            <v>58.472999572753899</v>
          </cell>
          <cell r="BC129">
            <v>58.511001586914098</v>
          </cell>
          <cell r="BD129">
            <v>58.879001617431598</v>
          </cell>
          <cell r="BE129">
            <v>59.256999969482401</v>
          </cell>
          <cell r="BF129">
            <v>59.474998474121101</v>
          </cell>
          <cell r="BG129">
            <v>60.215999603271499</v>
          </cell>
          <cell r="BH129">
            <v>60.326999664306598</v>
          </cell>
          <cell r="BI129">
            <v>60.452999114990199</v>
          </cell>
          <cell r="BJ129">
            <v>60.738998413085902</v>
          </cell>
          <cell r="BK129">
            <v>60.529998779296903</v>
          </cell>
        </row>
        <row r="130">
          <cell r="B130" t="str">
            <v>KWT</v>
          </cell>
          <cell r="C130" t="str">
            <v>Employment to population ratio, 15+, total (%) (modeled ILO estimate)</v>
          </cell>
          <cell r="D130" t="str">
            <v>SL.EMP.TOTL.SP.ZS</v>
          </cell>
          <cell r="AJ130">
            <v>63.8950004577637</v>
          </cell>
          <cell r="AK130">
            <v>63.965999603271499</v>
          </cell>
          <cell r="AL130">
            <v>64.685997009277301</v>
          </cell>
          <cell r="AM130">
            <v>65.849998474121094</v>
          </cell>
          <cell r="AN130">
            <v>66.892997741699205</v>
          </cell>
          <cell r="AO130">
            <v>66.719001770019503</v>
          </cell>
          <cell r="AP130">
            <v>66.586997985839801</v>
          </cell>
          <cell r="AQ130">
            <v>66.557998657226605</v>
          </cell>
          <cell r="AR130">
            <v>66.942001342773395</v>
          </cell>
          <cell r="AS130">
            <v>67.011001586914105</v>
          </cell>
          <cell r="AT130">
            <v>66.742996215820298</v>
          </cell>
          <cell r="AU130">
            <v>66.446998596191406</v>
          </cell>
          <cell r="AV130">
            <v>65.800003051757798</v>
          </cell>
          <cell r="AW130">
            <v>65.579002380371094</v>
          </cell>
          <cell r="AX130">
            <v>65.905998229980497</v>
          </cell>
          <cell r="AY130">
            <v>65.735000610351605</v>
          </cell>
          <cell r="AZ130">
            <v>65.597999572753906</v>
          </cell>
          <cell r="BA130">
            <v>65.888999938964801</v>
          </cell>
          <cell r="BB130">
            <v>67.194999694824205</v>
          </cell>
          <cell r="BC130">
            <v>68.136001586914105</v>
          </cell>
          <cell r="BD130">
            <v>68.383003234863295</v>
          </cell>
          <cell r="BE130">
            <v>68.661003112792997</v>
          </cell>
          <cell r="BF130">
            <v>69.178001403808594</v>
          </cell>
          <cell r="BG130">
            <v>69.875999450683594</v>
          </cell>
          <cell r="BH130">
            <v>70.986999511718807</v>
          </cell>
          <cell r="BI130">
            <v>71.192001342773395</v>
          </cell>
          <cell r="BJ130">
            <v>71.938003540039105</v>
          </cell>
          <cell r="BK130">
            <v>71.892997741699205</v>
          </cell>
        </row>
        <row r="131">
          <cell r="B131" t="str">
            <v>LAC</v>
          </cell>
          <cell r="C131" t="str">
            <v>Employment to population ratio, 15+, total (%) (modeled ILO estimate)</v>
          </cell>
          <cell r="D131" t="str">
            <v>SL.EMP.TOTL.SP.ZS</v>
          </cell>
          <cell r="AJ131">
            <v>57.683080145336042</v>
          </cell>
          <cell r="AK131">
            <v>58.103155803361709</v>
          </cell>
          <cell r="AL131">
            <v>58.492834365581878</v>
          </cell>
          <cell r="AM131">
            <v>58.414567110949015</v>
          </cell>
          <cell r="AN131">
            <v>57.847682132162589</v>
          </cell>
          <cell r="AO131">
            <v>57.342338325102226</v>
          </cell>
          <cell r="AP131">
            <v>58.071416164763875</v>
          </cell>
          <cell r="AQ131">
            <v>57.989938826496427</v>
          </cell>
          <cell r="AR131">
            <v>57.529594214651993</v>
          </cell>
          <cell r="AS131">
            <v>57.499595723661606</v>
          </cell>
          <cell r="AT131">
            <v>57.898101120446576</v>
          </cell>
          <cell r="AU131">
            <v>57.8440682426493</v>
          </cell>
          <cell r="AV131">
            <v>58.100546857443732</v>
          </cell>
          <cell r="AW131">
            <v>58.908464914371798</v>
          </cell>
          <cell r="AX131">
            <v>59.423600542049122</v>
          </cell>
          <cell r="AY131">
            <v>60.007652552378786</v>
          </cell>
          <cell r="AZ131">
            <v>60.084070819563898</v>
          </cell>
          <cell r="BA131">
            <v>60.287419026128866</v>
          </cell>
          <cell r="BB131">
            <v>59.913483535896226</v>
          </cell>
          <cell r="BC131">
            <v>59.78919160779401</v>
          </cell>
          <cell r="BD131">
            <v>59.703399174236083</v>
          </cell>
          <cell r="BE131">
            <v>60.283816462979836</v>
          </cell>
          <cell r="BF131">
            <v>60.103150310729987</v>
          </cell>
          <cell r="BG131">
            <v>59.976040589154387</v>
          </cell>
          <cell r="BH131">
            <v>59.689651854077766</v>
          </cell>
          <cell r="BI131">
            <v>58.867863680198752</v>
          </cell>
          <cell r="BJ131">
            <v>58.856065878121832</v>
          </cell>
          <cell r="BK131">
            <v>59.064149141511251</v>
          </cell>
        </row>
        <row r="132">
          <cell r="B132" t="str">
            <v>LAO</v>
          </cell>
          <cell r="C132" t="str">
            <v>Employment to population ratio, 15+, total (%) (modeled ILO estimate)</v>
          </cell>
          <cell r="D132" t="str">
            <v>SL.EMP.TOTL.SP.ZS</v>
          </cell>
          <cell r="AJ132">
            <v>79.192001342773395</v>
          </cell>
          <cell r="AK132">
            <v>79.146003723144503</v>
          </cell>
          <cell r="AL132">
            <v>79.055999755859403</v>
          </cell>
          <cell r="AM132">
            <v>78.958000183105497</v>
          </cell>
          <cell r="AN132">
            <v>78.888999938964801</v>
          </cell>
          <cell r="AO132">
            <v>78.843002319335895</v>
          </cell>
          <cell r="AP132">
            <v>78.802001953125</v>
          </cell>
          <cell r="AQ132">
            <v>78.734001159667997</v>
          </cell>
          <cell r="AR132">
            <v>78.609001159667997</v>
          </cell>
          <cell r="AS132">
            <v>78.498001098632798</v>
          </cell>
          <cell r="AT132">
            <v>78.389999389648395</v>
          </cell>
          <cell r="AU132">
            <v>78.222999572753906</v>
          </cell>
          <cell r="AV132">
            <v>78.056999206542997</v>
          </cell>
          <cell r="AW132">
            <v>77.900001525878906</v>
          </cell>
          <cell r="AX132">
            <v>77.740997314453097</v>
          </cell>
          <cell r="AY132">
            <v>77.719001770019503</v>
          </cell>
          <cell r="AZ132">
            <v>77.680999755859403</v>
          </cell>
          <cell r="BA132">
            <v>77.625</v>
          </cell>
          <cell r="BB132">
            <v>77.5260009765625</v>
          </cell>
          <cell r="BC132">
            <v>77.513000488281307</v>
          </cell>
          <cell r="BD132">
            <v>77.583999633789105</v>
          </cell>
          <cell r="BE132">
            <v>77.678001403808594</v>
          </cell>
          <cell r="BF132">
            <v>77.771003723144503</v>
          </cell>
          <cell r="BG132">
            <v>77.870002746582003</v>
          </cell>
          <cell r="BH132">
            <v>77.939002990722699</v>
          </cell>
          <cell r="BI132">
            <v>77.931999206542997</v>
          </cell>
          <cell r="BJ132">
            <v>77.930999755859403</v>
          </cell>
          <cell r="BK132">
            <v>77.920997619628906</v>
          </cell>
        </row>
        <row r="133">
          <cell r="B133" t="str">
            <v>LBN</v>
          </cell>
          <cell r="C133" t="str">
            <v>Employment to population ratio, 15+, total (%) (modeled ILO estimate)</v>
          </cell>
          <cell r="D133" t="str">
            <v>SL.EMP.TOTL.SP.ZS</v>
          </cell>
          <cell r="AJ133">
            <v>39.928001403808601</v>
          </cell>
          <cell r="AK133">
            <v>40.012001037597699</v>
          </cell>
          <cell r="AL133">
            <v>40.298000335693402</v>
          </cell>
          <cell r="AM133">
            <v>40.722000122070298</v>
          </cell>
          <cell r="AN133">
            <v>41.187000274658203</v>
          </cell>
          <cell r="AO133">
            <v>41.160999298095703</v>
          </cell>
          <cell r="AP133">
            <v>41.433998107910199</v>
          </cell>
          <cell r="AQ133">
            <v>41.661998748779297</v>
          </cell>
          <cell r="AR133">
            <v>42.009998321533203</v>
          </cell>
          <cell r="AS133">
            <v>42.367000579833999</v>
          </cell>
          <cell r="AT133">
            <v>42.770999908447301</v>
          </cell>
          <cell r="AU133">
            <v>43.131999969482401</v>
          </cell>
          <cell r="AV133">
            <v>43.474998474121101</v>
          </cell>
          <cell r="AW133">
            <v>43.661998748779297</v>
          </cell>
          <cell r="AX133">
            <v>43.6189994812012</v>
          </cell>
          <cell r="AY133">
            <v>43.522998809814503</v>
          </cell>
          <cell r="AZ133">
            <v>43.389999389648402</v>
          </cell>
          <cell r="BA133">
            <v>43.819999694824197</v>
          </cell>
          <cell r="BB133">
            <v>44.006999969482401</v>
          </cell>
          <cell r="BC133">
            <v>43.75</v>
          </cell>
          <cell r="BD133">
            <v>43.849998474121101</v>
          </cell>
          <cell r="BE133">
            <v>43.881999969482401</v>
          </cell>
          <cell r="BF133">
            <v>43.8810005187988</v>
          </cell>
          <cell r="BG133">
            <v>43.888999938964801</v>
          </cell>
          <cell r="BH133">
            <v>43.905998229980497</v>
          </cell>
          <cell r="BI133">
            <v>43.965000152587898</v>
          </cell>
          <cell r="BJ133">
            <v>44.060001373291001</v>
          </cell>
          <cell r="BK133">
            <v>44.159999847412102</v>
          </cell>
        </row>
        <row r="134">
          <cell r="B134" t="str">
            <v>LBR</v>
          </cell>
          <cell r="C134" t="str">
            <v>Employment to population ratio, 15+, total (%) (modeled ILO estimate)</v>
          </cell>
          <cell r="D134" t="str">
            <v>SL.EMP.TOTL.SP.ZS</v>
          </cell>
          <cell r="AJ134">
            <v>73.968002319335895</v>
          </cell>
          <cell r="AK134">
            <v>73.767997741699205</v>
          </cell>
          <cell r="AL134">
            <v>73.495002746582003</v>
          </cell>
          <cell r="AM134">
            <v>73.283996582031307</v>
          </cell>
          <cell r="AN134">
            <v>73.202003479003906</v>
          </cell>
          <cell r="AO134">
            <v>73.060997009277301</v>
          </cell>
          <cell r="AP134">
            <v>72.963996887207003</v>
          </cell>
          <cell r="AQ134">
            <v>72.915000915527301</v>
          </cell>
          <cell r="AR134">
            <v>72.824996948242202</v>
          </cell>
          <cell r="AS134">
            <v>72.716003417968807</v>
          </cell>
          <cell r="AT134">
            <v>72.824996948242202</v>
          </cell>
          <cell r="AU134">
            <v>72.860000610351605</v>
          </cell>
          <cell r="AV134">
            <v>73.232002258300795</v>
          </cell>
          <cell r="AW134">
            <v>73.309997558593807</v>
          </cell>
          <cell r="AX134">
            <v>73.428001403808594</v>
          </cell>
          <cell r="AY134">
            <v>73.597999572753906</v>
          </cell>
          <cell r="AZ134">
            <v>73.751998901367202</v>
          </cell>
          <cell r="BA134">
            <v>73.884002685546903</v>
          </cell>
          <cell r="BB134">
            <v>73.856002807617202</v>
          </cell>
          <cell r="BC134">
            <v>73.838996887207003</v>
          </cell>
          <cell r="BD134">
            <v>73.835998535156307</v>
          </cell>
          <cell r="BE134">
            <v>73.782997131347699</v>
          </cell>
          <cell r="BF134">
            <v>73.6719970703125</v>
          </cell>
          <cell r="BG134">
            <v>73.621002197265597</v>
          </cell>
          <cell r="BH134">
            <v>73.531997680664105</v>
          </cell>
          <cell r="BI134">
            <v>74.392997741699205</v>
          </cell>
          <cell r="BJ134">
            <v>74.246002197265597</v>
          </cell>
          <cell r="BK134">
            <v>74.087997436523395</v>
          </cell>
        </row>
        <row r="135">
          <cell r="B135" t="str">
            <v>LBY</v>
          </cell>
          <cell r="C135" t="str">
            <v>Employment to population ratio, 15+, total (%) (modeled ILO estimate)</v>
          </cell>
          <cell r="D135" t="str">
            <v>SL.EMP.TOTL.SP.ZS</v>
          </cell>
          <cell r="AJ135">
            <v>34.983001708984403</v>
          </cell>
          <cell r="AK135">
            <v>35.009998321533203</v>
          </cell>
          <cell r="AL135">
            <v>35.0460014343262</v>
          </cell>
          <cell r="AM135">
            <v>35.181999206542997</v>
          </cell>
          <cell r="AN135">
            <v>35.358001708984403</v>
          </cell>
          <cell r="AO135">
            <v>35.429000854492202</v>
          </cell>
          <cell r="AP135">
            <v>35.574001312255902</v>
          </cell>
          <cell r="AQ135">
            <v>35.761001586914098</v>
          </cell>
          <cell r="AR135">
            <v>35.946998596191399</v>
          </cell>
          <cell r="AS135">
            <v>36.228000640869098</v>
          </cell>
          <cell r="AT135">
            <v>36.465000152587898</v>
          </cell>
          <cell r="AU135">
            <v>36.701000213622997</v>
          </cell>
          <cell r="AV135">
            <v>37.023998260497997</v>
          </cell>
          <cell r="AW135">
            <v>37.433998107910199</v>
          </cell>
          <cell r="AX135">
            <v>37.883998870849602</v>
          </cell>
          <cell r="AY135">
            <v>38.317001342773402</v>
          </cell>
          <cell r="AZ135">
            <v>38.726001739502003</v>
          </cell>
          <cell r="BA135">
            <v>39.055999755859403</v>
          </cell>
          <cell r="BB135">
            <v>39.103000640869098</v>
          </cell>
          <cell r="BC135">
            <v>39.331001281738303</v>
          </cell>
          <cell r="BD135">
            <v>39.570999145507798</v>
          </cell>
          <cell r="BE135">
            <v>39.766998291015597</v>
          </cell>
          <cell r="BF135">
            <v>39.916000366210902</v>
          </cell>
          <cell r="BG135">
            <v>40.080001831054702</v>
          </cell>
          <cell r="BH135">
            <v>40.1710014343262</v>
          </cell>
          <cell r="BI135">
            <v>40.305999755859403</v>
          </cell>
          <cell r="BJ135">
            <v>40.444000244140597</v>
          </cell>
          <cell r="BK135">
            <v>40.543998718261697</v>
          </cell>
        </row>
        <row r="136">
          <cell r="B136" t="str">
            <v>LCA</v>
          </cell>
          <cell r="C136" t="str">
            <v>Employment to population ratio, 15+, total (%) (modeled ILO estimate)</v>
          </cell>
          <cell r="D136" t="str">
            <v>SL.EMP.TOTL.SP.ZS</v>
          </cell>
          <cell r="AJ136">
            <v>52.337001800537102</v>
          </cell>
          <cell r="AK136">
            <v>52.456001281738303</v>
          </cell>
          <cell r="AL136">
            <v>52.521999359130902</v>
          </cell>
          <cell r="AM136">
            <v>52.543998718261697</v>
          </cell>
          <cell r="AN136">
            <v>53.393001556396499</v>
          </cell>
          <cell r="AO136">
            <v>53.159999847412102</v>
          </cell>
          <cell r="AP136">
            <v>50.583999633789098</v>
          </cell>
          <cell r="AQ136">
            <v>49.904998779296903</v>
          </cell>
          <cell r="AR136">
            <v>52.188999176025398</v>
          </cell>
          <cell r="AS136">
            <v>53.278999328613303</v>
          </cell>
          <cell r="AT136">
            <v>52.236000061035199</v>
          </cell>
          <cell r="AU136">
            <v>51.215999603271499</v>
          </cell>
          <cell r="AV136">
            <v>50.4609985351563</v>
          </cell>
          <cell r="AW136">
            <v>51.7109985351563</v>
          </cell>
          <cell r="AX136">
            <v>53.495998382568402</v>
          </cell>
          <cell r="AY136">
            <v>55.540000915527301</v>
          </cell>
          <cell r="AZ136">
            <v>56.932998657226598</v>
          </cell>
          <cell r="BA136">
            <v>57.799999237060497</v>
          </cell>
          <cell r="BB136">
            <v>55.849998474121101</v>
          </cell>
          <cell r="BC136">
            <v>54.508998870849602</v>
          </cell>
          <cell r="BD136">
            <v>53.550998687744098</v>
          </cell>
          <cell r="BE136">
            <v>53.555000305175803</v>
          </cell>
          <cell r="BF136">
            <v>51.5929985046387</v>
          </cell>
          <cell r="BG136">
            <v>51.131999969482401</v>
          </cell>
          <cell r="BH136">
            <v>50.609001159667997</v>
          </cell>
          <cell r="BI136">
            <v>52.625</v>
          </cell>
          <cell r="BJ136">
            <v>52.8689994812012</v>
          </cell>
          <cell r="BK136">
            <v>53.022998809814503</v>
          </cell>
        </row>
        <row r="137">
          <cell r="B137" t="str">
            <v>LCN</v>
          </cell>
          <cell r="C137" t="str">
            <v>Employment to population ratio, 15+, total (%) (modeled ILO estimate)</v>
          </cell>
          <cell r="D137" t="str">
            <v>SL.EMP.TOTL.SP.ZS</v>
          </cell>
          <cell r="AJ137">
            <v>57.287263105254347</v>
          </cell>
          <cell r="AK137">
            <v>57.722355328387124</v>
          </cell>
          <cell r="AL137">
            <v>58.107722364596157</v>
          </cell>
          <cell r="AM137">
            <v>58.036854430590438</v>
          </cell>
          <cell r="AN137">
            <v>57.554803873436882</v>
          </cell>
          <cell r="AO137">
            <v>57.053952435598518</v>
          </cell>
          <cell r="AP137">
            <v>57.765958173475703</v>
          </cell>
          <cell r="AQ137">
            <v>57.699066201338674</v>
          </cell>
          <cell r="AR137">
            <v>57.194423841187046</v>
          </cell>
          <cell r="AS137">
            <v>57.156037707329396</v>
          </cell>
          <cell r="AT137">
            <v>57.51286894566833</v>
          </cell>
          <cell r="AU137">
            <v>57.445342661901826</v>
          </cell>
          <cell r="AV137">
            <v>57.71770588767199</v>
          </cell>
          <cell r="AW137">
            <v>58.525263068184614</v>
          </cell>
          <cell r="AX137">
            <v>59.056693701176144</v>
          </cell>
          <cell r="AY137">
            <v>59.650517316247544</v>
          </cell>
          <cell r="AZ137">
            <v>59.767715539946494</v>
          </cell>
          <cell r="BA137">
            <v>59.997786348691058</v>
          </cell>
          <cell r="BB137">
            <v>59.577802942379336</v>
          </cell>
          <cell r="BC137">
            <v>59.511963922017948</v>
          </cell>
          <cell r="BD137">
            <v>59.490047693567824</v>
          </cell>
          <cell r="BE137">
            <v>60.062594710316269</v>
          </cell>
          <cell r="BF137">
            <v>59.907658217505272</v>
          </cell>
          <cell r="BG137">
            <v>59.786290696804961</v>
          </cell>
          <cell r="BH137">
            <v>59.519693699575036</v>
          </cell>
          <cell r="BI137">
            <v>58.735093283564055</v>
          </cell>
          <cell r="BJ137">
            <v>58.726910788170343</v>
          </cell>
          <cell r="BK137">
            <v>58.937408589168101</v>
          </cell>
        </row>
        <row r="138">
          <cell r="B138" t="str">
            <v>LDC</v>
          </cell>
          <cell r="C138" t="str">
            <v>Employment to population ratio, 15+, total (%) (modeled ILO estimate)</v>
          </cell>
          <cell r="D138" t="str">
            <v>SL.EMP.TOTL.SP.ZS</v>
          </cell>
          <cell r="AJ138">
            <v>67.23564833477613</v>
          </cell>
          <cell r="AK138">
            <v>67.133949056395522</v>
          </cell>
          <cell r="AL138">
            <v>66.9983979169115</v>
          </cell>
          <cell r="AM138">
            <v>66.935732536549125</v>
          </cell>
          <cell r="AN138">
            <v>66.894503273472168</v>
          </cell>
          <cell r="AO138">
            <v>66.857044369860162</v>
          </cell>
          <cell r="AP138">
            <v>66.824737389266815</v>
          </cell>
          <cell r="AQ138">
            <v>66.794548323218635</v>
          </cell>
          <cell r="AR138">
            <v>66.69358181037542</v>
          </cell>
          <cell r="AS138">
            <v>66.5835195541666</v>
          </cell>
          <cell r="AT138">
            <v>66.569399216726922</v>
          </cell>
          <cell r="AU138">
            <v>66.405002590081168</v>
          </cell>
          <cell r="AV138">
            <v>66.24657952618189</v>
          </cell>
          <cell r="AW138">
            <v>66.180235177238501</v>
          </cell>
          <cell r="AX138">
            <v>66.130618857627823</v>
          </cell>
          <cell r="AY138">
            <v>66.08041303572648</v>
          </cell>
          <cell r="AZ138">
            <v>65.897022115125054</v>
          </cell>
          <cell r="BA138">
            <v>65.707833271816597</v>
          </cell>
          <cell r="BB138">
            <v>65.327622278202412</v>
          </cell>
          <cell r="BC138">
            <v>65.116521691513114</v>
          </cell>
          <cell r="BD138">
            <v>64.914145574347984</v>
          </cell>
          <cell r="BE138">
            <v>64.617048860703278</v>
          </cell>
          <cell r="BF138">
            <v>64.353624357984913</v>
          </cell>
          <cell r="BG138">
            <v>64.168406541672681</v>
          </cell>
          <cell r="BH138">
            <v>64.057645510678796</v>
          </cell>
          <cell r="BI138">
            <v>63.965296264305849</v>
          </cell>
          <cell r="BJ138">
            <v>64.27041736884658</v>
          </cell>
          <cell r="BK138">
            <v>64.3012088417494</v>
          </cell>
        </row>
        <row r="139">
          <cell r="B139" t="str">
            <v>LIC</v>
          </cell>
          <cell r="C139" t="str">
            <v>Employment to population ratio, 15+, total (%) (modeled ILO estimate)</v>
          </cell>
          <cell r="D139" t="str">
            <v>SL.EMP.TOTL.SP.ZS</v>
          </cell>
          <cell r="AJ139">
            <v>71.457232941347485</v>
          </cell>
          <cell r="AK139">
            <v>71.340555111316732</v>
          </cell>
          <cell r="AL139">
            <v>71.13926637956412</v>
          </cell>
          <cell r="AM139">
            <v>70.990550964377292</v>
          </cell>
          <cell r="AN139">
            <v>70.909098914308544</v>
          </cell>
          <cell r="AO139">
            <v>70.816753367792728</v>
          </cell>
          <cell r="AP139">
            <v>70.757913987868562</v>
          </cell>
          <cell r="AQ139">
            <v>70.682740839400665</v>
          </cell>
          <cell r="AR139">
            <v>70.62654902404789</v>
          </cell>
          <cell r="AS139">
            <v>70.538079595642472</v>
          </cell>
          <cell r="AT139">
            <v>70.442999419897902</v>
          </cell>
          <cell r="AU139">
            <v>70.34152821214407</v>
          </cell>
          <cell r="AV139">
            <v>70.255950664532932</v>
          </cell>
          <cell r="AW139">
            <v>70.225271758348484</v>
          </cell>
          <cell r="AX139">
            <v>70.15925279583665</v>
          </cell>
          <cell r="AY139">
            <v>69.926005396528709</v>
          </cell>
          <cell r="AZ139">
            <v>69.637260877890498</v>
          </cell>
          <cell r="BA139">
            <v>69.346227175684433</v>
          </cell>
          <cell r="BB139">
            <v>68.922534491017302</v>
          </cell>
          <cell r="BC139">
            <v>68.578981751456183</v>
          </cell>
          <cell r="BD139">
            <v>68.343646548774004</v>
          </cell>
          <cell r="BE139">
            <v>68.069259186379341</v>
          </cell>
          <cell r="BF139">
            <v>67.897818592302343</v>
          </cell>
          <cell r="BG139">
            <v>67.701931520082397</v>
          </cell>
          <cell r="BH139">
            <v>67.605351108731298</v>
          </cell>
          <cell r="BI139">
            <v>67.628875560613395</v>
          </cell>
          <cell r="BJ139">
            <v>67.660311387274874</v>
          </cell>
          <cell r="BK139">
            <v>67.669691724395818</v>
          </cell>
        </row>
        <row r="140">
          <cell r="B140" t="str">
            <v>LIE</v>
          </cell>
          <cell r="C140" t="str">
            <v>Employment to population ratio, 15+, total (%) (modeled ILO estimate)</v>
          </cell>
          <cell r="D140" t="str">
            <v>SL.EMP.TOTL.SP.ZS</v>
          </cell>
        </row>
        <row r="141">
          <cell r="B141" t="str">
            <v>LKA</v>
          </cell>
          <cell r="C141" t="str">
            <v>Employment to population ratio, 15+, total (%) (modeled ILO estimate)</v>
          </cell>
          <cell r="D141" t="str">
            <v>SL.EMP.TOTL.SP.ZS</v>
          </cell>
          <cell r="AJ141">
            <v>51.175998687744098</v>
          </cell>
          <cell r="AK141">
            <v>49.247001647949197</v>
          </cell>
          <cell r="AL141">
            <v>49.584999084472699</v>
          </cell>
          <cell r="AM141">
            <v>50.166000366210902</v>
          </cell>
          <cell r="AN141">
            <v>48.797000885009801</v>
          </cell>
          <cell r="AO141">
            <v>49.464000701904297</v>
          </cell>
          <cell r="AP141">
            <v>50.030998229980497</v>
          </cell>
          <cell r="AQ141">
            <v>54.053001403808601</v>
          </cell>
          <cell r="AR141">
            <v>52.749000549316399</v>
          </cell>
          <cell r="AS141">
            <v>52.514999389648402</v>
          </cell>
          <cell r="AT141">
            <v>52.307998657226598</v>
          </cell>
          <cell r="AU141">
            <v>51.730998992919901</v>
          </cell>
          <cell r="AV141">
            <v>51.956001281738303</v>
          </cell>
          <cell r="AW141">
            <v>51.768001556396499</v>
          </cell>
          <cell r="AX141">
            <v>52.0460014343262</v>
          </cell>
          <cell r="AY141">
            <v>52.620998382568402</v>
          </cell>
          <cell r="AZ141">
            <v>52.797000885009801</v>
          </cell>
          <cell r="BA141">
            <v>53.055999755859403</v>
          </cell>
          <cell r="BB141">
            <v>52.514999389648402</v>
          </cell>
          <cell r="BC141">
            <v>52.022998809814503</v>
          </cell>
          <cell r="BD141">
            <v>52.015998840332003</v>
          </cell>
          <cell r="BE141">
            <v>51.366001129150398</v>
          </cell>
          <cell r="BF141">
            <v>52.521999359130902</v>
          </cell>
          <cell r="BG141">
            <v>51.662998199462898</v>
          </cell>
          <cell r="BH141">
            <v>52.298999786377003</v>
          </cell>
          <cell r="BI141">
            <v>52.6710014343262</v>
          </cell>
          <cell r="BJ141">
            <v>52.264999389648402</v>
          </cell>
          <cell r="BK141">
            <v>51.912998199462898</v>
          </cell>
        </row>
        <row r="142">
          <cell r="B142" t="str">
            <v>LMC</v>
          </cell>
          <cell r="C142" t="str">
            <v>Employment to population ratio, 15+, total (%) (modeled ILO estimate)</v>
          </cell>
          <cell r="D142" t="str">
            <v>SL.EMP.TOTL.SP.ZS</v>
          </cell>
          <cell r="AJ142">
            <v>57.624553763085558</v>
          </cell>
          <cell r="AK142">
            <v>57.653905178829731</v>
          </cell>
          <cell r="AL142">
            <v>57.514438175185212</v>
          </cell>
          <cell r="AM142">
            <v>57.538691532997888</v>
          </cell>
          <cell r="AN142">
            <v>57.294918698939753</v>
          </cell>
          <cell r="AO142">
            <v>57.133783443499205</v>
          </cell>
          <cell r="AP142">
            <v>57.001102496624107</v>
          </cell>
          <cell r="AQ142">
            <v>56.880041757656095</v>
          </cell>
          <cell r="AR142">
            <v>56.798262928994092</v>
          </cell>
          <cell r="AS142">
            <v>56.703199520242357</v>
          </cell>
          <cell r="AT142">
            <v>56.594972404013831</v>
          </cell>
          <cell r="AU142">
            <v>56.418479047239074</v>
          </cell>
          <cell r="AV142">
            <v>56.407996174103729</v>
          </cell>
          <cell r="AW142">
            <v>56.495052810218517</v>
          </cell>
          <cell r="AX142">
            <v>56.407518734034625</v>
          </cell>
          <cell r="AY142">
            <v>56.132468068495463</v>
          </cell>
          <cell r="AZ142">
            <v>56.025705399904979</v>
          </cell>
          <cell r="BA142">
            <v>55.723605130616804</v>
          </cell>
          <cell r="BB142">
            <v>55.311574317779204</v>
          </cell>
          <cell r="BC142">
            <v>55.082611554629842</v>
          </cell>
          <cell r="BD142">
            <v>54.685742010416888</v>
          </cell>
          <cell r="BE142">
            <v>54.199163034122357</v>
          </cell>
          <cell r="BF142">
            <v>53.819683511762072</v>
          </cell>
          <cell r="BG142">
            <v>53.57800663387161</v>
          </cell>
          <cell r="BH142">
            <v>53.217902640061027</v>
          </cell>
          <cell r="BI142">
            <v>52.838863522783797</v>
          </cell>
          <cell r="BJ142">
            <v>52.656768530059765</v>
          </cell>
          <cell r="BK142">
            <v>52.502207128191884</v>
          </cell>
        </row>
        <row r="143">
          <cell r="B143" t="str">
            <v>LMY</v>
          </cell>
          <cell r="C143" t="str">
            <v>Employment to population ratio, 15+, total (%) (modeled ILO estimate)</v>
          </cell>
          <cell r="D143" t="str">
            <v>SL.EMP.TOTL.SP.ZS</v>
          </cell>
          <cell r="AJ143">
            <v>64.047743899228237</v>
          </cell>
          <cell r="AK143">
            <v>64.000712796370948</v>
          </cell>
          <cell r="AL143">
            <v>63.689008243278224</v>
          </cell>
          <cell r="AM143">
            <v>63.4486492976501</v>
          </cell>
          <cell r="AN143">
            <v>63.103767459781558</v>
          </cell>
          <cell r="AO143">
            <v>62.833631349365582</v>
          </cell>
          <cell r="AP143">
            <v>62.633580340916254</v>
          </cell>
          <cell r="AQ143">
            <v>62.355142142708594</v>
          </cell>
          <cell r="AR143">
            <v>62.20945969117944</v>
          </cell>
          <cell r="AS143">
            <v>62.062912408595558</v>
          </cell>
          <cell r="AT143">
            <v>61.69127273138443</v>
          </cell>
          <cell r="AU143">
            <v>61.277239675245653</v>
          </cell>
          <cell r="AV143">
            <v>60.990266285595176</v>
          </cell>
          <cell r="AW143">
            <v>60.96587576762095</v>
          </cell>
          <cell r="AX143">
            <v>60.815645958969263</v>
          </cell>
          <cell r="AY143">
            <v>60.618466244987765</v>
          </cell>
          <cell r="AZ143">
            <v>60.510762004554024</v>
          </cell>
          <cell r="BA143">
            <v>60.235569909862079</v>
          </cell>
          <cell r="BB143">
            <v>59.765472920081642</v>
          </cell>
          <cell r="BC143">
            <v>59.513773534145834</v>
          </cell>
          <cell r="BD143">
            <v>59.297363505522739</v>
          </cell>
          <cell r="BE143">
            <v>59.052015861265147</v>
          </cell>
          <cell r="BF143">
            <v>58.761984100402728</v>
          </cell>
          <cell r="BG143">
            <v>58.50068321232164</v>
          </cell>
          <cell r="BH143">
            <v>58.21608695023864</v>
          </cell>
          <cell r="BI143">
            <v>57.870718220848943</v>
          </cell>
          <cell r="BJ143">
            <v>57.684505671587203</v>
          </cell>
          <cell r="BK143">
            <v>57.546697445543714</v>
          </cell>
        </row>
        <row r="144">
          <cell r="B144" t="str">
            <v>LSO</v>
          </cell>
          <cell r="C144" t="str">
            <v>Employment to population ratio, 15+, total (%) (modeled ILO estimate)</v>
          </cell>
          <cell r="D144" t="str">
            <v>SL.EMP.TOTL.SP.ZS</v>
          </cell>
          <cell r="AJ144">
            <v>47.191001892089801</v>
          </cell>
          <cell r="AK144">
            <v>47.101001739502003</v>
          </cell>
          <cell r="AL144">
            <v>46.902999877929702</v>
          </cell>
          <cell r="AM144">
            <v>46.826000213622997</v>
          </cell>
          <cell r="AN144">
            <v>46.744998931884801</v>
          </cell>
          <cell r="AO144">
            <v>46.570999145507798</v>
          </cell>
          <cell r="AP144">
            <v>46.437999725341797</v>
          </cell>
          <cell r="AQ144">
            <v>46.971000671386697</v>
          </cell>
          <cell r="AR144">
            <v>47.375999450683601</v>
          </cell>
          <cell r="AS144">
            <v>47.648998260497997</v>
          </cell>
          <cell r="AT144">
            <v>47.867000579833999</v>
          </cell>
          <cell r="AU144">
            <v>47.972999572753899</v>
          </cell>
          <cell r="AV144">
            <v>48.173000335693402</v>
          </cell>
          <cell r="AW144">
            <v>48.469001770019503</v>
          </cell>
          <cell r="AX144">
            <v>48.784000396728501</v>
          </cell>
          <cell r="AY144">
            <v>49.244998931884801</v>
          </cell>
          <cell r="AZ144">
            <v>49.665000915527301</v>
          </cell>
          <cell r="BA144">
            <v>49.952999114990199</v>
          </cell>
          <cell r="BB144">
            <v>49.780998229980497</v>
          </cell>
          <cell r="BC144">
            <v>49.926998138427699</v>
          </cell>
          <cell r="BD144">
            <v>50.304000854492202</v>
          </cell>
          <cell r="BE144">
            <v>50.650001525878899</v>
          </cell>
          <cell r="BF144">
            <v>50.958999633789098</v>
          </cell>
          <cell r="BG144">
            <v>51.099998474121101</v>
          </cell>
          <cell r="BH144">
            <v>51.155998229980497</v>
          </cell>
          <cell r="BI144">
            <v>51.2820014953613</v>
          </cell>
          <cell r="BJ144">
            <v>51.477001190185497</v>
          </cell>
          <cell r="BK144">
            <v>51.605998992919901</v>
          </cell>
        </row>
        <row r="145">
          <cell r="B145" t="str">
            <v>LTE</v>
          </cell>
          <cell r="C145" t="str">
            <v>Employment to population ratio, 15+, total (%) (modeled ILO estimate)</v>
          </cell>
          <cell r="D145" t="str">
            <v>SL.EMP.TOTL.SP.ZS</v>
          </cell>
          <cell r="AJ145">
            <v>71.299169423106662</v>
          </cell>
          <cell r="AK145">
            <v>71.26494037436207</v>
          </cell>
          <cell r="AL145">
            <v>70.914979142123741</v>
          </cell>
          <cell r="AM145">
            <v>70.4402962830452</v>
          </cell>
          <cell r="AN145">
            <v>70.200464067829344</v>
          </cell>
          <cell r="AO145">
            <v>69.757519446303291</v>
          </cell>
          <cell r="AP145">
            <v>69.367774820534052</v>
          </cell>
          <cell r="AQ145">
            <v>68.927318567576336</v>
          </cell>
          <cell r="AR145">
            <v>68.773240833422634</v>
          </cell>
          <cell r="AS145">
            <v>68.680243349446584</v>
          </cell>
          <cell r="AT145">
            <v>68.029956555298284</v>
          </cell>
          <cell r="AU145">
            <v>67.41456212831153</v>
          </cell>
          <cell r="AV145">
            <v>66.735264995920048</v>
          </cell>
          <cell r="AW145">
            <v>66.455650294132781</v>
          </cell>
          <cell r="AX145">
            <v>66.185973974492015</v>
          </cell>
          <cell r="AY145">
            <v>65.998194834137792</v>
          </cell>
          <cell r="AZ145">
            <v>65.962832944941326</v>
          </cell>
          <cell r="BA145">
            <v>65.772103326383217</v>
          </cell>
          <cell r="BB145">
            <v>65.314514052358732</v>
          </cell>
          <cell r="BC145">
            <v>65.158163855832285</v>
          </cell>
          <cell r="BD145">
            <v>65.117320623833649</v>
          </cell>
          <cell r="BE145">
            <v>65.088790408931487</v>
          </cell>
          <cell r="BF145">
            <v>64.903788347474318</v>
          </cell>
          <cell r="BG145">
            <v>64.739158513173138</v>
          </cell>
          <cell r="BH145">
            <v>64.432541022335229</v>
          </cell>
          <cell r="BI145">
            <v>63.996279297765724</v>
          </cell>
          <cell r="BJ145">
            <v>63.714347978111029</v>
          </cell>
          <cell r="BK145">
            <v>63.553348766629327</v>
          </cell>
        </row>
        <row r="146">
          <cell r="B146" t="str">
            <v>LTU</v>
          </cell>
          <cell r="C146" t="str">
            <v>Employment to population ratio, 15+, total (%) (modeled ILO estimate)</v>
          </cell>
          <cell r="D146" t="str">
            <v>SL.EMP.TOTL.SP.ZS</v>
          </cell>
          <cell r="AJ146">
            <v>61.534999847412102</v>
          </cell>
          <cell r="AK146">
            <v>61.321998596191399</v>
          </cell>
          <cell r="AL146">
            <v>53.391998291015597</v>
          </cell>
          <cell r="AM146">
            <v>53.261001586914098</v>
          </cell>
          <cell r="AN146">
            <v>50.821998596191399</v>
          </cell>
          <cell r="AO146">
            <v>51.326999664306598</v>
          </cell>
          <cell r="AP146">
            <v>52.504001617431598</v>
          </cell>
          <cell r="AQ146">
            <v>52.543998718261697</v>
          </cell>
          <cell r="AR146">
            <v>52.931999206542997</v>
          </cell>
          <cell r="AS146">
            <v>50.544998168945298</v>
          </cell>
          <cell r="AT146">
            <v>48.840999603271499</v>
          </cell>
          <cell r="AU146">
            <v>50.5200004577637</v>
          </cell>
          <cell r="AV146">
            <v>52.404998779296903</v>
          </cell>
          <cell r="AW146">
            <v>51.033000946044901</v>
          </cell>
          <cell r="AX146">
            <v>51.505001068115199</v>
          </cell>
          <cell r="AY146">
            <v>52.042999267578097</v>
          </cell>
          <cell r="AZ146">
            <v>53.214000701904297</v>
          </cell>
          <cell r="BA146">
            <v>52.6510009765625</v>
          </cell>
          <cell r="BB146">
            <v>48.852001190185497</v>
          </cell>
          <cell r="BC146">
            <v>46.816001892089801</v>
          </cell>
          <cell r="BD146">
            <v>48.946998596191399</v>
          </cell>
          <cell r="BE146">
            <v>50.382999420166001</v>
          </cell>
          <cell r="BF146">
            <v>51.423000335693402</v>
          </cell>
          <cell r="BG146">
            <v>52.784999847412102</v>
          </cell>
          <cell r="BH146">
            <v>53.859001159667997</v>
          </cell>
          <cell r="BI146">
            <v>55.790000915527301</v>
          </cell>
          <cell r="BJ146">
            <v>56.597999572753899</v>
          </cell>
          <cell r="BK146">
            <v>57.9609985351563</v>
          </cell>
        </row>
        <row r="147">
          <cell r="B147" t="str">
            <v>LUX</v>
          </cell>
          <cell r="C147" t="str">
            <v>Employment to population ratio, 15+, total (%) (modeled ILO estimate)</v>
          </cell>
          <cell r="D147" t="str">
            <v>SL.EMP.TOTL.SP.ZS</v>
          </cell>
          <cell r="AJ147">
            <v>51.105998992919901</v>
          </cell>
          <cell r="AK147">
            <v>51.626998901367202</v>
          </cell>
          <cell r="AL147">
            <v>50.910999298095703</v>
          </cell>
          <cell r="AM147">
            <v>50.264999389648402</v>
          </cell>
          <cell r="AN147">
            <v>48.824001312255902</v>
          </cell>
          <cell r="AO147">
            <v>49.141998291015597</v>
          </cell>
          <cell r="AP147">
            <v>49.715000152587898</v>
          </cell>
          <cell r="AQ147">
            <v>49.783000946044901</v>
          </cell>
          <cell r="AR147">
            <v>50.814998626708999</v>
          </cell>
          <cell r="AS147">
            <v>52.119998931884801</v>
          </cell>
          <cell r="AT147">
            <v>51.866001129150398</v>
          </cell>
          <cell r="AU147">
            <v>52.451999664306598</v>
          </cell>
          <cell r="AV147">
            <v>51.242000579833999</v>
          </cell>
          <cell r="AW147">
            <v>51.332000732421903</v>
          </cell>
          <cell r="AX147">
            <v>52.337001800537102</v>
          </cell>
          <cell r="AY147">
            <v>52.662998199462898</v>
          </cell>
          <cell r="AZ147">
            <v>52.763999938964801</v>
          </cell>
          <cell r="BA147">
            <v>52.224998474121101</v>
          </cell>
          <cell r="BB147">
            <v>54.344001770019503</v>
          </cell>
          <cell r="BC147">
            <v>54.495998382568402</v>
          </cell>
          <cell r="BD147">
            <v>54.066001892089801</v>
          </cell>
          <cell r="BE147">
            <v>55.029998779296903</v>
          </cell>
          <cell r="BF147">
            <v>54.875</v>
          </cell>
          <cell r="BG147">
            <v>55.568000793457003</v>
          </cell>
          <cell r="BH147">
            <v>55.403999328613303</v>
          </cell>
          <cell r="BI147">
            <v>54.513999938964801</v>
          </cell>
          <cell r="BJ147">
            <v>55.429000854492202</v>
          </cell>
          <cell r="BK147">
            <v>55.887001037597699</v>
          </cell>
        </row>
        <row r="148">
          <cell r="B148" t="str">
            <v>LVA</v>
          </cell>
          <cell r="C148" t="str">
            <v>Employment to population ratio, 15+, total (%) (modeled ILO estimate)</v>
          </cell>
          <cell r="D148" t="str">
            <v>SL.EMP.TOTL.SP.ZS</v>
          </cell>
          <cell r="AJ148">
            <v>59.5859985351563</v>
          </cell>
          <cell r="AK148">
            <v>56.949001312255902</v>
          </cell>
          <cell r="AL148">
            <v>50.646999359130902</v>
          </cell>
          <cell r="AM148">
            <v>49.186000823974602</v>
          </cell>
          <cell r="AN148">
            <v>48.7760009765625</v>
          </cell>
          <cell r="AO148">
            <v>47.534000396728501</v>
          </cell>
          <cell r="AP148">
            <v>50.861000061035199</v>
          </cell>
          <cell r="AQ148">
            <v>50.320999145507798</v>
          </cell>
          <cell r="AR148">
            <v>49.599998474121101</v>
          </cell>
          <cell r="AS148">
            <v>48.088001251220703</v>
          </cell>
          <cell r="AT148">
            <v>48.547000885009801</v>
          </cell>
          <cell r="AU148">
            <v>49.805000305175803</v>
          </cell>
          <cell r="AV148">
            <v>50.0929985046387</v>
          </cell>
          <cell r="AW148">
            <v>50.548999786377003</v>
          </cell>
          <cell r="AX148">
            <v>51.516998291015597</v>
          </cell>
          <cell r="AY148">
            <v>54.859001159667997</v>
          </cell>
          <cell r="AZ148">
            <v>56.560001373291001</v>
          </cell>
          <cell r="BA148">
            <v>56.734001159667997</v>
          </cell>
          <cell r="BB148">
            <v>49.568000793457003</v>
          </cell>
          <cell r="BC148">
            <v>47.493000030517599</v>
          </cell>
          <cell r="BD148">
            <v>49.112998962402301</v>
          </cell>
          <cell r="BE148">
            <v>50.761001586914098</v>
          </cell>
          <cell r="BF148">
            <v>52.305000305175803</v>
          </cell>
          <cell r="BG148">
            <v>52.805999755859403</v>
          </cell>
          <cell r="BH148">
            <v>54.129001617431598</v>
          </cell>
          <cell r="BI148">
            <v>54.772998809814503</v>
          </cell>
          <cell r="BJ148">
            <v>55.875999450683601</v>
          </cell>
          <cell r="BK148">
            <v>57.2039985656738</v>
          </cell>
        </row>
        <row r="149">
          <cell r="B149" t="str">
            <v>MAC</v>
          </cell>
          <cell r="C149" t="str">
            <v>Employment to population ratio, 15+, total (%) (modeled ILO estimate)</v>
          </cell>
          <cell r="D149" t="str">
            <v>SL.EMP.TOTL.SP.ZS</v>
          </cell>
          <cell r="AJ149">
            <v>55.787998199462898</v>
          </cell>
          <cell r="AK149">
            <v>57.053001403808601</v>
          </cell>
          <cell r="AL149">
            <v>57.219001770019503</v>
          </cell>
          <cell r="AM149">
            <v>56.995998382568402</v>
          </cell>
          <cell r="AN149">
            <v>57.817001342773402</v>
          </cell>
          <cell r="AO149">
            <v>64.836997985839801</v>
          </cell>
          <cell r="AP149">
            <v>64.693000793457003</v>
          </cell>
          <cell r="AQ149">
            <v>63.124000549316399</v>
          </cell>
          <cell r="AR149">
            <v>61.630001068115199</v>
          </cell>
          <cell r="AS149">
            <v>60.902999877929702</v>
          </cell>
          <cell r="AT149">
            <v>61.7239990234375</v>
          </cell>
          <cell r="AU149">
            <v>59.923999786377003</v>
          </cell>
          <cell r="AV149">
            <v>58.606998443603501</v>
          </cell>
          <cell r="AW149">
            <v>60.139999389648402</v>
          </cell>
          <cell r="AX149">
            <v>61.752998352050803</v>
          </cell>
          <cell r="AY149">
            <v>63.6450004577637</v>
          </cell>
          <cell r="AZ149">
            <v>66.527000427246094</v>
          </cell>
          <cell r="BA149">
            <v>67.799003601074205</v>
          </cell>
          <cell r="BB149">
            <v>67.908996582031307</v>
          </cell>
          <cell r="BC149">
            <v>68.799003601074205</v>
          </cell>
          <cell r="BD149">
            <v>69.455001831054702</v>
          </cell>
          <cell r="BE149">
            <v>69.550003051757798</v>
          </cell>
          <cell r="BF149">
            <v>69.7760009765625</v>
          </cell>
          <cell r="BG149">
            <v>70.575996398925795</v>
          </cell>
          <cell r="BH149">
            <v>70.307998657226605</v>
          </cell>
          <cell r="BI149">
            <v>69.443000793457003</v>
          </cell>
          <cell r="BJ149">
            <v>69.286003112792997</v>
          </cell>
          <cell r="BK149">
            <v>69.345001220703097</v>
          </cell>
        </row>
        <row r="150">
          <cell r="B150" t="str">
            <v>MAF</v>
          </cell>
          <cell r="C150" t="str">
            <v>Employment to population ratio, 15+, total (%) (modeled ILO estimate)</v>
          </cell>
          <cell r="D150" t="str">
            <v>SL.EMP.TOTL.SP.ZS</v>
          </cell>
        </row>
        <row r="151">
          <cell r="B151" t="str">
            <v>MAR</v>
          </cell>
          <cell r="C151" t="str">
            <v>Employment to population ratio, 15+, total (%) (modeled ILO estimate)</v>
          </cell>
          <cell r="D151" t="str">
            <v>SL.EMP.TOTL.SP.ZS</v>
          </cell>
          <cell r="AJ151">
            <v>42.779998779296903</v>
          </cell>
          <cell r="AK151">
            <v>42.903999328613303</v>
          </cell>
          <cell r="AL151">
            <v>42.930000305175803</v>
          </cell>
          <cell r="AM151">
            <v>42.756999969482401</v>
          </cell>
          <cell r="AN151">
            <v>42.9739990234375</v>
          </cell>
          <cell r="AO151">
            <v>42.7760009765625</v>
          </cell>
          <cell r="AP151">
            <v>42.931999206542997</v>
          </cell>
          <cell r="AQ151">
            <v>42.872001647949197</v>
          </cell>
          <cell r="AR151">
            <v>42.915000915527301</v>
          </cell>
          <cell r="AS151">
            <v>43.167999267578097</v>
          </cell>
          <cell r="AT151">
            <v>43.742000579833999</v>
          </cell>
          <cell r="AU151">
            <v>43.951000213622997</v>
          </cell>
          <cell r="AV151">
            <v>44.285999298095703</v>
          </cell>
          <cell r="AW151">
            <v>45.055000305175803</v>
          </cell>
          <cell r="AX151">
            <v>44.799999237060497</v>
          </cell>
          <cell r="AY151">
            <v>45.236000061035199</v>
          </cell>
          <cell r="AZ151">
            <v>45.173000335693402</v>
          </cell>
          <cell r="BA151">
            <v>44.958000183105497</v>
          </cell>
          <cell r="BB151">
            <v>45.292999267578097</v>
          </cell>
          <cell r="BC151">
            <v>45.264999389648402</v>
          </cell>
          <cell r="BD151">
            <v>45.380001068115199</v>
          </cell>
          <cell r="BE151">
            <v>44.755001068115199</v>
          </cell>
          <cell r="BF151">
            <v>44.312999725341797</v>
          </cell>
          <cell r="BG151">
            <v>43.358001708984403</v>
          </cell>
          <cell r="BH151">
            <v>42.715999603271499</v>
          </cell>
          <cell r="BI151">
            <v>42.041000366210902</v>
          </cell>
          <cell r="BJ151">
            <v>41.312999725341797</v>
          </cell>
          <cell r="BK151">
            <v>41.318000793457003</v>
          </cell>
        </row>
        <row r="152">
          <cell r="B152" t="str">
            <v>MCO</v>
          </cell>
          <cell r="C152" t="str">
            <v>Employment to population ratio, 15+, total (%) (modeled ILO estimate)</v>
          </cell>
          <cell r="D152" t="str">
            <v>SL.EMP.TOTL.SP.ZS</v>
          </cell>
        </row>
        <row r="153">
          <cell r="B153" t="str">
            <v>MDA</v>
          </cell>
          <cell r="C153" t="str">
            <v>Employment to population ratio, 15+, total (%) (modeled ILO estimate)</v>
          </cell>
          <cell r="D153" t="str">
            <v>SL.EMP.TOTL.SP.ZS</v>
          </cell>
          <cell r="AJ153">
            <v>49.146999359130902</v>
          </cell>
          <cell r="AK153">
            <v>48.393001556396499</v>
          </cell>
          <cell r="AL153">
            <v>48.321998596191399</v>
          </cell>
          <cell r="AM153">
            <v>48.377998352050803</v>
          </cell>
          <cell r="AN153">
            <v>48.576999664306598</v>
          </cell>
          <cell r="AO153">
            <v>47.291000366210902</v>
          </cell>
          <cell r="AP153">
            <v>47.027000427246101</v>
          </cell>
          <cell r="AQ153">
            <v>46.081001281738303</v>
          </cell>
          <cell r="AR153">
            <v>45.511001586914098</v>
          </cell>
          <cell r="AS153">
            <v>46.681999206542997</v>
          </cell>
          <cell r="AT153">
            <v>46.931999206542997</v>
          </cell>
          <cell r="AU153">
            <v>46.8289985656738</v>
          </cell>
          <cell r="AV153">
            <v>46.021999359130902</v>
          </cell>
          <cell r="AW153">
            <v>45.759998321533203</v>
          </cell>
          <cell r="AX153">
            <v>44.875999450683601</v>
          </cell>
          <cell r="AY153">
            <v>43.488998413085902</v>
          </cell>
          <cell r="AZ153">
            <v>43.219001770019503</v>
          </cell>
          <cell r="BA153">
            <v>42.347999572753899</v>
          </cell>
          <cell r="BB153">
            <v>39.928001403808601</v>
          </cell>
          <cell r="BC153">
            <v>38.623001098632798</v>
          </cell>
          <cell r="BD153">
            <v>39.495998382568402</v>
          </cell>
          <cell r="BE153">
            <v>38.483001708984403</v>
          </cell>
          <cell r="BF153">
            <v>39.345001220703097</v>
          </cell>
          <cell r="BG153">
            <v>39.707000732421903</v>
          </cell>
          <cell r="BH153">
            <v>42.477001190185497</v>
          </cell>
          <cell r="BI153">
            <v>41</v>
          </cell>
          <cell r="BJ153">
            <v>40.609001159667997</v>
          </cell>
          <cell r="BK153">
            <v>42.124000549316399</v>
          </cell>
        </row>
        <row r="154">
          <cell r="B154" t="str">
            <v>MDG</v>
          </cell>
          <cell r="C154" t="str">
            <v>Employment to population ratio, 15+, total (%) (modeled ILO estimate)</v>
          </cell>
          <cell r="D154" t="str">
            <v>SL.EMP.TOTL.SP.ZS</v>
          </cell>
          <cell r="AJ154">
            <v>81.801002502441406</v>
          </cell>
          <cell r="AK154">
            <v>81.717002868652301</v>
          </cell>
          <cell r="AL154">
            <v>81.567001342773395</v>
          </cell>
          <cell r="AM154">
            <v>81.523002624511705</v>
          </cell>
          <cell r="AN154">
            <v>81.500999450683594</v>
          </cell>
          <cell r="AO154">
            <v>81.516998291015597</v>
          </cell>
          <cell r="AP154">
            <v>81.563003540039105</v>
          </cell>
          <cell r="AQ154">
            <v>81.5989990234375</v>
          </cell>
          <cell r="AR154">
            <v>81.565002441406307</v>
          </cell>
          <cell r="AS154">
            <v>81.599998474121094</v>
          </cell>
          <cell r="AT154">
            <v>82.016998291015597</v>
          </cell>
          <cell r="AU154">
            <v>82.213996887207003</v>
          </cell>
          <cell r="AV154">
            <v>82.359001159667997</v>
          </cell>
          <cell r="AW154">
            <v>83.450996398925795</v>
          </cell>
          <cell r="AX154">
            <v>84.362998962402301</v>
          </cell>
          <cell r="AY154">
            <v>84.775001525878906</v>
          </cell>
          <cell r="AZ154">
            <v>85.121002197265597</v>
          </cell>
          <cell r="BA154">
            <v>85.353996276855497</v>
          </cell>
          <cell r="BB154">
            <v>85.272003173828097</v>
          </cell>
          <cell r="BC154">
            <v>85.239997863769503</v>
          </cell>
          <cell r="BD154">
            <v>86.941001892089801</v>
          </cell>
          <cell r="BE154">
            <v>87.818000793457003</v>
          </cell>
          <cell r="BF154">
            <v>87.017997741699205</v>
          </cell>
          <cell r="BG154">
            <v>86.083999633789105</v>
          </cell>
          <cell r="BH154">
            <v>84.991996765136705</v>
          </cell>
          <cell r="BI154">
            <v>84.832000732421903</v>
          </cell>
          <cell r="BJ154">
            <v>84.709999084472699</v>
          </cell>
          <cell r="BK154">
            <v>84.602996826171903</v>
          </cell>
        </row>
        <row r="155">
          <cell r="B155" t="str">
            <v>MDV</v>
          </cell>
          <cell r="C155" t="str">
            <v>Employment to population ratio, 15+, total (%) (modeled ILO estimate)</v>
          </cell>
          <cell r="D155" t="str">
            <v>SL.EMP.TOTL.SP.ZS</v>
          </cell>
          <cell r="AJ155">
            <v>49.303001403808601</v>
          </cell>
          <cell r="AK155">
            <v>49.560001373291001</v>
          </cell>
          <cell r="AL155">
            <v>49.852001190185497</v>
          </cell>
          <cell r="AM155">
            <v>50.1510009765625</v>
          </cell>
          <cell r="AN155">
            <v>50.432998657226598</v>
          </cell>
          <cell r="AO155">
            <v>50.966999053955099</v>
          </cell>
          <cell r="AP155">
            <v>51.478000640869098</v>
          </cell>
          <cell r="AQ155">
            <v>51.991001129150398</v>
          </cell>
          <cell r="AR155">
            <v>52.543998718261697</v>
          </cell>
          <cell r="AS155">
            <v>53.191001892089801</v>
          </cell>
          <cell r="AT155">
            <v>53.534000396728501</v>
          </cell>
          <cell r="AU155">
            <v>53.992000579833999</v>
          </cell>
          <cell r="AV155">
            <v>54.570999145507798</v>
          </cell>
          <cell r="AW155">
            <v>55.243000030517599</v>
          </cell>
          <cell r="AX155">
            <v>55.970001220703097</v>
          </cell>
          <cell r="AY155">
            <v>56.540000915527301</v>
          </cell>
          <cell r="AZ155">
            <v>57.227001190185497</v>
          </cell>
          <cell r="BA155">
            <v>58.015998840332003</v>
          </cell>
          <cell r="BB155">
            <v>58.777000427246101</v>
          </cell>
          <cell r="BC155">
            <v>59.749000549316399</v>
          </cell>
          <cell r="BD155">
            <v>60.925998687744098</v>
          </cell>
          <cell r="BE155">
            <v>62.150001525878899</v>
          </cell>
          <cell r="BF155">
            <v>63.384998321533203</v>
          </cell>
          <cell r="BG155">
            <v>64.647003173828097</v>
          </cell>
          <cell r="BH155">
            <v>64.294998168945298</v>
          </cell>
          <cell r="BI155">
            <v>63.486000061035199</v>
          </cell>
          <cell r="BJ155">
            <v>64.272003173828097</v>
          </cell>
          <cell r="BK155">
            <v>64.816001892089801</v>
          </cell>
        </row>
        <row r="156">
          <cell r="B156" t="str">
            <v>MEA</v>
          </cell>
          <cell r="C156" t="str">
            <v>Employment to population ratio, 15+, total (%) (modeled ILO estimate)</v>
          </cell>
          <cell r="D156" t="str">
            <v>SL.EMP.TOTL.SP.ZS</v>
          </cell>
          <cell r="AJ156">
            <v>42.346744667391967</v>
          </cell>
          <cell r="AK156">
            <v>41.965410889943911</v>
          </cell>
          <cell r="AL156">
            <v>41.664284835042388</v>
          </cell>
          <cell r="AM156">
            <v>41.791245961420138</v>
          </cell>
          <cell r="AN156">
            <v>41.533654802088563</v>
          </cell>
          <cell r="AO156">
            <v>41.590606566573996</v>
          </cell>
          <cell r="AP156">
            <v>41.560567843315326</v>
          </cell>
          <cell r="AQ156">
            <v>41.304664552057829</v>
          </cell>
          <cell r="AR156">
            <v>41.523640300822855</v>
          </cell>
          <cell r="AS156">
            <v>41.340866551548366</v>
          </cell>
          <cell r="AT156">
            <v>41.214526492223342</v>
          </cell>
          <cell r="AU156">
            <v>41.037162018580254</v>
          </cell>
          <cell r="AV156">
            <v>41.419605138847466</v>
          </cell>
          <cell r="AW156">
            <v>42.192581169694165</v>
          </cell>
          <cell r="AX156">
            <v>42.343135669961221</v>
          </cell>
          <cell r="AY156">
            <v>42.660083501219425</v>
          </cell>
          <cell r="AZ156">
            <v>43.027848252120918</v>
          </cell>
          <cell r="BA156">
            <v>42.846513590829112</v>
          </cell>
          <cell r="BB156">
            <v>43.046843610703007</v>
          </cell>
          <cell r="BC156">
            <v>43.145829505626381</v>
          </cell>
          <cell r="BD156">
            <v>42.896013573561795</v>
          </cell>
          <cell r="BE156">
            <v>42.892502153099706</v>
          </cell>
          <cell r="BF156">
            <v>43.240796582274434</v>
          </cell>
          <cell r="BG156">
            <v>42.99577342810089</v>
          </cell>
          <cell r="BH156">
            <v>42.924009118850257</v>
          </cell>
          <cell r="BI156">
            <v>43.112244500503721</v>
          </cell>
          <cell r="BJ156">
            <v>42.828504885932176</v>
          </cell>
          <cell r="BK156">
            <v>42.853129898037729</v>
          </cell>
        </row>
        <row r="157">
          <cell r="B157" t="str">
            <v>MEX</v>
          </cell>
          <cell r="C157" t="str">
            <v>Employment to population ratio, 15+, total (%) (modeled ILO estimate)</v>
          </cell>
          <cell r="D157" t="str">
            <v>SL.EMP.TOTL.SP.ZS</v>
          </cell>
          <cell r="AJ157">
            <v>56.902000427246101</v>
          </cell>
          <cell r="AK157">
            <v>57.4799995422363</v>
          </cell>
          <cell r="AL157">
            <v>58.067001342773402</v>
          </cell>
          <cell r="AM157">
            <v>57.291999816894503</v>
          </cell>
          <cell r="AN157">
            <v>55.5260009765625</v>
          </cell>
          <cell r="AO157">
            <v>56.520999908447301</v>
          </cell>
          <cell r="AP157">
            <v>58.5929985046387</v>
          </cell>
          <cell r="AQ157">
            <v>58.678001403808601</v>
          </cell>
          <cell r="AR157">
            <v>58.591999053955099</v>
          </cell>
          <cell r="AS157">
            <v>58.374000549316399</v>
          </cell>
          <cell r="AT157">
            <v>57.787998199462898</v>
          </cell>
          <cell r="AU157">
            <v>57.077999114990199</v>
          </cell>
          <cell r="AV157">
            <v>57.147998809814503</v>
          </cell>
          <cell r="AW157">
            <v>57.374000549316399</v>
          </cell>
          <cell r="AX157">
            <v>58.4210014343262</v>
          </cell>
          <cell r="AY157">
            <v>59.115001678466797</v>
          </cell>
          <cell r="AZ157">
            <v>59.144001007080099</v>
          </cell>
          <cell r="BA157">
            <v>58.682998657226598</v>
          </cell>
          <cell r="BB157">
            <v>57.674999237060497</v>
          </cell>
          <cell r="BC157">
            <v>57.494998931884801</v>
          </cell>
          <cell r="BD157">
            <v>57.609001159667997</v>
          </cell>
          <cell r="BE157">
            <v>58.431999206542997</v>
          </cell>
          <cell r="BF157">
            <v>58.234001159667997</v>
          </cell>
          <cell r="BG157">
            <v>57.722999572753899</v>
          </cell>
          <cell r="BH157">
            <v>58.134998321533203</v>
          </cell>
          <cell r="BI157">
            <v>58.330001831054702</v>
          </cell>
          <cell r="BJ157">
            <v>58.408000946044901</v>
          </cell>
          <cell r="BK157">
            <v>58.705001831054702</v>
          </cell>
        </row>
        <row r="158">
          <cell r="B158" t="str">
            <v>MHL</v>
          </cell>
          <cell r="C158" t="str">
            <v>Employment to population ratio, 15+, total (%) (modeled ILO estimate)</v>
          </cell>
          <cell r="D158" t="str">
            <v>SL.EMP.TOTL.SP.ZS</v>
          </cell>
        </row>
        <row r="159">
          <cell r="B159" t="str">
            <v>MIC</v>
          </cell>
          <cell r="C159" t="str">
            <v>Employment to population ratio, 15+, total (%) (modeled ILO estimate)</v>
          </cell>
          <cell r="D159" t="str">
            <v>SL.EMP.TOTL.SP.ZS</v>
          </cell>
          <cell r="AJ159">
            <v>63.515887811992002</v>
          </cell>
          <cell r="AK159">
            <v>63.469536866718535</v>
          </cell>
          <cell r="AL159">
            <v>63.145318700486087</v>
          </cell>
          <cell r="AM159">
            <v>62.893281068434689</v>
          </cell>
          <cell r="AN159">
            <v>62.523330489374295</v>
          </cell>
          <cell r="AO159">
            <v>62.23749786409897</v>
          </cell>
          <cell r="AP159">
            <v>62.023064782718869</v>
          </cell>
          <cell r="AQ159">
            <v>61.724596620663029</v>
          </cell>
          <cell r="AR159">
            <v>61.567204392334681</v>
          </cell>
          <cell r="AS159">
            <v>61.41139042343351</v>
          </cell>
          <cell r="AT159">
            <v>61.012740898757869</v>
          </cell>
          <cell r="AU159">
            <v>60.56858849779141</v>
          </cell>
          <cell r="AV159">
            <v>60.259663834697086</v>
          </cell>
          <cell r="AW159">
            <v>60.22860335460841</v>
          </cell>
          <cell r="AX159">
            <v>60.063116092680602</v>
          </cell>
          <cell r="AY159">
            <v>59.860001130396874</v>
          </cell>
          <cell r="AZ159">
            <v>59.757074348024396</v>
          </cell>
          <cell r="BA159">
            <v>59.472349391999593</v>
          </cell>
          <cell r="BB159">
            <v>58.987179470174226</v>
          </cell>
          <cell r="BC159">
            <v>58.732140732081987</v>
          </cell>
          <cell r="BD159">
            <v>58.50677082781349</v>
          </cell>
          <cell r="BE159">
            <v>58.253167860667574</v>
          </cell>
          <cell r="BF159">
            <v>57.941316155518628</v>
          </cell>
          <cell r="BG159">
            <v>57.662048708886637</v>
          </cell>
          <cell r="BH159">
            <v>57.347085470710368</v>
          </cell>
          <cell r="BI159">
            <v>56.953112078052555</v>
          </cell>
          <cell r="BJ159">
            <v>56.730725262302073</v>
          </cell>
          <cell r="BK159">
            <v>56.561648394325822</v>
          </cell>
        </row>
        <row r="160">
          <cell r="B160" t="str">
            <v>MKD</v>
          </cell>
          <cell r="C160" t="str">
            <v>Employment to population ratio, 15+, total (%) (modeled ILO estimate)</v>
          </cell>
          <cell r="D160" t="str">
            <v>SL.EMP.TOTL.SP.ZS</v>
          </cell>
          <cell r="AJ160">
            <v>35.653999328613303</v>
          </cell>
          <cell r="AK160">
            <v>35.555999755859403</v>
          </cell>
          <cell r="AL160">
            <v>35.376998901367202</v>
          </cell>
          <cell r="AM160">
            <v>35.206001281738303</v>
          </cell>
          <cell r="AN160">
            <v>35.036998748779297</v>
          </cell>
          <cell r="AO160">
            <v>34.917999267578097</v>
          </cell>
          <cell r="AP160">
            <v>34.597000122070298</v>
          </cell>
          <cell r="AQ160">
            <v>35.075000762939503</v>
          </cell>
          <cell r="AR160">
            <v>35.874000549316399</v>
          </cell>
          <cell r="AS160">
            <v>36.054000854492202</v>
          </cell>
          <cell r="AT160">
            <v>37.0260009765625</v>
          </cell>
          <cell r="AU160">
            <v>36.358001708984403</v>
          </cell>
          <cell r="AV160">
            <v>34.063999176025398</v>
          </cell>
          <cell r="AW160">
            <v>33.853000640869098</v>
          </cell>
          <cell r="AX160">
            <v>33.838001251220703</v>
          </cell>
          <cell r="AY160">
            <v>34.5320014953613</v>
          </cell>
          <cell r="AZ160">
            <v>35.426998138427699</v>
          </cell>
          <cell r="BA160">
            <v>36.457000732421903</v>
          </cell>
          <cell r="BB160">
            <v>37.569999694824197</v>
          </cell>
          <cell r="BC160">
            <v>37.816001892089801</v>
          </cell>
          <cell r="BD160">
            <v>38.062000274658203</v>
          </cell>
          <cell r="BE160">
            <v>38.027999877929702</v>
          </cell>
          <cell r="BF160">
            <v>39.588001251220703</v>
          </cell>
          <cell r="BG160">
            <v>40.222999572753899</v>
          </cell>
          <cell r="BH160">
            <v>41.047000885009801</v>
          </cell>
          <cell r="BI160">
            <v>41.935001373291001</v>
          </cell>
          <cell r="BJ160">
            <v>42.818000793457003</v>
          </cell>
          <cell r="BK160">
            <v>43.752998352050803</v>
          </cell>
        </row>
        <row r="161">
          <cell r="B161" t="str">
            <v>MLI</v>
          </cell>
          <cell r="C161" t="str">
            <v>Employment to population ratio, 15+, total (%) (modeled ILO estimate)</v>
          </cell>
          <cell r="D161" t="str">
            <v>SL.EMP.TOTL.SP.ZS</v>
          </cell>
          <cell r="AJ161">
            <v>67.291999816894503</v>
          </cell>
          <cell r="AK161">
            <v>67.295997619628906</v>
          </cell>
          <cell r="AL161">
            <v>67.226997375488295</v>
          </cell>
          <cell r="AM161">
            <v>67.177001953125</v>
          </cell>
          <cell r="AN161">
            <v>67.148002624511705</v>
          </cell>
          <cell r="AO161">
            <v>67.194000244140597</v>
          </cell>
          <cell r="AP161">
            <v>67.241996765136705</v>
          </cell>
          <cell r="AQ161">
            <v>66.825996398925795</v>
          </cell>
          <cell r="AR161">
            <v>66.367996215820298</v>
          </cell>
          <cell r="AS161">
            <v>65.968002319335895</v>
          </cell>
          <cell r="AT161">
            <v>65.478996276855497</v>
          </cell>
          <cell r="AU161">
            <v>65.009002685546903</v>
          </cell>
          <cell r="AV161">
            <v>64.484001159667997</v>
          </cell>
          <cell r="AW161">
            <v>64.025001525878906</v>
          </cell>
          <cell r="AX161">
            <v>63.402999877929702</v>
          </cell>
          <cell r="AY161">
            <v>62.900001525878899</v>
          </cell>
          <cell r="AZ161">
            <v>62.351001739502003</v>
          </cell>
          <cell r="BA161">
            <v>63.525001525878899</v>
          </cell>
          <cell r="BB161">
            <v>64.275001525878906</v>
          </cell>
          <cell r="BC161">
            <v>65.208999633789105</v>
          </cell>
          <cell r="BD161">
            <v>66.176002502441406</v>
          </cell>
          <cell r="BE161">
            <v>66.165000915527301</v>
          </cell>
          <cell r="BF161">
            <v>66.083999633789105</v>
          </cell>
          <cell r="BG161">
            <v>66.734001159667997</v>
          </cell>
          <cell r="BH161">
            <v>65.567001342773395</v>
          </cell>
          <cell r="BI161">
            <v>65.636001586914105</v>
          </cell>
          <cell r="BJ161">
            <v>65.720001220703097</v>
          </cell>
          <cell r="BK161">
            <v>65.778999328613295</v>
          </cell>
        </row>
        <row r="162">
          <cell r="B162" t="str">
            <v>MLT</v>
          </cell>
          <cell r="C162" t="str">
            <v>Employment to population ratio, 15+, total (%) (modeled ILO estimate)</v>
          </cell>
          <cell r="D162" t="str">
            <v>SL.EMP.TOTL.SP.ZS</v>
          </cell>
          <cell r="AJ162">
            <v>47.606998443603501</v>
          </cell>
          <cell r="AK162">
            <v>47.076000213622997</v>
          </cell>
          <cell r="AL162">
            <v>46.916999816894503</v>
          </cell>
          <cell r="AM162">
            <v>46.630001068115199</v>
          </cell>
          <cell r="AN162">
            <v>46.536998748779297</v>
          </cell>
          <cell r="AO162">
            <v>46.477001190185497</v>
          </cell>
          <cell r="AP162">
            <v>46.360000610351598</v>
          </cell>
          <cell r="AQ162">
            <v>46.402999877929702</v>
          </cell>
          <cell r="AR162">
            <v>46.484001159667997</v>
          </cell>
          <cell r="AS162">
            <v>46.741001129150398</v>
          </cell>
          <cell r="AT162">
            <v>46.744998931884801</v>
          </cell>
          <cell r="AU162">
            <v>46.508998870849602</v>
          </cell>
          <cell r="AV162">
            <v>45.9140014648438</v>
          </cell>
          <cell r="AW162">
            <v>44.616001129150398</v>
          </cell>
          <cell r="AX162">
            <v>44.944000244140597</v>
          </cell>
          <cell r="AY162">
            <v>45.166000366210902</v>
          </cell>
          <cell r="AZ162">
            <v>45.998001098632798</v>
          </cell>
          <cell r="BA162">
            <v>46.314998626708999</v>
          </cell>
          <cell r="BB162">
            <v>45.971000671386697</v>
          </cell>
          <cell r="BC162">
            <v>46.566001892089801</v>
          </cell>
          <cell r="BD162">
            <v>47.597999572753899</v>
          </cell>
          <cell r="BE162">
            <v>48.819999694824197</v>
          </cell>
          <cell r="BF162">
            <v>50.213001251220703</v>
          </cell>
          <cell r="BG162">
            <v>51.269001007080099</v>
          </cell>
          <cell r="BH162">
            <v>51.615001678466797</v>
          </cell>
          <cell r="BI162">
            <v>52.581001281738303</v>
          </cell>
          <cell r="BJ162">
            <v>53.465999603271499</v>
          </cell>
          <cell r="BK162">
            <v>54.5989990234375</v>
          </cell>
        </row>
        <row r="163">
          <cell r="B163" t="str">
            <v>MMR</v>
          </cell>
          <cell r="C163" t="str">
            <v>Employment to population ratio, 15+, total (%) (modeled ILO estimate)</v>
          </cell>
          <cell r="D163" t="str">
            <v>SL.EMP.TOTL.SP.ZS</v>
          </cell>
          <cell r="AJ163">
            <v>72.742996215820298</v>
          </cell>
          <cell r="AK163">
            <v>72.504997253417997</v>
          </cell>
          <cell r="AL163">
            <v>72.339996337890597</v>
          </cell>
          <cell r="AM163">
            <v>72.153999328613295</v>
          </cell>
          <cell r="AN163">
            <v>71.987998962402301</v>
          </cell>
          <cell r="AO163">
            <v>71.820999145507798</v>
          </cell>
          <cell r="AP163">
            <v>71.683998107910199</v>
          </cell>
          <cell r="AQ163">
            <v>71.539001464843807</v>
          </cell>
          <cell r="AR163">
            <v>71.227996826171903</v>
          </cell>
          <cell r="AS163">
            <v>70.843002319335895</v>
          </cell>
          <cell r="AT163">
            <v>70.486999511718807</v>
          </cell>
          <cell r="AU163">
            <v>70.097999572753906</v>
          </cell>
          <cell r="AV163">
            <v>69.657997131347699</v>
          </cell>
          <cell r="AW163">
            <v>69.228996276855497</v>
          </cell>
          <cell r="AX163">
            <v>68.790000915527301</v>
          </cell>
          <cell r="AY163">
            <v>68.356002807617202</v>
          </cell>
          <cell r="AZ163">
            <v>67.942001342773395</v>
          </cell>
          <cell r="BA163">
            <v>67.556999206542997</v>
          </cell>
          <cell r="BB163">
            <v>67.087997436523395</v>
          </cell>
          <cell r="BC163">
            <v>66.675003051757798</v>
          </cell>
          <cell r="BD163">
            <v>66.412002563476605</v>
          </cell>
          <cell r="BE163">
            <v>66.086997985839801</v>
          </cell>
          <cell r="BF163">
            <v>65.721000671386705</v>
          </cell>
          <cell r="BG163">
            <v>65.375</v>
          </cell>
          <cell r="BH163">
            <v>65.0469970703125</v>
          </cell>
          <cell r="BI163">
            <v>63.117000579833999</v>
          </cell>
          <cell r="BJ163">
            <v>61.219001770019503</v>
          </cell>
          <cell r="BK163">
            <v>60.955001831054702</v>
          </cell>
        </row>
        <row r="164">
          <cell r="B164" t="str">
            <v>MNA</v>
          </cell>
          <cell r="C164" t="str">
            <v>Employment to population ratio, 15+, total (%) (modeled ILO estimate)</v>
          </cell>
          <cell r="D164" t="str">
            <v>SL.EMP.TOTL.SP.ZS</v>
          </cell>
          <cell r="AJ164">
            <v>40.824809582649593</v>
          </cell>
          <cell r="AK164">
            <v>40.587427763486573</v>
          </cell>
          <cell r="AL164">
            <v>40.201136058210224</v>
          </cell>
          <cell r="AM164">
            <v>40.296730393776016</v>
          </cell>
          <cell r="AN164">
            <v>39.804210794765993</v>
          </cell>
          <cell r="AO164">
            <v>39.950815136157544</v>
          </cell>
          <cell r="AP164">
            <v>39.993579111259997</v>
          </cell>
          <cell r="AQ164">
            <v>39.74039042106341</v>
          </cell>
          <cell r="AR164">
            <v>39.976103303153984</v>
          </cell>
          <cell r="AS164">
            <v>39.664509203352196</v>
          </cell>
          <cell r="AT164">
            <v>39.545156330890229</v>
          </cell>
          <cell r="AU164">
            <v>39.380066238539079</v>
          </cell>
          <cell r="AV164">
            <v>39.76523117889802</v>
          </cell>
          <cell r="AW164">
            <v>40.538295700884454</v>
          </cell>
          <cell r="AX164">
            <v>40.531434597713769</v>
          </cell>
          <cell r="AY164">
            <v>40.71826481090411</v>
          </cell>
          <cell r="AZ164">
            <v>40.868661934821979</v>
          </cell>
          <cell r="BA164">
            <v>40.373093550864418</v>
          </cell>
          <cell r="BB164">
            <v>40.430474678238873</v>
          </cell>
          <cell r="BC164">
            <v>40.252742761102496</v>
          </cell>
          <cell r="BD164">
            <v>39.769426531652158</v>
          </cell>
          <cell r="BE164">
            <v>39.554384041209076</v>
          </cell>
          <cell r="BF164">
            <v>39.817877078331051</v>
          </cell>
          <cell r="BG164">
            <v>39.399527490476586</v>
          </cell>
          <cell r="BH164">
            <v>39.139667200166549</v>
          </cell>
          <cell r="BI164">
            <v>39.302547519619232</v>
          </cell>
          <cell r="BJ164">
            <v>38.990749012759188</v>
          </cell>
          <cell r="BK164">
            <v>39.040024602317132</v>
          </cell>
        </row>
        <row r="165">
          <cell r="B165" t="str">
            <v>MNE</v>
          </cell>
          <cell r="C165" t="str">
            <v>Employment to population ratio, 15+, total (%) (modeled ILO estimate)</v>
          </cell>
          <cell r="D165" t="str">
            <v>SL.EMP.TOTL.SP.ZS</v>
          </cell>
          <cell r="AJ165">
            <v>35.1450004577637</v>
          </cell>
          <cell r="AK165">
            <v>35.020999908447301</v>
          </cell>
          <cell r="AL165">
            <v>34.806999206542997</v>
          </cell>
          <cell r="AM165">
            <v>34.696998596191399</v>
          </cell>
          <cell r="AN165">
            <v>34.591999053955099</v>
          </cell>
          <cell r="AO165">
            <v>34.477001190185497</v>
          </cell>
          <cell r="AP165">
            <v>34.366001129150398</v>
          </cell>
          <cell r="AQ165">
            <v>34.235000610351598</v>
          </cell>
          <cell r="AR165">
            <v>33.974998474121101</v>
          </cell>
          <cell r="AS165">
            <v>33.853000640869098</v>
          </cell>
          <cell r="AT165">
            <v>33.712001800537102</v>
          </cell>
          <cell r="AU165">
            <v>33.5260009765625</v>
          </cell>
          <cell r="AV165">
            <v>33.445999145507798</v>
          </cell>
          <cell r="AW165">
            <v>33.478000640869098</v>
          </cell>
          <cell r="AX165">
            <v>33.547000885009801</v>
          </cell>
          <cell r="AY165">
            <v>36.4679985046387</v>
          </cell>
          <cell r="AZ165">
            <v>39.057998657226598</v>
          </cell>
          <cell r="BA165">
            <v>40.278999328613303</v>
          </cell>
          <cell r="BB165">
            <v>39.208000183105497</v>
          </cell>
          <cell r="BC165">
            <v>38.923999786377003</v>
          </cell>
          <cell r="BD165">
            <v>38.909000396728501</v>
          </cell>
          <cell r="BE165">
            <v>39.777000427246101</v>
          </cell>
          <cell r="BF165">
            <v>40.016998291015597</v>
          </cell>
          <cell r="BG165">
            <v>42.566001892089801</v>
          </cell>
          <cell r="BH165">
            <v>43.588001251220703</v>
          </cell>
          <cell r="BI165">
            <v>43.874000549316399</v>
          </cell>
          <cell r="BJ165">
            <v>44.763999938964801</v>
          </cell>
          <cell r="BK165">
            <v>46.172000885009801</v>
          </cell>
        </row>
        <row r="166">
          <cell r="B166" t="str">
            <v>MNG</v>
          </cell>
          <cell r="C166" t="str">
            <v>Employment to population ratio, 15+, total (%) (modeled ILO estimate)</v>
          </cell>
          <cell r="D166" t="str">
            <v>SL.EMP.TOTL.SP.ZS</v>
          </cell>
          <cell r="AJ166">
            <v>54.013999938964801</v>
          </cell>
          <cell r="AK166">
            <v>54.769001007080099</v>
          </cell>
          <cell r="AL166">
            <v>55.222999572753899</v>
          </cell>
          <cell r="AM166">
            <v>55.491001129150398</v>
          </cell>
          <cell r="AN166">
            <v>55.580001831054702</v>
          </cell>
          <cell r="AO166">
            <v>55.770999908447301</v>
          </cell>
          <cell r="AP166">
            <v>55.915000915527301</v>
          </cell>
          <cell r="AQ166">
            <v>56.074001312255902</v>
          </cell>
          <cell r="AR166">
            <v>56.181999206542997</v>
          </cell>
          <cell r="AS166">
            <v>56.368000030517599</v>
          </cell>
          <cell r="AT166">
            <v>56.337001800537102</v>
          </cell>
          <cell r="AU166">
            <v>56.144001007080099</v>
          </cell>
          <cell r="AV166">
            <v>55.534000396728501</v>
          </cell>
          <cell r="AW166">
            <v>55.109001159667997</v>
          </cell>
          <cell r="AX166">
            <v>54.931999206542997</v>
          </cell>
          <cell r="AY166">
            <v>54.818000793457003</v>
          </cell>
          <cell r="AZ166">
            <v>54.7239990234375</v>
          </cell>
          <cell r="BA166">
            <v>55.741001129150398</v>
          </cell>
          <cell r="BB166">
            <v>55.660999298095703</v>
          </cell>
          <cell r="BC166">
            <v>55.152000427246101</v>
          </cell>
          <cell r="BD166">
            <v>57.174999237060497</v>
          </cell>
          <cell r="BE166">
            <v>57.081001281738303</v>
          </cell>
          <cell r="BF166">
            <v>57.313999176025398</v>
          </cell>
          <cell r="BG166">
            <v>57.368000030517599</v>
          </cell>
          <cell r="BH166">
            <v>57.4070014953613</v>
          </cell>
          <cell r="BI166">
            <v>54.999000549316399</v>
          </cell>
          <cell r="BJ166">
            <v>56.103000640869098</v>
          </cell>
          <cell r="BK166">
            <v>56.062999725341797</v>
          </cell>
        </row>
        <row r="167">
          <cell r="B167" t="str">
            <v>MNP</v>
          </cell>
          <cell r="C167" t="str">
            <v>Employment to population ratio, 15+, total (%) (modeled ILO estimate)</v>
          </cell>
          <cell r="D167" t="str">
            <v>SL.EMP.TOTL.SP.ZS</v>
          </cell>
        </row>
        <row r="168">
          <cell r="B168" t="str">
            <v>MOZ</v>
          </cell>
          <cell r="C168" t="str">
            <v>Employment to population ratio, 15+, total (%) (modeled ILO estimate)</v>
          </cell>
          <cell r="D168" t="str">
            <v>SL.EMP.TOTL.SP.ZS</v>
          </cell>
          <cell r="AJ168">
            <v>82.482002258300795</v>
          </cell>
          <cell r="AK168">
            <v>82.213996887207003</v>
          </cell>
          <cell r="AL168">
            <v>81.959999084472699</v>
          </cell>
          <cell r="AM168">
            <v>81.829002380371094</v>
          </cell>
          <cell r="AN168">
            <v>81.747001647949205</v>
          </cell>
          <cell r="AO168">
            <v>81.675003051757798</v>
          </cell>
          <cell r="AP168">
            <v>81.640998840332003</v>
          </cell>
          <cell r="AQ168">
            <v>82.222000122070298</v>
          </cell>
          <cell r="AR168">
            <v>82.602996826171903</v>
          </cell>
          <cell r="AS168">
            <v>82.884002685546903</v>
          </cell>
          <cell r="AT168">
            <v>83.040000915527301</v>
          </cell>
          <cell r="AU168">
            <v>83.073997497558594</v>
          </cell>
          <cell r="AV168">
            <v>83.069000244140597</v>
          </cell>
          <cell r="AW168">
            <v>82.724998474121094</v>
          </cell>
          <cell r="AX168">
            <v>82.363998413085895</v>
          </cell>
          <cell r="AY168">
            <v>82.005996704101605</v>
          </cell>
          <cell r="AZ168">
            <v>81.601997375488295</v>
          </cell>
          <cell r="BA168">
            <v>81.110000610351605</v>
          </cell>
          <cell r="BB168">
            <v>80.380996704101605</v>
          </cell>
          <cell r="BC168">
            <v>79.736000061035199</v>
          </cell>
          <cell r="BD168">
            <v>79.088996887207003</v>
          </cell>
          <cell r="BE168">
            <v>78.389999389648395</v>
          </cell>
          <cell r="BF168">
            <v>77.640998840332003</v>
          </cell>
          <cell r="BG168">
            <v>76.896003723144503</v>
          </cell>
          <cell r="BH168">
            <v>76.086997985839801</v>
          </cell>
          <cell r="BI168">
            <v>75.977996826171903</v>
          </cell>
          <cell r="BJ168">
            <v>75.861999511718807</v>
          </cell>
          <cell r="BK168">
            <v>75.730003356933594</v>
          </cell>
        </row>
        <row r="169">
          <cell r="B169" t="str">
            <v>MRT</v>
          </cell>
          <cell r="C169" t="str">
            <v>Employment to population ratio, 15+, total (%) (modeled ILO estimate)</v>
          </cell>
          <cell r="D169" t="str">
            <v>SL.EMP.TOTL.SP.ZS</v>
          </cell>
          <cell r="AJ169">
            <v>46.2560005187988</v>
          </cell>
          <cell r="AK169">
            <v>46.174999237060497</v>
          </cell>
          <cell r="AL169">
            <v>45.979000091552699</v>
          </cell>
          <cell r="AM169">
            <v>45.959999084472699</v>
          </cell>
          <cell r="AN169">
            <v>45.763999938964801</v>
          </cell>
          <cell r="AO169">
            <v>45.659999847412102</v>
          </cell>
          <cell r="AP169">
            <v>45.726001739502003</v>
          </cell>
          <cell r="AQ169">
            <v>45.680999755859403</v>
          </cell>
          <cell r="AR169">
            <v>45.514999389648402</v>
          </cell>
          <cell r="AS169">
            <v>45.501998901367202</v>
          </cell>
          <cell r="AT169">
            <v>45.0390014648438</v>
          </cell>
          <cell r="AU169">
            <v>44.549999237060497</v>
          </cell>
          <cell r="AV169">
            <v>44.097999572753899</v>
          </cell>
          <cell r="AW169">
            <v>43.699001312255902</v>
          </cell>
          <cell r="AX169">
            <v>43.323001861572301</v>
          </cell>
          <cell r="AY169">
            <v>42.997001647949197</v>
          </cell>
          <cell r="AZ169">
            <v>42.707000732421903</v>
          </cell>
          <cell r="BA169">
            <v>42.390998840332003</v>
          </cell>
          <cell r="BB169">
            <v>41.904998779296903</v>
          </cell>
          <cell r="BC169">
            <v>41.551998138427699</v>
          </cell>
          <cell r="BD169">
            <v>41.242000579833999</v>
          </cell>
          <cell r="BE169">
            <v>40.942001342773402</v>
          </cell>
          <cell r="BF169">
            <v>40.979000091552699</v>
          </cell>
          <cell r="BG169">
            <v>41.063999176025398</v>
          </cell>
          <cell r="BH169">
            <v>41.201000213622997</v>
          </cell>
          <cell r="BI169">
            <v>41.320999145507798</v>
          </cell>
          <cell r="BJ169">
            <v>41.433998107910199</v>
          </cell>
          <cell r="BK169">
            <v>41.527000427246101</v>
          </cell>
        </row>
        <row r="170">
          <cell r="B170" t="str">
            <v>MUS</v>
          </cell>
          <cell r="C170" t="str">
            <v>Employment to population ratio, 15+, total (%) (modeled ILO estimate)</v>
          </cell>
          <cell r="D170" t="str">
            <v>SL.EMP.TOTL.SP.ZS</v>
          </cell>
          <cell r="AJ170">
            <v>54.379001617431598</v>
          </cell>
          <cell r="AK170">
            <v>54.319000244140597</v>
          </cell>
          <cell r="AL170">
            <v>54.2299995422363</v>
          </cell>
          <cell r="AM170">
            <v>54.205001831054702</v>
          </cell>
          <cell r="AN170">
            <v>54.166000366210902</v>
          </cell>
          <cell r="AO170">
            <v>53.986000061035199</v>
          </cell>
          <cell r="AP170">
            <v>53.837001800537102</v>
          </cell>
          <cell r="AQ170">
            <v>53.719001770019503</v>
          </cell>
          <cell r="AR170">
            <v>53.595001220703097</v>
          </cell>
          <cell r="AS170">
            <v>53.541000366210902</v>
          </cell>
          <cell r="AT170">
            <v>53.519001007080099</v>
          </cell>
          <cell r="AU170">
            <v>53.972000122070298</v>
          </cell>
          <cell r="AV170">
            <v>53.770999908447301</v>
          </cell>
          <cell r="AW170">
            <v>53.548000335693402</v>
          </cell>
          <cell r="AX170">
            <v>53.275001525878899</v>
          </cell>
          <cell r="AY170">
            <v>53.326000213622997</v>
          </cell>
          <cell r="AZ170">
            <v>52.849998474121101</v>
          </cell>
          <cell r="BA170">
            <v>53.562000274658203</v>
          </cell>
          <cell r="BB170">
            <v>53.446998596191399</v>
          </cell>
          <cell r="BC170">
            <v>53.861000061035199</v>
          </cell>
          <cell r="BD170">
            <v>53.196998596191399</v>
          </cell>
          <cell r="BE170">
            <v>53.363998413085902</v>
          </cell>
          <cell r="BF170">
            <v>54.395999908447301</v>
          </cell>
          <cell r="BG170">
            <v>54.584999084472699</v>
          </cell>
          <cell r="BH170">
            <v>54.932998657226598</v>
          </cell>
          <cell r="BI170">
            <v>54.654998779296903</v>
          </cell>
          <cell r="BJ170">
            <v>54.923999786377003</v>
          </cell>
          <cell r="BK170">
            <v>54.627998352050803</v>
          </cell>
        </row>
        <row r="171">
          <cell r="B171" t="str">
            <v>MWI</v>
          </cell>
          <cell r="C171" t="str">
            <v>Employment to population ratio, 15+, total (%) (modeled ILO estimate)</v>
          </cell>
          <cell r="D171" t="str">
            <v>SL.EMP.TOTL.SP.ZS</v>
          </cell>
          <cell r="AJ171">
            <v>73.527999877929702</v>
          </cell>
          <cell r="AK171">
            <v>73.500999450683594</v>
          </cell>
          <cell r="AL171">
            <v>73.295997619628906</v>
          </cell>
          <cell r="AM171">
            <v>73.317001342773395</v>
          </cell>
          <cell r="AN171">
            <v>73.247001647949205</v>
          </cell>
          <cell r="AO171">
            <v>73.231002807617202</v>
          </cell>
          <cell r="AP171">
            <v>73.285003662109403</v>
          </cell>
          <cell r="AQ171">
            <v>73.327003479003906</v>
          </cell>
          <cell r="AR171">
            <v>73.295997619628906</v>
          </cell>
          <cell r="AS171">
            <v>73.2760009765625</v>
          </cell>
          <cell r="AT171">
            <v>73.205001831054702</v>
          </cell>
          <cell r="AU171">
            <v>73.0469970703125</v>
          </cell>
          <cell r="AV171">
            <v>72.919998168945298</v>
          </cell>
          <cell r="AW171">
            <v>72.861000061035199</v>
          </cell>
          <cell r="AX171">
            <v>72.851997375488295</v>
          </cell>
          <cell r="AY171">
            <v>72.9739990234375</v>
          </cell>
          <cell r="AZ171">
            <v>73.097999572753906</v>
          </cell>
          <cell r="BA171">
            <v>73.168998718261705</v>
          </cell>
          <cell r="BB171">
            <v>72.992996215820298</v>
          </cell>
          <cell r="BC171">
            <v>72.972000122070298</v>
          </cell>
          <cell r="BD171">
            <v>73.014999389648395</v>
          </cell>
          <cell r="BE171">
            <v>73.033996582031307</v>
          </cell>
          <cell r="BF171">
            <v>73.031997680664105</v>
          </cell>
          <cell r="BG171">
            <v>72.899002075195298</v>
          </cell>
          <cell r="BH171">
            <v>72.766998291015597</v>
          </cell>
          <cell r="BI171">
            <v>72.596000671386705</v>
          </cell>
          <cell r="BJ171">
            <v>72.459999084472699</v>
          </cell>
          <cell r="BK171">
            <v>72.319000244140597</v>
          </cell>
        </row>
        <row r="172">
          <cell r="B172" t="str">
            <v>MYS</v>
          </cell>
          <cell r="C172" t="str">
            <v>Employment to population ratio, 15+, total (%) (modeled ILO estimate)</v>
          </cell>
          <cell r="D172" t="str">
            <v>SL.EMP.TOTL.SP.ZS</v>
          </cell>
          <cell r="AJ172">
            <v>59.823001861572301</v>
          </cell>
          <cell r="AK172">
            <v>59.715999603271499</v>
          </cell>
          <cell r="AL172">
            <v>59.366001129150398</v>
          </cell>
          <cell r="AM172">
            <v>59.573001861572301</v>
          </cell>
          <cell r="AN172">
            <v>59.738998413085902</v>
          </cell>
          <cell r="AO172">
            <v>60.007999420166001</v>
          </cell>
          <cell r="AP172">
            <v>59.990001678466797</v>
          </cell>
          <cell r="AQ172">
            <v>59.812000274658203</v>
          </cell>
          <cell r="AR172">
            <v>59.625999450683601</v>
          </cell>
          <cell r="AS172">
            <v>59.791999816894503</v>
          </cell>
          <cell r="AT172">
            <v>59.387001037597699</v>
          </cell>
          <cell r="AU172">
            <v>59.263999938964801</v>
          </cell>
          <cell r="AV172">
            <v>59.055000305175803</v>
          </cell>
          <cell r="AW172">
            <v>58.986000061035199</v>
          </cell>
          <cell r="AX172">
            <v>58.9539985656738</v>
          </cell>
          <cell r="AY172">
            <v>58.904998779296903</v>
          </cell>
          <cell r="AZ172">
            <v>58.814998626708999</v>
          </cell>
          <cell r="BA172">
            <v>58.195999145507798</v>
          </cell>
          <cell r="BB172">
            <v>58.222000122070298</v>
          </cell>
          <cell r="BC172">
            <v>58.4010009765625</v>
          </cell>
          <cell r="BD172">
            <v>59.686000823974602</v>
          </cell>
          <cell r="BE172">
            <v>60.686000823974602</v>
          </cell>
          <cell r="BF172">
            <v>62.048000335693402</v>
          </cell>
          <cell r="BG172">
            <v>62.422000885009801</v>
          </cell>
          <cell r="BH172">
            <v>62.441001892089801</v>
          </cell>
          <cell r="BI172">
            <v>62.0789985656738</v>
          </cell>
          <cell r="BJ172">
            <v>62.036998748779297</v>
          </cell>
          <cell r="BK172">
            <v>62.036998748779297</v>
          </cell>
        </row>
        <row r="173">
          <cell r="B173" t="str">
            <v>NAC</v>
          </cell>
          <cell r="C173" t="str">
            <v>Employment to population ratio, 15+, total (%) (modeled ILO estimate)</v>
          </cell>
          <cell r="D173" t="str">
            <v>SL.EMP.TOTL.SP.ZS</v>
          </cell>
          <cell r="AJ173">
            <v>60.51677474486084</v>
          </cell>
          <cell r="AK173">
            <v>60.190372309195887</v>
          </cell>
          <cell r="AL173">
            <v>60.413627732194541</v>
          </cell>
          <cell r="AM173">
            <v>61.298005514072685</v>
          </cell>
          <cell r="AN173">
            <v>61.721959467614617</v>
          </cell>
          <cell r="AO173">
            <v>61.963117230982462</v>
          </cell>
          <cell r="AP173">
            <v>62.559585096367144</v>
          </cell>
          <cell r="AQ173">
            <v>62.904645317114891</v>
          </cell>
          <cell r="AR173">
            <v>63.214798551286158</v>
          </cell>
          <cell r="AS173">
            <v>63.466808291671256</v>
          </cell>
          <cell r="AT173">
            <v>62.693979793632963</v>
          </cell>
          <cell r="AU173">
            <v>61.828711752739174</v>
          </cell>
          <cell r="AV173">
            <v>61.446419089771204</v>
          </cell>
          <cell r="AW173">
            <v>61.502811912612628</v>
          </cell>
          <cell r="AX173">
            <v>61.778535202157627</v>
          </cell>
          <cell r="AY173">
            <v>62.163716804128633</v>
          </cell>
          <cell r="AZ173">
            <v>62.076593725953217</v>
          </cell>
          <cell r="BA173">
            <v>61.402426320851312</v>
          </cell>
          <cell r="BB173">
            <v>58.648134742944237</v>
          </cell>
          <cell r="BC173">
            <v>57.83740140868516</v>
          </cell>
          <cell r="BD173">
            <v>57.781582269714377</v>
          </cell>
          <cell r="BE173">
            <v>58.317298133471439</v>
          </cell>
          <cell r="BF173">
            <v>58.270355482720355</v>
          </cell>
          <cell r="BG173">
            <v>58.656787070588301</v>
          </cell>
          <cell r="BH173">
            <v>58.976693658631078</v>
          </cell>
          <cell r="BI173">
            <v>59.315579597667465</v>
          </cell>
          <cell r="BJ173">
            <v>59.774167167630395</v>
          </cell>
          <cell r="BK173">
            <v>60.049631069245564</v>
          </cell>
        </row>
        <row r="174">
          <cell r="B174" t="str">
            <v>NAM</v>
          </cell>
          <cell r="C174" t="str">
            <v>Employment to population ratio, 15+, total (%) (modeled ILO estimate)</v>
          </cell>
          <cell r="D174" t="str">
            <v>SL.EMP.TOTL.SP.ZS</v>
          </cell>
          <cell r="AJ174">
            <v>45.0320014953613</v>
          </cell>
          <cell r="AK174">
            <v>44.966999053955099</v>
          </cell>
          <cell r="AL174">
            <v>44.955001831054702</v>
          </cell>
          <cell r="AM174">
            <v>44.993000030517599</v>
          </cell>
          <cell r="AN174">
            <v>43.488998413085902</v>
          </cell>
          <cell r="AO174">
            <v>41.986000061035199</v>
          </cell>
          <cell r="AP174">
            <v>40.563999176025398</v>
          </cell>
          <cell r="AQ174">
            <v>41.661998748779297</v>
          </cell>
          <cell r="AR174">
            <v>42.680999755859403</v>
          </cell>
          <cell r="AS174">
            <v>43.751998901367202</v>
          </cell>
          <cell r="AT174">
            <v>43.738998413085902</v>
          </cell>
          <cell r="AU174">
            <v>43.625999450683601</v>
          </cell>
          <cell r="AV174">
            <v>43.537998199462898</v>
          </cell>
          <cell r="AW174">
            <v>43.498001098632798</v>
          </cell>
          <cell r="AX174">
            <v>43.720001220703097</v>
          </cell>
          <cell r="AY174">
            <v>44.116001129150398</v>
          </cell>
          <cell r="AZ174">
            <v>44.485000610351598</v>
          </cell>
          <cell r="BA174">
            <v>44.756999969482401</v>
          </cell>
          <cell r="BB174">
            <v>44.660999298095703</v>
          </cell>
          <cell r="BC174">
            <v>44.812000274658203</v>
          </cell>
          <cell r="BD174">
            <v>46.705001831054702</v>
          </cell>
          <cell r="BE174">
            <v>48.511001586914098</v>
          </cell>
          <cell r="BF174">
            <v>49.553001403808601</v>
          </cell>
          <cell r="BG174">
            <v>49.737998962402301</v>
          </cell>
          <cell r="BH174">
            <v>47.980998992919901</v>
          </cell>
          <cell r="BI174">
            <v>46.187999725341797</v>
          </cell>
          <cell r="BJ174">
            <v>46.777000427246101</v>
          </cell>
          <cell r="BK174">
            <v>47.2820014953613</v>
          </cell>
        </row>
        <row r="175">
          <cell r="B175" t="str">
            <v>NCL</v>
          </cell>
          <cell r="C175" t="str">
            <v>Employment to population ratio, 15+, total (%) (modeled ILO estimate)</v>
          </cell>
          <cell r="D175" t="str">
            <v>SL.EMP.TOTL.SP.ZS</v>
          </cell>
          <cell r="AJ175">
            <v>53.806999206542997</v>
          </cell>
          <cell r="AK175">
            <v>53.937999725341797</v>
          </cell>
          <cell r="AL175">
            <v>53.9609985351563</v>
          </cell>
          <cell r="AM175">
            <v>54.3810005187988</v>
          </cell>
          <cell r="AN175">
            <v>54.751998901367202</v>
          </cell>
          <cell r="AO175">
            <v>55.0859985351563</v>
          </cell>
          <cell r="AP175">
            <v>55.580001831054702</v>
          </cell>
          <cell r="AQ175">
            <v>55.821998596191399</v>
          </cell>
          <cell r="AR175">
            <v>55.655998229980497</v>
          </cell>
          <cell r="AS175">
            <v>55.785999298095703</v>
          </cell>
          <cell r="AT175">
            <v>55.626998901367202</v>
          </cell>
          <cell r="AU175">
            <v>55.418998718261697</v>
          </cell>
          <cell r="AV175">
            <v>55.205001831054702</v>
          </cell>
          <cell r="AW175">
            <v>55.355998992919901</v>
          </cell>
          <cell r="AX175">
            <v>55.702999114990199</v>
          </cell>
          <cell r="AY175">
            <v>56.564998626708999</v>
          </cell>
          <cell r="AZ175">
            <v>57.422000885009801</v>
          </cell>
          <cell r="BA175">
            <v>57.661998748779297</v>
          </cell>
          <cell r="BB175">
            <v>56.820999145507798</v>
          </cell>
          <cell r="BC175">
            <v>56.5460014343262</v>
          </cell>
          <cell r="BD175">
            <v>56.201999664306598</v>
          </cell>
          <cell r="BE175">
            <v>55.590999603271499</v>
          </cell>
          <cell r="BF175">
            <v>55.002998352050803</v>
          </cell>
          <cell r="BG175">
            <v>54.837001800537102</v>
          </cell>
          <cell r="BH175">
            <v>54.7820014953613</v>
          </cell>
          <cell r="BI175">
            <v>54.811000823974602</v>
          </cell>
          <cell r="BJ175">
            <v>54.9609985351563</v>
          </cell>
          <cell r="BK175">
            <v>55.097000122070298</v>
          </cell>
        </row>
        <row r="176">
          <cell r="B176" t="str">
            <v>NER</v>
          </cell>
          <cell r="C176" t="str">
            <v>Employment to population ratio, 15+, total (%) (modeled ILO estimate)</v>
          </cell>
          <cell r="D176" t="str">
            <v>SL.EMP.TOTL.SP.ZS</v>
          </cell>
          <cell r="AJ176">
            <v>77.978996276855497</v>
          </cell>
          <cell r="AK176">
            <v>78.028999328613295</v>
          </cell>
          <cell r="AL176">
            <v>77.969001770019503</v>
          </cell>
          <cell r="AM176">
            <v>77.904998779296903</v>
          </cell>
          <cell r="AN176">
            <v>77.838996887207003</v>
          </cell>
          <cell r="AO176">
            <v>77.869003295898395</v>
          </cell>
          <cell r="AP176">
            <v>77.904998779296903</v>
          </cell>
          <cell r="AQ176">
            <v>77.887001037597699</v>
          </cell>
          <cell r="AR176">
            <v>77.934997558593807</v>
          </cell>
          <cell r="AS176">
            <v>78.029998779296903</v>
          </cell>
          <cell r="AT176">
            <v>78.101997375488295</v>
          </cell>
          <cell r="AU176">
            <v>77.870002746582003</v>
          </cell>
          <cell r="AV176">
            <v>77.603996276855497</v>
          </cell>
          <cell r="AW176">
            <v>77.382003784179702</v>
          </cell>
          <cell r="AX176">
            <v>77.112998962402301</v>
          </cell>
          <cell r="AY176">
            <v>77.788002014160199</v>
          </cell>
          <cell r="AZ176">
            <v>78.3280029296875</v>
          </cell>
          <cell r="BA176">
            <v>78.674003601074205</v>
          </cell>
          <cell r="BB176">
            <v>78.928001403808594</v>
          </cell>
          <cell r="BC176">
            <v>79.133003234863295</v>
          </cell>
          <cell r="BD176">
            <v>79.352996826171903</v>
          </cell>
          <cell r="BE176">
            <v>77.204002380371094</v>
          </cell>
          <cell r="BF176">
            <v>74.818000793457003</v>
          </cell>
          <cell r="BG176">
            <v>72.190002441406307</v>
          </cell>
          <cell r="BH176">
            <v>72.111999511718807</v>
          </cell>
          <cell r="BI176">
            <v>72.054000854492202</v>
          </cell>
          <cell r="BJ176">
            <v>71.992996215820298</v>
          </cell>
          <cell r="BK176">
            <v>71.919998168945298</v>
          </cell>
        </row>
        <row r="177">
          <cell r="B177" t="str">
            <v>NGA</v>
          </cell>
          <cell r="C177" t="str">
            <v>Employment to population ratio, 15+, total (%) (modeled ILO estimate)</v>
          </cell>
          <cell r="D177" t="str">
            <v>SL.EMP.TOTL.SP.ZS</v>
          </cell>
          <cell r="AJ177">
            <v>58.873001098632798</v>
          </cell>
          <cell r="AK177">
            <v>58.659999847412102</v>
          </cell>
          <cell r="AL177">
            <v>58.520999908447301</v>
          </cell>
          <cell r="AM177">
            <v>58.403999328613303</v>
          </cell>
          <cell r="AN177">
            <v>58.2630004882813</v>
          </cell>
          <cell r="AO177">
            <v>58.119998931884801</v>
          </cell>
          <cell r="AP177">
            <v>58.004001617431598</v>
          </cell>
          <cell r="AQ177">
            <v>57.895999908447301</v>
          </cell>
          <cell r="AR177">
            <v>57.819000244140597</v>
          </cell>
          <cell r="AS177">
            <v>57.726001739502003</v>
          </cell>
          <cell r="AT177">
            <v>57.7039985656738</v>
          </cell>
          <cell r="AU177">
            <v>57.518001556396499</v>
          </cell>
          <cell r="AV177">
            <v>57.490001678466797</v>
          </cell>
          <cell r="AW177">
            <v>57.462001800537102</v>
          </cell>
          <cell r="AX177">
            <v>57.497001647949197</v>
          </cell>
          <cell r="AY177">
            <v>57.629001617431598</v>
          </cell>
          <cell r="AZ177">
            <v>57.733001708984403</v>
          </cell>
          <cell r="BA177">
            <v>57.790000915527301</v>
          </cell>
          <cell r="BB177">
            <v>57.683998107910199</v>
          </cell>
          <cell r="BC177">
            <v>57.6450004577637</v>
          </cell>
          <cell r="BD177">
            <v>57.693000793457003</v>
          </cell>
          <cell r="BE177">
            <v>55.3689994812012</v>
          </cell>
          <cell r="BF177">
            <v>53.057998657226598</v>
          </cell>
          <cell r="BG177">
            <v>52.056999206542997</v>
          </cell>
          <cell r="BH177">
            <v>51.588001251220703</v>
          </cell>
          <cell r="BI177">
            <v>49.436000823974602</v>
          </cell>
          <cell r="BJ177">
            <v>48.720001220703097</v>
          </cell>
          <cell r="BK177">
            <v>48.740001678466797</v>
          </cell>
        </row>
        <row r="178">
          <cell r="B178" t="str">
            <v>NIC</v>
          </cell>
          <cell r="C178" t="str">
            <v>Employment to population ratio, 15+, total (%) (modeled ILO estimate)</v>
          </cell>
          <cell r="D178" t="str">
            <v>SL.EMP.TOTL.SP.ZS</v>
          </cell>
          <cell r="AJ178">
            <v>55.946998596191399</v>
          </cell>
          <cell r="AK178">
            <v>55.534999847412102</v>
          </cell>
          <cell r="AL178">
            <v>55.062000274658203</v>
          </cell>
          <cell r="AM178">
            <v>54.7179985046387</v>
          </cell>
          <cell r="AN178">
            <v>54.411998748779297</v>
          </cell>
          <cell r="AO178">
            <v>54.9140014648438</v>
          </cell>
          <cell r="AP178">
            <v>55.423999786377003</v>
          </cell>
          <cell r="AQ178">
            <v>55.930999755859403</v>
          </cell>
          <cell r="AR178">
            <v>56.363998413085902</v>
          </cell>
          <cell r="AS178">
            <v>57.095001220703097</v>
          </cell>
          <cell r="AT178">
            <v>57.233001708984403</v>
          </cell>
          <cell r="AU178">
            <v>57.333999633789098</v>
          </cell>
          <cell r="AV178">
            <v>57.479000091552699</v>
          </cell>
          <cell r="AW178">
            <v>58.368000030517599</v>
          </cell>
          <cell r="AX178">
            <v>59.159999847412102</v>
          </cell>
          <cell r="AY178">
            <v>59.359001159667997</v>
          </cell>
          <cell r="AZ178">
            <v>60.047000885009801</v>
          </cell>
          <cell r="BA178">
            <v>59.627998352050803</v>
          </cell>
          <cell r="BB178">
            <v>58.775001525878899</v>
          </cell>
          <cell r="BC178">
            <v>59.375</v>
          </cell>
          <cell r="BD178">
            <v>60.6710014343262</v>
          </cell>
          <cell r="BE178">
            <v>61.882999420166001</v>
          </cell>
          <cell r="BF178">
            <v>62.231998443603501</v>
          </cell>
          <cell r="BG178">
            <v>63.103000640869098</v>
          </cell>
          <cell r="BH178">
            <v>63.120998382568402</v>
          </cell>
          <cell r="BI178">
            <v>63.775001525878899</v>
          </cell>
          <cell r="BJ178">
            <v>64.2760009765625</v>
          </cell>
          <cell r="BK178">
            <v>62.861000061035199</v>
          </cell>
        </row>
        <row r="179">
          <cell r="B179" t="str">
            <v>NLD</v>
          </cell>
          <cell r="C179" t="str">
            <v>Employment to population ratio, 15+, total (%) (modeled ILO estimate)</v>
          </cell>
          <cell r="D179" t="str">
            <v>SL.EMP.TOTL.SP.ZS</v>
          </cell>
          <cell r="AJ179">
            <v>52.778999328613303</v>
          </cell>
          <cell r="AK179">
            <v>54.062000274658203</v>
          </cell>
          <cell r="AL179">
            <v>53.851001739502003</v>
          </cell>
          <cell r="AM179">
            <v>53.970001220703097</v>
          </cell>
          <cell r="AN179">
            <v>54.254001617431598</v>
          </cell>
          <cell r="AO179">
            <v>55.194000244140597</v>
          </cell>
          <cell r="AP179">
            <v>56.924999237060497</v>
          </cell>
          <cell r="AQ179">
            <v>58.314998626708999</v>
          </cell>
          <cell r="AR179">
            <v>59.535999298095703</v>
          </cell>
          <cell r="AS179">
            <v>61.125</v>
          </cell>
          <cell r="AT179">
            <v>62.122001647949197</v>
          </cell>
          <cell r="AU179">
            <v>62.451000213622997</v>
          </cell>
          <cell r="AV179">
            <v>61.778999328613303</v>
          </cell>
          <cell r="AW179">
            <v>61.285999298095703</v>
          </cell>
          <cell r="AX179">
            <v>59.229000091552699</v>
          </cell>
          <cell r="AY179">
            <v>59.952999114990199</v>
          </cell>
          <cell r="AZ179">
            <v>61.490001678466797</v>
          </cell>
          <cell r="BA179">
            <v>62.561000823974602</v>
          </cell>
          <cell r="BB179">
            <v>62.238998413085902</v>
          </cell>
          <cell r="BC179">
            <v>61.219001770019503</v>
          </cell>
          <cell r="BD179">
            <v>60.937999725341797</v>
          </cell>
          <cell r="BE179">
            <v>60.833999633789098</v>
          </cell>
          <cell r="BF179">
            <v>59.8289985656738</v>
          </cell>
          <cell r="BG179">
            <v>59.266998291015597</v>
          </cell>
          <cell r="BH179">
            <v>59.666999816894503</v>
          </cell>
          <cell r="BI179">
            <v>59.887001037597699</v>
          </cell>
          <cell r="BJ179">
            <v>60.505001068115199</v>
          </cell>
          <cell r="BK179">
            <v>61.389999389648402</v>
          </cell>
        </row>
        <row r="180">
          <cell r="B180" t="str">
            <v>NOR</v>
          </cell>
          <cell r="C180" t="str">
            <v>Employment to population ratio, 15+, total (%) (modeled ILO estimate)</v>
          </cell>
          <cell r="D180" t="str">
            <v>SL.EMP.TOTL.SP.ZS</v>
          </cell>
          <cell r="AJ180">
            <v>58.430000305175803</v>
          </cell>
          <cell r="AK180">
            <v>58.042999267578097</v>
          </cell>
          <cell r="AL180">
            <v>57.813999176025398</v>
          </cell>
          <cell r="AM180">
            <v>58.659999847412102</v>
          </cell>
          <cell r="AN180">
            <v>59.076000213622997</v>
          </cell>
          <cell r="AO180">
            <v>61.1049995422363</v>
          </cell>
          <cell r="AP180">
            <v>62.758998870849602</v>
          </cell>
          <cell r="AQ180">
            <v>64.347000122070298</v>
          </cell>
          <cell r="AR180">
            <v>64.443000793457003</v>
          </cell>
          <cell r="AS180">
            <v>64.587997436523395</v>
          </cell>
          <cell r="AT180">
            <v>64.366996765136705</v>
          </cell>
          <cell r="AU180">
            <v>64.374000549316406</v>
          </cell>
          <cell r="AV180">
            <v>63.014999389648402</v>
          </cell>
          <cell r="AW180">
            <v>62.918998718261697</v>
          </cell>
          <cell r="AX180">
            <v>62.556999206542997</v>
          </cell>
          <cell r="AY180">
            <v>63.452999114990199</v>
          </cell>
          <cell r="AZ180">
            <v>64.749000549316406</v>
          </cell>
          <cell r="BA180">
            <v>65.698997497558594</v>
          </cell>
          <cell r="BB180">
            <v>64.366996765136705</v>
          </cell>
          <cell r="BC180">
            <v>63.370998382568402</v>
          </cell>
          <cell r="BD180">
            <v>63.097999572753899</v>
          </cell>
          <cell r="BE180">
            <v>63.254001617431598</v>
          </cell>
          <cell r="BF180">
            <v>62.766998291015597</v>
          </cell>
          <cell r="BG180">
            <v>62.464000701904297</v>
          </cell>
          <cell r="BH180">
            <v>62.102001190185497</v>
          </cell>
          <cell r="BI180">
            <v>61.3619995117188</v>
          </cell>
          <cell r="BJ180">
            <v>60.949001312255902</v>
          </cell>
          <cell r="BK180">
            <v>61.500999450683601</v>
          </cell>
        </row>
        <row r="181">
          <cell r="B181" t="str">
            <v>NPL</v>
          </cell>
          <cell r="C181" t="str">
            <v>Employment to population ratio, 15+, total (%) (modeled ILO estimate)</v>
          </cell>
          <cell r="D181" t="str">
            <v>SL.EMP.TOTL.SP.ZS</v>
          </cell>
          <cell r="AJ181">
            <v>84.393997192382798</v>
          </cell>
          <cell r="AK181">
            <v>84.438003540039105</v>
          </cell>
          <cell r="AL181">
            <v>84.486000061035199</v>
          </cell>
          <cell r="AM181">
            <v>84.585998535156307</v>
          </cell>
          <cell r="AN181">
            <v>84.694000244140597</v>
          </cell>
          <cell r="AO181">
            <v>84.623001098632798</v>
          </cell>
          <cell r="AP181">
            <v>84.569000244140597</v>
          </cell>
          <cell r="AQ181">
            <v>84.517997741699205</v>
          </cell>
          <cell r="AR181">
            <v>84.457000732421903</v>
          </cell>
          <cell r="AS181">
            <v>84.246002197265597</v>
          </cell>
          <cell r="AT181">
            <v>84.058998107910199</v>
          </cell>
          <cell r="AU181">
            <v>83.831001281738295</v>
          </cell>
          <cell r="AV181">
            <v>83.611000061035199</v>
          </cell>
          <cell r="AW181">
            <v>83.397003173828097</v>
          </cell>
          <cell r="AX181">
            <v>83.166000366210895</v>
          </cell>
          <cell r="AY181">
            <v>82.982002258300795</v>
          </cell>
          <cell r="AZ181">
            <v>82.777000427246094</v>
          </cell>
          <cell r="BA181">
            <v>82.513999938964801</v>
          </cell>
          <cell r="BB181">
            <v>82.241996765136705</v>
          </cell>
          <cell r="BC181">
            <v>82.058998107910199</v>
          </cell>
          <cell r="BD181">
            <v>81.920997619628906</v>
          </cell>
          <cell r="BE181">
            <v>81.852996826171903</v>
          </cell>
          <cell r="BF181">
            <v>81.843002319335895</v>
          </cell>
          <cell r="BG181">
            <v>81.891998291015597</v>
          </cell>
          <cell r="BH181">
            <v>81.924003601074205</v>
          </cell>
          <cell r="BI181">
            <v>82.180000305175795</v>
          </cell>
          <cell r="BJ181">
            <v>82.402999877929702</v>
          </cell>
          <cell r="BK181">
            <v>82.570999145507798</v>
          </cell>
        </row>
        <row r="182">
          <cell r="B182" t="str">
            <v>NRU</v>
          </cell>
          <cell r="C182" t="str">
            <v>Employment to population ratio, 15+, total (%) (modeled ILO estimate)</v>
          </cell>
          <cell r="D182" t="str">
            <v>SL.EMP.TOTL.SP.ZS</v>
          </cell>
        </row>
        <row r="183">
          <cell r="B183" t="str">
            <v>NZL</v>
          </cell>
          <cell r="C183" t="str">
            <v>Employment to population ratio, 15+, total (%) (modeled ILO estimate)</v>
          </cell>
          <cell r="D183" t="str">
            <v>SL.EMP.TOTL.SP.ZS</v>
          </cell>
          <cell r="AJ183">
            <v>56.667999267578097</v>
          </cell>
          <cell r="AK183">
            <v>56.244998931884801</v>
          </cell>
          <cell r="AL183">
            <v>56.724998474121101</v>
          </cell>
          <cell r="AM183">
            <v>58.3549995422363</v>
          </cell>
          <cell r="AN183">
            <v>60.090999603271499</v>
          </cell>
          <cell r="AO183">
            <v>60.944999694824197</v>
          </cell>
          <cell r="AP183">
            <v>60.417999267578097</v>
          </cell>
          <cell r="AQ183">
            <v>59.474998474121101</v>
          </cell>
          <cell r="AR183">
            <v>60.015998840332003</v>
          </cell>
          <cell r="AS183">
            <v>60.730998992919901</v>
          </cell>
          <cell r="AT183">
            <v>61.811000823974602</v>
          </cell>
          <cell r="AU183">
            <v>62.576999664306598</v>
          </cell>
          <cell r="AV183">
            <v>62.669998168945298</v>
          </cell>
          <cell r="AW183">
            <v>63.712001800537102</v>
          </cell>
          <cell r="AX183">
            <v>64.615997314453097</v>
          </cell>
          <cell r="AY183">
            <v>65.112998962402301</v>
          </cell>
          <cell r="AZ183">
            <v>65.486999511718807</v>
          </cell>
          <cell r="BA183">
            <v>65.032997131347699</v>
          </cell>
          <cell r="BB183">
            <v>63.351001739502003</v>
          </cell>
          <cell r="BC183">
            <v>62.798000335693402</v>
          </cell>
          <cell r="BD183">
            <v>63.139999389648402</v>
          </cell>
          <cell r="BE183">
            <v>62.661998748779297</v>
          </cell>
          <cell r="BF183">
            <v>63.3359985351563</v>
          </cell>
          <cell r="BG183">
            <v>64.462997436523395</v>
          </cell>
          <cell r="BH183">
            <v>64.666000366210895</v>
          </cell>
          <cell r="BI183">
            <v>65.774002075195298</v>
          </cell>
          <cell r="BJ183">
            <v>66.763999938964801</v>
          </cell>
          <cell r="BK183">
            <v>66.9739990234375</v>
          </cell>
        </row>
        <row r="184">
          <cell r="B184" t="str">
            <v>OED</v>
          </cell>
          <cell r="C184" t="str">
            <v>Employment to population ratio, 15+, total (%) (modeled ILO estimate)</v>
          </cell>
          <cell r="D184" t="str">
            <v>SL.EMP.TOTL.SP.ZS</v>
          </cell>
          <cell r="AJ184">
            <v>56.470066127311327</v>
          </cell>
          <cell r="AK184">
            <v>55.993125639530824</v>
          </cell>
          <cell r="AL184">
            <v>55.342907652130513</v>
          </cell>
          <cell r="AM184">
            <v>55.440299000862119</v>
          </cell>
          <cell r="AN184">
            <v>55.49912910174919</v>
          </cell>
          <cell r="AO184">
            <v>55.638330203493631</v>
          </cell>
          <cell r="AP184">
            <v>55.975000727050393</v>
          </cell>
          <cell r="AQ184">
            <v>55.994931690955021</v>
          </cell>
          <cell r="AR184">
            <v>56.120944044246805</v>
          </cell>
          <cell r="AS184">
            <v>56.279455431244678</v>
          </cell>
          <cell r="AT184">
            <v>56.040503466391407</v>
          </cell>
          <cell r="AU184">
            <v>55.637531950441506</v>
          </cell>
          <cell r="AV184">
            <v>55.470533505293922</v>
          </cell>
          <cell r="AW184">
            <v>55.460293833863638</v>
          </cell>
          <cell r="AX184">
            <v>55.843920516510799</v>
          </cell>
          <cell r="AY184">
            <v>56.281124910426342</v>
          </cell>
          <cell r="AZ184">
            <v>56.618084787094681</v>
          </cell>
          <cell r="BA184">
            <v>56.523203155364996</v>
          </cell>
          <cell r="BB184">
            <v>55.019761256509412</v>
          </cell>
          <cell r="BC184">
            <v>54.735246022713362</v>
          </cell>
          <cell r="BD184">
            <v>54.864487747749997</v>
          </cell>
          <cell r="BE184">
            <v>54.988928450247045</v>
          </cell>
          <cell r="BF184">
            <v>54.966175976572877</v>
          </cell>
          <cell r="BG184">
            <v>55.234241841967624</v>
          </cell>
          <cell r="BH184">
            <v>55.615279246607507</v>
          </cell>
          <cell r="BI184">
            <v>56.062257672652322</v>
          </cell>
          <cell r="BJ184">
            <v>56.55226362169023</v>
          </cell>
          <cell r="BK184">
            <v>57.029037558686518</v>
          </cell>
        </row>
        <row r="185">
          <cell r="B185" t="str">
            <v>OMN</v>
          </cell>
          <cell r="C185" t="str">
            <v>Employment to population ratio, 15+, total (%) (modeled ILO estimate)</v>
          </cell>
          <cell r="D185" t="str">
            <v>SL.EMP.TOTL.SP.ZS</v>
          </cell>
          <cell r="AJ185">
            <v>54.604000091552699</v>
          </cell>
          <cell r="AK185">
            <v>55.351001739502003</v>
          </cell>
          <cell r="AL185">
            <v>55.942001342773402</v>
          </cell>
          <cell r="AM185">
            <v>56.6380004882813</v>
          </cell>
          <cell r="AN185">
            <v>57.071998596191399</v>
          </cell>
          <cell r="AO185">
            <v>55.928001403808601</v>
          </cell>
          <cell r="AP185">
            <v>54.574001312255902</v>
          </cell>
          <cell r="AQ185">
            <v>53.404998779296903</v>
          </cell>
          <cell r="AR185">
            <v>52.701000213622997</v>
          </cell>
          <cell r="AS185">
            <v>52.158000946044901</v>
          </cell>
          <cell r="AT185">
            <v>51.930999755859403</v>
          </cell>
          <cell r="AU185">
            <v>52.029998779296903</v>
          </cell>
          <cell r="AV185">
            <v>52.353000640869098</v>
          </cell>
          <cell r="AW185">
            <v>52.576999664306598</v>
          </cell>
          <cell r="AX185">
            <v>53.054000854492202</v>
          </cell>
          <cell r="AY185">
            <v>53.694000244140597</v>
          </cell>
          <cell r="AZ185">
            <v>54.738998413085902</v>
          </cell>
          <cell r="BA185">
            <v>56.084999084472699</v>
          </cell>
          <cell r="BB185">
            <v>57.041000366210902</v>
          </cell>
          <cell r="BC185">
            <v>58.923999786377003</v>
          </cell>
          <cell r="BD185">
            <v>60.6450004577637</v>
          </cell>
          <cell r="BE185">
            <v>62.381999969482401</v>
          </cell>
          <cell r="BF185">
            <v>64.216003417968807</v>
          </cell>
          <cell r="BG185">
            <v>66.184997558593807</v>
          </cell>
          <cell r="BH185">
            <v>67.872001647949205</v>
          </cell>
          <cell r="BI185">
            <v>68.648002624511705</v>
          </cell>
          <cell r="BJ185">
            <v>69.363998413085895</v>
          </cell>
          <cell r="BK185">
            <v>69.883003234863295</v>
          </cell>
        </row>
        <row r="186">
          <cell r="B186" t="str">
            <v>OSS</v>
          </cell>
          <cell r="C186" t="str">
            <v>Employment to population ratio, 15+, total (%) (modeled ILO estimate)</v>
          </cell>
          <cell r="D186" t="str">
            <v>SL.EMP.TOTL.SP.ZS</v>
          </cell>
          <cell r="AJ186">
            <v>54.83177919087229</v>
          </cell>
          <cell r="AK186">
            <v>54.410256417243502</v>
          </cell>
          <cell r="AL186">
            <v>53.893164916322363</v>
          </cell>
          <cell r="AM186">
            <v>53.639433649282608</v>
          </cell>
          <cell r="AN186">
            <v>53.287111172666663</v>
          </cell>
          <cell r="AO186">
            <v>52.965096866579707</v>
          </cell>
          <cell r="AP186">
            <v>52.728112795920282</v>
          </cell>
          <cell r="AQ186">
            <v>52.762352989623714</v>
          </cell>
          <cell r="AR186">
            <v>52.69232866883209</v>
          </cell>
          <cell r="AS186">
            <v>52.821273185729879</v>
          </cell>
          <cell r="AT186">
            <v>52.822034215385045</v>
          </cell>
          <cell r="AU186">
            <v>52.880859081832249</v>
          </cell>
          <cell r="AV186">
            <v>53.031651096368435</v>
          </cell>
          <cell r="AW186">
            <v>53.351373489887081</v>
          </cell>
          <cell r="AX186">
            <v>53.858310744561031</v>
          </cell>
          <cell r="AY186">
            <v>54.7618656952612</v>
          </cell>
          <cell r="AZ186">
            <v>55.528018933096504</v>
          </cell>
          <cell r="BA186">
            <v>56.224926996641713</v>
          </cell>
          <cell r="BB186">
            <v>56.151930018730134</v>
          </cell>
          <cell r="BC186">
            <v>56.269674317376641</v>
          </cell>
          <cell r="BD186">
            <v>56.858035010072136</v>
          </cell>
          <cell r="BE186">
            <v>57.391870650476839</v>
          </cell>
          <cell r="BF186">
            <v>57.905790321067165</v>
          </cell>
          <cell r="BG186">
            <v>58.381620247955738</v>
          </cell>
          <cell r="BH186">
            <v>58.704649090138268</v>
          </cell>
          <cell r="BI186">
            <v>58.737276985821836</v>
          </cell>
          <cell r="BJ186">
            <v>59.105358511976213</v>
          </cell>
          <cell r="BK186">
            <v>59.442501476738407</v>
          </cell>
        </row>
        <row r="187">
          <cell r="B187" t="str">
            <v>PAK</v>
          </cell>
          <cell r="C187" t="str">
            <v>Employment to population ratio, 15+, total (%) (modeled ILO estimate)</v>
          </cell>
          <cell r="D187" t="str">
            <v>SL.EMP.TOTL.SP.ZS</v>
          </cell>
          <cell r="AJ187">
            <v>50.305000305175803</v>
          </cell>
          <cell r="AK187">
            <v>50.243000030517599</v>
          </cell>
          <cell r="AL187">
            <v>49.694999694824197</v>
          </cell>
          <cell r="AM187">
            <v>50.027000427246101</v>
          </cell>
          <cell r="AN187">
            <v>48.912998199462898</v>
          </cell>
          <cell r="AO187">
            <v>49.477001190185497</v>
          </cell>
          <cell r="AP187">
            <v>50.101001739502003</v>
          </cell>
          <cell r="AQ187">
            <v>50.069000244140597</v>
          </cell>
          <cell r="AR187">
            <v>50.346000671386697</v>
          </cell>
          <cell r="AS187">
            <v>50.747001647949197</v>
          </cell>
          <cell r="AT187">
            <v>50.558998107910199</v>
          </cell>
          <cell r="AU187">
            <v>50.470001220703097</v>
          </cell>
          <cell r="AV187">
            <v>50.9210014343262</v>
          </cell>
          <cell r="AW187">
            <v>51.396999359130902</v>
          </cell>
          <cell r="AX187">
            <v>50.988998413085902</v>
          </cell>
          <cell r="AY187">
            <v>50.556999206542997</v>
          </cell>
          <cell r="AZ187">
            <v>50.6119995117188</v>
          </cell>
          <cell r="BA187">
            <v>50.553001403808601</v>
          </cell>
          <cell r="BB187">
            <v>50.923999786377003</v>
          </cell>
          <cell r="BC187">
            <v>51.2109985351563</v>
          </cell>
          <cell r="BD187">
            <v>51.123001098632798</v>
          </cell>
          <cell r="BE187">
            <v>50.987998962402301</v>
          </cell>
          <cell r="BF187">
            <v>50.6710014343262</v>
          </cell>
          <cell r="BG187">
            <v>51.119998931884801</v>
          </cell>
          <cell r="BH187">
            <v>51.141998291015597</v>
          </cell>
          <cell r="BI187">
            <v>50.826000213622997</v>
          </cell>
          <cell r="BJ187">
            <v>50.557998657226598</v>
          </cell>
          <cell r="BK187">
            <v>50.303001403808601</v>
          </cell>
        </row>
        <row r="188">
          <cell r="B188" t="str">
            <v>PAN</v>
          </cell>
          <cell r="C188" t="str">
            <v>Employment to population ratio, 15+, total (%) (modeled ILO estimate)</v>
          </cell>
          <cell r="D188" t="str">
            <v>SL.EMP.TOTL.SP.ZS</v>
          </cell>
          <cell r="AJ188">
            <v>56.805999755859403</v>
          </cell>
          <cell r="AK188">
            <v>57.756999969482401</v>
          </cell>
          <cell r="AL188">
            <v>58.652999877929702</v>
          </cell>
          <cell r="AM188">
            <v>58.987998962402301</v>
          </cell>
          <cell r="AN188">
            <v>60.018001556396499</v>
          </cell>
          <cell r="AO188">
            <v>60.055999755859403</v>
          </cell>
          <cell r="AP188">
            <v>60.101001739502003</v>
          </cell>
          <cell r="AQ188">
            <v>60.2239990234375</v>
          </cell>
          <cell r="AR188">
            <v>60.283000946044901</v>
          </cell>
          <cell r="AS188">
            <v>60.595001220703097</v>
          </cell>
          <cell r="AT188">
            <v>60.8880004882813</v>
          </cell>
          <cell r="AU188">
            <v>61.136001586914098</v>
          </cell>
          <cell r="AV188">
            <v>61.402000427246101</v>
          </cell>
          <cell r="AW188">
            <v>61.872001647949197</v>
          </cell>
          <cell r="AX188">
            <v>62.1710014343262</v>
          </cell>
          <cell r="AY188">
            <v>61.403999328613303</v>
          </cell>
          <cell r="AZ188">
            <v>61.987998962402301</v>
          </cell>
          <cell r="BA188">
            <v>63.512001037597699</v>
          </cell>
          <cell r="BB188">
            <v>62.353000640869098</v>
          </cell>
          <cell r="BC188">
            <v>61.162998199462898</v>
          </cell>
          <cell r="BD188">
            <v>60.8619995117188</v>
          </cell>
          <cell r="BE188">
            <v>62.652999877929702</v>
          </cell>
          <cell r="BF188">
            <v>63.5859985351563</v>
          </cell>
          <cell r="BG188">
            <v>62.902000427246101</v>
          </cell>
          <cell r="BH188">
            <v>62.942001342773402</v>
          </cell>
          <cell r="BI188">
            <v>63.212001800537102</v>
          </cell>
          <cell r="BJ188">
            <v>62.386001586914098</v>
          </cell>
          <cell r="BK188">
            <v>64.031997680664105</v>
          </cell>
        </row>
        <row r="189">
          <cell r="B189" t="str">
            <v>PER</v>
          </cell>
          <cell r="C189" t="str">
            <v>Employment to population ratio, 15+, total (%) (modeled ILO estimate)</v>
          </cell>
          <cell r="D189" t="str">
            <v>SL.EMP.TOTL.SP.ZS</v>
          </cell>
          <cell r="AJ189">
            <v>55.069000244140597</v>
          </cell>
          <cell r="AK189">
            <v>56.206001281738303</v>
          </cell>
          <cell r="AL189">
            <v>57.270999908447301</v>
          </cell>
          <cell r="AM189">
            <v>58.349998474121101</v>
          </cell>
          <cell r="AN189">
            <v>60.119998931884801</v>
          </cell>
          <cell r="AO189">
            <v>61.771999359130902</v>
          </cell>
          <cell r="AP189">
            <v>63.430999755859403</v>
          </cell>
          <cell r="AQ189">
            <v>64.154998779296903</v>
          </cell>
          <cell r="AR189">
            <v>65.125999450683594</v>
          </cell>
          <cell r="AS189">
            <v>63.533000946044901</v>
          </cell>
          <cell r="AT189">
            <v>66.5260009765625</v>
          </cell>
          <cell r="AU189">
            <v>68.268997192382798</v>
          </cell>
          <cell r="AV189">
            <v>69.655998229980497</v>
          </cell>
          <cell r="AW189">
            <v>71.259002685546903</v>
          </cell>
          <cell r="AX189">
            <v>69.132003784179702</v>
          </cell>
          <cell r="AY189">
            <v>72.370002746582003</v>
          </cell>
          <cell r="AZ189">
            <v>74.514999389648395</v>
          </cell>
          <cell r="BA189">
            <v>74.672996520996094</v>
          </cell>
          <cell r="BB189">
            <v>75.160003662109403</v>
          </cell>
          <cell r="BC189">
            <v>76.149002075195298</v>
          </cell>
          <cell r="BD189">
            <v>75.685997009277301</v>
          </cell>
          <cell r="BE189">
            <v>75.804000854492202</v>
          </cell>
          <cell r="BF189">
            <v>75.125</v>
          </cell>
          <cell r="BG189">
            <v>74.563003540039105</v>
          </cell>
          <cell r="BH189">
            <v>73.404998779296903</v>
          </cell>
          <cell r="BI189">
            <v>72.592002868652301</v>
          </cell>
          <cell r="BJ189">
            <v>74.259002685546903</v>
          </cell>
          <cell r="BK189">
            <v>74.665000915527301</v>
          </cell>
        </row>
        <row r="190">
          <cell r="B190" t="str">
            <v>PHL</v>
          </cell>
          <cell r="C190" t="str">
            <v>Employment to population ratio, 15+, total (%) (modeled ILO estimate)</v>
          </cell>
          <cell r="D190" t="str">
            <v>SL.EMP.TOTL.SP.ZS</v>
          </cell>
          <cell r="AJ190">
            <v>60.229000091552699</v>
          </cell>
          <cell r="AK190">
            <v>60.418998718261697</v>
          </cell>
          <cell r="AL190">
            <v>60.429000854492202</v>
          </cell>
          <cell r="AM190">
            <v>60.330001831054702</v>
          </cell>
          <cell r="AN190">
            <v>60.337001800537102</v>
          </cell>
          <cell r="AO190">
            <v>60.192001342773402</v>
          </cell>
          <cell r="AP190">
            <v>60.146999359130902</v>
          </cell>
          <cell r="AQ190">
            <v>60.331001281738303</v>
          </cell>
          <cell r="AR190">
            <v>60.2369995117188</v>
          </cell>
          <cell r="AS190">
            <v>60.185001373291001</v>
          </cell>
          <cell r="AT190">
            <v>60.083999633789098</v>
          </cell>
          <cell r="AU190">
            <v>59.928001403808601</v>
          </cell>
          <cell r="AV190">
            <v>59.446998596191399</v>
          </cell>
          <cell r="AW190">
            <v>59.518001556396499</v>
          </cell>
          <cell r="AX190">
            <v>59.537998199462898</v>
          </cell>
          <cell r="AY190">
            <v>59.465999603271499</v>
          </cell>
          <cell r="AZ190">
            <v>59.7960014343262</v>
          </cell>
          <cell r="BA190">
            <v>59.576999664306598</v>
          </cell>
          <cell r="BB190">
            <v>59.8619995117188</v>
          </cell>
          <cell r="BC190">
            <v>59.951999664306598</v>
          </cell>
          <cell r="BD190">
            <v>60.643001556396499</v>
          </cell>
          <cell r="BE190">
            <v>60.238998413085902</v>
          </cell>
          <cell r="BF190">
            <v>59.9799995422363</v>
          </cell>
          <cell r="BG190">
            <v>60.544998168945298</v>
          </cell>
          <cell r="BH190">
            <v>60.301998138427699</v>
          </cell>
          <cell r="BI190">
            <v>60.470001220703097</v>
          </cell>
          <cell r="BJ190">
            <v>58.145999908447301</v>
          </cell>
          <cell r="BK190">
            <v>58.181999206542997</v>
          </cell>
        </row>
        <row r="191">
          <cell r="B191" t="str">
            <v>PLW</v>
          </cell>
          <cell r="C191" t="str">
            <v>Employment to population ratio, 15+, total (%) (modeled ILO estimate)</v>
          </cell>
          <cell r="D191" t="str">
            <v>SL.EMP.TOTL.SP.ZS</v>
          </cell>
        </row>
        <row r="192">
          <cell r="B192" t="str">
            <v>PNG</v>
          </cell>
          <cell r="C192" t="str">
            <v>Employment to population ratio, 15+, total (%) (modeled ILO estimate)</v>
          </cell>
          <cell r="D192" t="str">
            <v>SL.EMP.TOTL.SP.ZS</v>
          </cell>
          <cell r="AJ192">
            <v>70.352996826171903</v>
          </cell>
          <cell r="AK192">
            <v>69.674003601074205</v>
          </cell>
          <cell r="AL192">
            <v>68.709999084472699</v>
          </cell>
          <cell r="AM192">
            <v>68.491996765136705</v>
          </cell>
          <cell r="AN192">
            <v>68.887001037597699</v>
          </cell>
          <cell r="AO192">
            <v>68.573997497558594</v>
          </cell>
          <cell r="AP192">
            <v>69.0260009765625</v>
          </cell>
          <cell r="AQ192">
            <v>69.461997985839801</v>
          </cell>
          <cell r="AR192">
            <v>69.516998291015597</v>
          </cell>
          <cell r="AS192">
            <v>69.884002685546903</v>
          </cell>
          <cell r="AT192">
            <v>68.004997253417997</v>
          </cell>
          <cell r="AU192">
            <v>66.009002685546903</v>
          </cell>
          <cell r="AV192">
            <v>63.948001861572301</v>
          </cell>
          <cell r="AW192">
            <v>61.819000244140597</v>
          </cell>
          <cell r="AX192">
            <v>59.604000091552699</v>
          </cell>
          <cell r="AY192">
            <v>57.312999725341797</v>
          </cell>
          <cell r="AZ192">
            <v>54.938999176025398</v>
          </cell>
          <cell r="BA192">
            <v>52.476001739502003</v>
          </cell>
          <cell r="BB192">
            <v>49.876998901367202</v>
          </cell>
          <cell r="BC192">
            <v>47.304000854492202</v>
          </cell>
          <cell r="BD192">
            <v>47.069000244140597</v>
          </cell>
          <cell r="BE192">
            <v>46.972000122070298</v>
          </cell>
          <cell r="BF192">
            <v>46.898998260497997</v>
          </cell>
          <cell r="BG192">
            <v>46.470001220703097</v>
          </cell>
          <cell r="BH192">
            <v>46.183998107910199</v>
          </cell>
          <cell r="BI192">
            <v>46.102001190185497</v>
          </cell>
          <cell r="BJ192">
            <v>46.147998809814503</v>
          </cell>
          <cell r="BK192">
            <v>46.245998382568402</v>
          </cell>
        </row>
        <row r="193">
          <cell r="B193" t="str">
            <v>POL</v>
          </cell>
          <cell r="C193" t="str">
            <v>Employment to population ratio, 15+, total (%) (modeled ILO estimate)</v>
          </cell>
          <cell r="D193" t="str">
            <v>SL.EMP.TOTL.SP.ZS</v>
          </cell>
          <cell r="AJ193">
            <v>54.181999206542997</v>
          </cell>
          <cell r="AK193">
            <v>53.283000946044901</v>
          </cell>
          <cell r="AL193">
            <v>52.3619995117188</v>
          </cell>
          <cell r="AM193">
            <v>51.136001586914098</v>
          </cell>
          <cell r="AN193">
            <v>50.744998931884801</v>
          </cell>
          <cell r="AO193">
            <v>50.735000610351598</v>
          </cell>
          <cell r="AP193">
            <v>50.6510009765625</v>
          </cell>
          <cell r="AQ193">
            <v>50.819999694824197</v>
          </cell>
          <cell r="AR193">
            <v>48.838001251220703</v>
          </cell>
          <cell r="AS193">
            <v>47.094001770019503</v>
          </cell>
          <cell r="AT193">
            <v>46.2109985351563</v>
          </cell>
          <cell r="AU193">
            <v>44.514999389648402</v>
          </cell>
          <cell r="AV193">
            <v>44.325000762939503</v>
          </cell>
          <cell r="AW193">
            <v>44.141998291015597</v>
          </cell>
          <cell r="AX193">
            <v>45.305000305175803</v>
          </cell>
          <cell r="AY193">
            <v>46.695999145507798</v>
          </cell>
          <cell r="AZ193">
            <v>48.838001251220703</v>
          </cell>
          <cell r="BA193">
            <v>50.706001281738303</v>
          </cell>
          <cell r="BB193">
            <v>50.738998413085902</v>
          </cell>
          <cell r="BC193">
            <v>50.529998779296903</v>
          </cell>
          <cell r="BD193">
            <v>50.655998229980497</v>
          </cell>
          <cell r="BE193">
            <v>50.676998138427699</v>
          </cell>
          <cell r="BF193">
            <v>50.601001739502003</v>
          </cell>
          <cell r="BG193">
            <v>51.683998107910199</v>
          </cell>
          <cell r="BH193">
            <v>52.374000549316399</v>
          </cell>
          <cell r="BI193">
            <v>53.297000885009801</v>
          </cell>
          <cell r="BJ193">
            <v>54.2700004577637</v>
          </cell>
          <cell r="BK193">
            <v>54.819999694824197</v>
          </cell>
        </row>
        <row r="194">
          <cell r="B194" t="str">
            <v>PRE</v>
          </cell>
          <cell r="C194" t="str">
            <v>Employment to population ratio, 15+, total (%) (modeled ILO estimate)</v>
          </cell>
          <cell r="D194" t="str">
            <v>SL.EMP.TOTL.SP.ZS</v>
          </cell>
          <cell r="AJ194">
            <v>64.92219493313975</v>
          </cell>
          <cell r="AK194">
            <v>64.804335125658554</v>
          </cell>
          <cell r="AL194">
            <v>64.692219384953049</v>
          </cell>
          <cell r="AM194">
            <v>64.6316557616491</v>
          </cell>
          <cell r="AN194">
            <v>64.555040562238375</v>
          </cell>
          <cell r="AO194">
            <v>64.489772270224009</v>
          </cell>
          <cell r="AP194">
            <v>64.443151525763327</v>
          </cell>
          <cell r="AQ194">
            <v>64.39566752606116</v>
          </cell>
          <cell r="AR194">
            <v>64.2827554114603</v>
          </cell>
          <cell r="AS194">
            <v>64.146701986133507</v>
          </cell>
          <cell r="AT194">
            <v>64.02824003591698</v>
          </cell>
          <cell r="AU194">
            <v>63.842040259229499</v>
          </cell>
          <cell r="AV194">
            <v>63.703207476513342</v>
          </cell>
          <cell r="AW194">
            <v>63.628857373720415</v>
          </cell>
          <cell r="AX194">
            <v>63.548862945795968</v>
          </cell>
          <cell r="AY194">
            <v>63.614533663979593</v>
          </cell>
          <cell r="AZ194">
            <v>63.642576794844473</v>
          </cell>
          <cell r="BA194">
            <v>63.565637590501503</v>
          </cell>
          <cell r="BB194">
            <v>63.267585806346077</v>
          </cell>
          <cell r="BC194">
            <v>62.786648044092537</v>
          </cell>
          <cell r="BD194">
            <v>62.69185169055141</v>
          </cell>
          <cell r="BE194">
            <v>62.027270958941507</v>
          </cell>
          <cell r="BF194">
            <v>61.463883843631159</v>
          </cell>
          <cell r="BG194">
            <v>61.143416534821569</v>
          </cell>
          <cell r="BH194">
            <v>60.977014961371921</v>
          </cell>
          <cell r="BI194">
            <v>60.548185466458584</v>
          </cell>
          <cell r="BJ194">
            <v>60.272328173236119</v>
          </cell>
          <cell r="BK194">
            <v>60.281169972475396</v>
          </cell>
        </row>
        <row r="195">
          <cell r="B195" t="str">
            <v>PRI</v>
          </cell>
          <cell r="C195" t="str">
            <v>Employment to population ratio, 15+, total (%) (modeled ILO estimate)</v>
          </cell>
          <cell r="D195" t="str">
            <v>SL.EMP.TOTL.SP.ZS</v>
          </cell>
          <cell r="AJ195">
            <v>38.090999603271499</v>
          </cell>
          <cell r="AK195">
            <v>37.687000274658203</v>
          </cell>
          <cell r="AL195">
            <v>38.955001831054702</v>
          </cell>
          <cell r="AM195">
            <v>39.630001068115199</v>
          </cell>
          <cell r="AN195">
            <v>39.527999877929702</v>
          </cell>
          <cell r="AO195">
            <v>40.493000030517599</v>
          </cell>
          <cell r="AP195">
            <v>41.230998992919901</v>
          </cell>
          <cell r="AQ195">
            <v>41.387001037597699</v>
          </cell>
          <cell r="AR195">
            <v>42.041999816894503</v>
          </cell>
          <cell r="AS195">
            <v>41.665000915527301</v>
          </cell>
          <cell r="AT195">
            <v>41.324001312255902</v>
          </cell>
          <cell r="AU195">
            <v>41.337001800537102</v>
          </cell>
          <cell r="AV195">
            <v>41.465000152587898</v>
          </cell>
          <cell r="AW195">
            <v>42.035999298095703</v>
          </cell>
          <cell r="AX195">
            <v>41.9070014953613</v>
          </cell>
          <cell r="AY195">
            <v>42.313999176025398</v>
          </cell>
          <cell r="AZ195">
            <v>41.730998992919901</v>
          </cell>
          <cell r="BA195">
            <v>40.620998382568402</v>
          </cell>
          <cell r="BB195">
            <v>38.462001800537102</v>
          </cell>
          <cell r="BC195">
            <v>37.424999237060497</v>
          </cell>
          <cell r="BD195">
            <v>37.0130004882813</v>
          </cell>
          <cell r="BE195">
            <v>36.924999237060497</v>
          </cell>
          <cell r="BF195">
            <v>36.367000579833999</v>
          </cell>
          <cell r="BG195">
            <v>35.851001739502003</v>
          </cell>
          <cell r="BH195">
            <v>35.897998809814503</v>
          </cell>
          <cell r="BI195">
            <v>35.812999725341797</v>
          </cell>
          <cell r="BJ195">
            <v>35.9799995422363</v>
          </cell>
          <cell r="BK195">
            <v>36.301998138427699</v>
          </cell>
        </row>
        <row r="196">
          <cell r="B196" t="str">
            <v>PRK</v>
          </cell>
          <cell r="C196" t="str">
            <v>Employment to population ratio, 15+, total (%) (modeled ILO estimate)</v>
          </cell>
          <cell r="D196" t="str">
            <v>SL.EMP.TOTL.SP.ZS</v>
          </cell>
          <cell r="AJ196">
            <v>80.383003234863295</v>
          </cell>
          <cell r="AK196">
            <v>80.476997375488295</v>
          </cell>
          <cell r="AL196">
            <v>80.523002624511705</v>
          </cell>
          <cell r="AM196">
            <v>80.565002441406307</v>
          </cell>
          <cell r="AN196">
            <v>80.536003112792997</v>
          </cell>
          <cell r="AO196">
            <v>80.514999389648395</v>
          </cell>
          <cell r="AP196">
            <v>80.390998840332003</v>
          </cell>
          <cell r="AQ196">
            <v>80.175003051757798</v>
          </cell>
          <cell r="AR196">
            <v>79.968002319335895</v>
          </cell>
          <cell r="AS196">
            <v>79.816001892089801</v>
          </cell>
          <cell r="AT196">
            <v>79.663002014160199</v>
          </cell>
          <cell r="AU196">
            <v>79.476997375488295</v>
          </cell>
          <cell r="AV196">
            <v>79.319999694824205</v>
          </cell>
          <cell r="AW196">
            <v>79.209999084472699</v>
          </cell>
          <cell r="AX196">
            <v>79.092002868652301</v>
          </cell>
          <cell r="AY196">
            <v>79.040000915527301</v>
          </cell>
          <cell r="AZ196">
            <v>78.954002380371094</v>
          </cell>
          <cell r="BA196">
            <v>78.852996826171903</v>
          </cell>
          <cell r="BB196">
            <v>78.600997924804702</v>
          </cell>
          <cell r="BC196">
            <v>78.466003417968807</v>
          </cell>
          <cell r="BD196">
            <v>78.344001770019503</v>
          </cell>
          <cell r="BE196">
            <v>78.255996704101605</v>
          </cell>
          <cell r="BF196">
            <v>78.181999206542997</v>
          </cell>
          <cell r="BG196">
            <v>78.178001403808594</v>
          </cell>
          <cell r="BH196">
            <v>78.148002624511705</v>
          </cell>
          <cell r="BI196">
            <v>78.142997741699205</v>
          </cell>
          <cell r="BJ196">
            <v>78.200996398925795</v>
          </cell>
          <cell r="BK196">
            <v>78.236999511718807</v>
          </cell>
        </row>
        <row r="197">
          <cell r="B197" t="str">
            <v>PRT</v>
          </cell>
          <cell r="C197" t="str">
            <v>Employment to population ratio, 15+, total (%) (modeled ILO estimate)</v>
          </cell>
          <cell r="D197" t="str">
            <v>SL.EMP.TOTL.SP.ZS</v>
          </cell>
          <cell r="AJ197">
            <v>58.852001190185497</v>
          </cell>
          <cell r="AK197">
            <v>56.792999267578097</v>
          </cell>
          <cell r="AL197">
            <v>55.778999328613303</v>
          </cell>
          <cell r="AM197">
            <v>54.966999053955099</v>
          </cell>
          <cell r="AN197">
            <v>54.3289985656738</v>
          </cell>
          <cell r="AO197">
            <v>54.451000213622997</v>
          </cell>
          <cell r="AP197">
            <v>55.451999664306598</v>
          </cell>
          <cell r="AQ197">
            <v>57.729000091552699</v>
          </cell>
          <cell r="AR197">
            <v>57.846000671386697</v>
          </cell>
          <cell r="AS197">
            <v>58.472999572753899</v>
          </cell>
          <cell r="AT197">
            <v>59.076999664306598</v>
          </cell>
          <cell r="AU197">
            <v>59.194000244140597</v>
          </cell>
          <cell r="AV197">
            <v>58.166999816894503</v>
          </cell>
          <cell r="AW197">
            <v>57.683998107910199</v>
          </cell>
          <cell r="AX197">
            <v>57.291999816894503</v>
          </cell>
          <cell r="AY197">
            <v>57.438999176025398</v>
          </cell>
          <cell r="AZ197">
            <v>57.331001281738303</v>
          </cell>
          <cell r="BA197">
            <v>57.368000030517599</v>
          </cell>
          <cell r="BB197">
            <v>55.485000610351598</v>
          </cell>
          <cell r="BC197">
            <v>54.483001708984403</v>
          </cell>
          <cell r="BD197">
            <v>52.721000671386697</v>
          </cell>
          <cell r="BE197">
            <v>50.695999145507798</v>
          </cell>
          <cell r="BF197">
            <v>49.618000030517599</v>
          </cell>
          <cell r="BG197">
            <v>50.603000640869098</v>
          </cell>
          <cell r="BH197">
            <v>51.323001861572301</v>
          </cell>
          <cell r="BI197">
            <v>52.042999267578097</v>
          </cell>
          <cell r="BJ197">
            <v>53.790000915527301</v>
          </cell>
          <cell r="BK197">
            <v>55.048000335693402</v>
          </cell>
        </row>
        <row r="198">
          <cell r="B198" t="str">
            <v>PRY</v>
          </cell>
          <cell r="C198" t="str">
            <v>Employment to population ratio, 15+, total (%) (modeled ILO estimate)</v>
          </cell>
          <cell r="D198" t="str">
            <v>SL.EMP.TOTL.SP.ZS</v>
          </cell>
          <cell r="AJ198">
            <v>62.898998260497997</v>
          </cell>
          <cell r="AK198">
            <v>62.821998596191399</v>
          </cell>
          <cell r="AL198">
            <v>62.8619995117188</v>
          </cell>
          <cell r="AM198">
            <v>63.019001007080099</v>
          </cell>
          <cell r="AN198">
            <v>63.060001373291001</v>
          </cell>
          <cell r="AO198">
            <v>63.0789985656738</v>
          </cell>
          <cell r="AP198">
            <v>63.125999450683601</v>
          </cell>
          <cell r="AQ198">
            <v>63.160999298095703</v>
          </cell>
          <cell r="AR198">
            <v>63.1310005187988</v>
          </cell>
          <cell r="AS198">
            <v>63.174999237060497</v>
          </cell>
          <cell r="AT198">
            <v>63.194000244140597</v>
          </cell>
          <cell r="AU198">
            <v>63.136001586914098</v>
          </cell>
          <cell r="AV198">
            <v>63.896999359130902</v>
          </cell>
          <cell r="AW198">
            <v>67.260002136230497</v>
          </cell>
          <cell r="AX198">
            <v>67.456001281738295</v>
          </cell>
          <cell r="AY198">
            <v>64.970001220703097</v>
          </cell>
          <cell r="AZ198">
            <v>66.467002868652301</v>
          </cell>
          <cell r="BA198">
            <v>66.719001770019503</v>
          </cell>
          <cell r="BB198">
            <v>67.226997375488295</v>
          </cell>
          <cell r="BC198">
            <v>65.871002197265597</v>
          </cell>
          <cell r="BD198">
            <v>66.057998657226605</v>
          </cell>
          <cell r="BE198">
            <v>69.438003540039105</v>
          </cell>
          <cell r="BF198">
            <v>68.211997985839801</v>
          </cell>
          <cell r="BG198">
            <v>66.096000671386705</v>
          </cell>
          <cell r="BH198">
            <v>66.469001770019503</v>
          </cell>
          <cell r="BI198">
            <v>66.683998107910199</v>
          </cell>
          <cell r="BJ198">
            <v>67.308998107910199</v>
          </cell>
          <cell r="BK198">
            <v>68.755996704101605</v>
          </cell>
        </row>
        <row r="199">
          <cell r="B199" t="str">
            <v>PSE</v>
          </cell>
          <cell r="C199" t="str">
            <v>Employment to population ratio, 15+, total (%) (modeled ILO estimate)</v>
          </cell>
          <cell r="D199" t="str">
            <v>SL.EMP.TOTL.SP.ZS</v>
          </cell>
          <cell r="AJ199">
            <v>36.667999267578097</v>
          </cell>
          <cell r="AK199">
            <v>36.652000427246101</v>
          </cell>
          <cell r="AL199">
            <v>36.594001770019503</v>
          </cell>
          <cell r="AM199">
            <v>36.561000823974602</v>
          </cell>
          <cell r="AN199">
            <v>36.527999877929702</v>
          </cell>
          <cell r="AO199">
            <v>36.637001037597699</v>
          </cell>
          <cell r="AP199">
            <v>36.450000762939503</v>
          </cell>
          <cell r="AQ199">
            <v>36.226001739502003</v>
          </cell>
          <cell r="AR199">
            <v>36.117000579833999</v>
          </cell>
          <cell r="AS199">
            <v>36.462001800537102</v>
          </cell>
          <cell r="AT199">
            <v>29.107000350952099</v>
          </cell>
          <cell r="AU199">
            <v>26.329999923706101</v>
          </cell>
          <cell r="AV199">
            <v>30.100999832153299</v>
          </cell>
          <cell r="AW199">
            <v>29.5629997253418</v>
          </cell>
          <cell r="AX199">
            <v>31.075000762939499</v>
          </cell>
          <cell r="AY199">
            <v>31.375999450683601</v>
          </cell>
          <cell r="AZ199">
            <v>32.571998596191399</v>
          </cell>
          <cell r="BA199">
            <v>30.156999588012699</v>
          </cell>
          <cell r="BB199">
            <v>31.125</v>
          </cell>
          <cell r="BC199">
            <v>31.0359992980957</v>
          </cell>
          <cell r="BD199">
            <v>33.643001556396499</v>
          </cell>
          <cell r="BE199">
            <v>33.272998809814503</v>
          </cell>
          <cell r="BF199">
            <v>33.097999572753899</v>
          </cell>
          <cell r="BG199">
            <v>33.150001525878899</v>
          </cell>
          <cell r="BH199">
            <v>33.620998382568402</v>
          </cell>
          <cell r="BI199">
            <v>33.166999816894503</v>
          </cell>
          <cell r="BJ199">
            <v>32.687999725341797</v>
          </cell>
          <cell r="BK199">
            <v>32.096000671386697</v>
          </cell>
        </row>
        <row r="200">
          <cell r="B200" t="str">
            <v>PSS</v>
          </cell>
          <cell r="C200" t="str">
            <v>Employment to population ratio, 15+, total (%) (modeled ILO estimate)</v>
          </cell>
          <cell r="D200" t="str">
            <v>SL.EMP.TOTL.SP.ZS</v>
          </cell>
          <cell r="AJ200">
            <v>61.833656186561505</v>
          </cell>
          <cell r="AK200">
            <v>61.852765463925373</v>
          </cell>
          <cell r="AL200">
            <v>61.942673717629347</v>
          </cell>
          <cell r="AM200">
            <v>61.937129283393844</v>
          </cell>
          <cell r="AN200">
            <v>61.886024934771051</v>
          </cell>
          <cell r="AO200">
            <v>61.844226820315306</v>
          </cell>
          <cell r="AP200">
            <v>61.708895054224755</v>
          </cell>
          <cell r="AQ200">
            <v>61.53723600155535</v>
          </cell>
          <cell r="AR200">
            <v>61.395186817380548</v>
          </cell>
          <cell r="AS200">
            <v>61.398636338444</v>
          </cell>
          <cell r="AT200">
            <v>61.49431257731981</v>
          </cell>
          <cell r="AU200">
            <v>61.597955413295765</v>
          </cell>
          <cell r="AV200">
            <v>61.642791250108971</v>
          </cell>
          <cell r="AW200">
            <v>61.781577754160558</v>
          </cell>
          <cell r="AX200">
            <v>61.862918951904717</v>
          </cell>
          <cell r="AY200">
            <v>62.421822139825913</v>
          </cell>
          <cell r="AZ200">
            <v>62.894533400541576</v>
          </cell>
          <cell r="BA200">
            <v>63.310984572346619</v>
          </cell>
          <cell r="BB200">
            <v>63.699215585906501</v>
          </cell>
          <cell r="BC200">
            <v>64.202578512438848</v>
          </cell>
          <cell r="BD200">
            <v>64.740646580026123</v>
          </cell>
          <cell r="BE200">
            <v>64.297325633042078</v>
          </cell>
          <cell r="BF200">
            <v>64.015695028014576</v>
          </cell>
          <cell r="BG200">
            <v>63.707319927255909</v>
          </cell>
          <cell r="BH200">
            <v>63.698718299549668</v>
          </cell>
          <cell r="BI200">
            <v>63.515466416565296</v>
          </cell>
          <cell r="BJ200">
            <v>63.553156288916405</v>
          </cell>
          <cell r="BK200">
            <v>63.592282083966964</v>
          </cell>
        </row>
        <row r="201">
          <cell r="B201" t="str">
            <v>PST</v>
          </cell>
          <cell r="C201" t="str">
            <v>Employment to population ratio, 15+, total (%) (modeled ILO estimate)</v>
          </cell>
          <cell r="D201" t="str">
            <v>SL.EMP.TOTL.SP.ZS</v>
          </cell>
          <cell r="AJ201">
            <v>56.762261847580831</v>
          </cell>
          <cell r="AK201">
            <v>56.271755482269569</v>
          </cell>
          <cell r="AL201">
            <v>55.704480982303444</v>
          </cell>
          <cell r="AM201">
            <v>55.778642109431345</v>
          </cell>
          <cell r="AN201">
            <v>55.821466815381498</v>
          </cell>
          <cell r="AO201">
            <v>55.779228027848227</v>
          </cell>
          <cell r="AP201">
            <v>56.022776716669092</v>
          </cell>
          <cell r="AQ201">
            <v>55.921382290495707</v>
          </cell>
          <cell r="AR201">
            <v>56.122809502687019</v>
          </cell>
          <cell r="AS201">
            <v>56.534342059563279</v>
          </cell>
          <cell r="AT201">
            <v>56.411616926493849</v>
          </cell>
          <cell r="AU201">
            <v>56.183817471456173</v>
          </cell>
          <cell r="AV201">
            <v>56.09847631713717</v>
          </cell>
          <cell r="AW201">
            <v>56.163934901782781</v>
          </cell>
          <cell r="AX201">
            <v>56.477952915690892</v>
          </cell>
          <cell r="AY201">
            <v>56.872249839929054</v>
          </cell>
          <cell r="AZ201">
            <v>57.211643735060925</v>
          </cell>
          <cell r="BA201">
            <v>57.098637914285497</v>
          </cell>
          <cell r="BB201">
            <v>55.551398743483851</v>
          </cell>
          <cell r="BC201">
            <v>55.131494497560176</v>
          </cell>
          <cell r="BD201">
            <v>55.130895044201239</v>
          </cell>
          <cell r="BE201">
            <v>55.169931844016851</v>
          </cell>
          <cell r="BF201">
            <v>55.161936496663692</v>
          </cell>
          <cell r="BG201">
            <v>55.405390630726188</v>
          </cell>
          <cell r="BH201">
            <v>55.7605360348917</v>
          </cell>
          <cell r="BI201">
            <v>56.185598649654203</v>
          </cell>
          <cell r="BJ201">
            <v>56.67802751699071</v>
          </cell>
          <cell r="BK201">
            <v>57.185051021890558</v>
          </cell>
        </row>
        <row r="202">
          <cell r="B202" t="str">
            <v>PYF</v>
          </cell>
          <cell r="C202" t="str">
            <v>Employment to population ratio, 15+, total (%) (modeled ILO estimate)</v>
          </cell>
          <cell r="D202" t="str">
            <v>SL.EMP.TOTL.SP.ZS</v>
          </cell>
          <cell r="AJ202">
            <v>52.931999206542997</v>
          </cell>
          <cell r="AK202">
            <v>52.8549995422363</v>
          </cell>
          <cell r="AL202">
            <v>52.6049995422363</v>
          </cell>
          <cell r="AM202">
            <v>52.646999359130902</v>
          </cell>
          <cell r="AN202">
            <v>52.672000885009801</v>
          </cell>
          <cell r="AO202">
            <v>52.896999359130902</v>
          </cell>
          <cell r="AP202">
            <v>52.917999267578097</v>
          </cell>
          <cell r="AQ202">
            <v>52.819999694824197</v>
          </cell>
          <cell r="AR202">
            <v>52.373001098632798</v>
          </cell>
          <cell r="AS202">
            <v>52.035999298095703</v>
          </cell>
          <cell r="AT202">
            <v>51.689998626708999</v>
          </cell>
          <cell r="AU202">
            <v>51.222999572753899</v>
          </cell>
          <cell r="AV202">
            <v>50.504001617431598</v>
          </cell>
          <cell r="AW202">
            <v>50.067001342773402</v>
          </cell>
          <cell r="AX202">
            <v>49.743000030517599</v>
          </cell>
          <cell r="AY202">
            <v>49.708999633789098</v>
          </cell>
          <cell r="AZ202">
            <v>49.763999938964801</v>
          </cell>
          <cell r="BA202">
            <v>49.849998474121101</v>
          </cell>
          <cell r="BB202">
            <v>48.730998992919901</v>
          </cell>
          <cell r="BC202">
            <v>48.469001770019503</v>
          </cell>
          <cell r="BD202">
            <v>48.491001129150398</v>
          </cell>
          <cell r="BE202">
            <v>48.2890014648438</v>
          </cell>
          <cell r="BF202">
            <v>47.946998596191399</v>
          </cell>
          <cell r="BG202">
            <v>47.977001190185497</v>
          </cell>
          <cell r="BH202">
            <v>47.930000305175803</v>
          </cell>
          <cell r="BI202">
            <v>47.8549995422363</v>
          </cell>
          <cell r="BJ202">
            <v>47.860000610351598</v>
          </cell>
          <cell r="BK202">
            <v>47.805000305175803</v>
          </cell>
        </row>
        <row r="203">
          <cell r="B203" t="str">
            <v>QAT</v>
          </cell>
          <cell r="C203" t="str">
            <v>Employment to population ratio, 15+, total (%) (modeled ILO estimate)</v>
          </cell>
          <cell r="D203" t="str">
            <v>SL.EMP.TOTL.SP.ZS</v>
          </cell>
          <cell r="AJ203">
            <v>79.759002685546903</v>
          </cell>
          <cell r="AK203">
            <v>78.8280029296875</v>
          </cell>
          <cell r="AL203">
            <v>78.202003479003906</v>
          </cell>
          <cell r="AM203">
            <v>78.294998168945298</v>
          </cell>
          <cell r="AN203">
            <v>78.462997436523395</v>
          </cell>
          <cell r="AO203">
            <v>78.121002197265597</v>
          </cell>
          <cell r="AP203">
            <v>76.972000122070298</v>
          </cell>
          <cell r="AQ203">
            <v>76.228996276855497</v>
          </cell>
          <cell r="AR203">
            <v>75.887001037597699</v>
          </cell>
          <cell r="AS203">
            <v>75.933998107910199</v>
          </cell>
          <cell r="AT203">
            <v>75.816001892089801</v>
          </cell>
          <cell r="AU203">
            <v>75.831001281738295</v>
          </cell>
          <cell r="AV203">
            <v>76.555000305175795</v>
          </cell>
          <cell r="AW203">
            <v>77.393997192382798</v>
          </cell>
          <cell r="AX203">
            <v>79.425003051757798</v>
          </cell>
          <cell r="AY203">
            <v>80.072998046875</v>
          </cell>
          <cell r="AZ203">
            <v>81.963996887207003</v>
          </cell>
          <cell r="BA203">
            <v>83.802001953125</v>
          </cell>
          <cell r="BB203">
            <v>85.483001708984403</v>
          </cell>
          <cell r="BC203">
            <v>87.003997802734403</v>
          </cell>
          <cell r="BD203">
            <v>86.329002380371094</v>
          </cell>
          <cell r="BE203">
            <v>86.135002136230497</v>
          </cell>
          <cell r="BF203">
            <v>86.440002441406307</v>
          </cell>
          <cell r="BG203">
            <v>87.019996643066406</v>
          </cell>
          <cell r="BH203">
            <v>87.749000549316406</v>
          </cell>
          <cell r="BI203">
            <v>87.168998718261705</v>
          </cell>
          <cell r="BJ203">
            <v>86.705001831054702</v>
          </cell>
          <cell r="BK203">
            <v>86.612998962402301</v>
          </cell>
        </row>
        <row r="204">
          <cell r="B204" t="str">
            <v>ROU</v>
          </cell>
          <cell r="C204" t="str">
            <v>Employment to population ratio, 15+, total (%) (modeled ILO estimate)</v>
          </cell>
          <cell r="D204" t="str">
            <v>SL.EMP.TOTL.SP.ZS</v>
          </cell>
          <cell r="AJ204">
            <v>63.678001403808601</v>
          </cell>
          <cell r="AK204">
            <v>63.791999816894503</v>
          </cell>
          <cell r="AL204">
            <v>63.376998901367202</v>
          </cell>
          <cell r="AM204">
            <v>63.070999145507798</v>
          </cell>
          <cell r="AN204">
            <v>62.865001678466797</v>
          </cell>
          <cell r="AO204">
            <v>61.465000152587898</v>
          </cell>
          <cell r="AP204">
            <v>62.4140014648438</v>
          </cell>
          <cell r="AQ204">
            <v>61.452999114990199</v>
          </cell>
          <cell r="AR204">
            <v>60.972999572753899</v>
          </cell>
          <cell r="AS204">
            <v>59.873001098632798</v>
          </cell>
          <cell r="AT204">
            <v>58.831001281738303</v>
          </cell>
          <cell r="AU204">
            <v>52.659999847412102</v>
          </cell>
          <cell r="AV204">
            <v>51.662998199462898</v>
          </cell>
          <cell r="AW204">
            <v>50.821998596191399</v>
          </cell>
          <cell r="AX204">
            <v>49.625</v>
          </cell>
          <cell r="AY204">
            <v>50.472000122070298</v>
          </cell>
          <cell r="AZ204">
            <v>50.7179985046387</v>
          </cell>
          <cell r="BA204">
            <v>50.779998779296903</v>
          </cell>
          <cell r="BB204">
            <v>50.041999816894503</v>
          </cell>
          <cell r="BC204">
            <v>51.119998931884801</v>
          </cell>
          <cell r="BD204">
            <v>50.240001678466797</v>
          </cell>
          <cell r="BE204">
            <v>50.900001525878899</v>
          </cell>
          <cell r="BF204">
            <v>50.612998962402301</v>
          </cell>
          <cell r="BG204">
            <v>51.050998687744098</v>
          </cell>
          <cell r="BH204">
            <v>50.742000579833999</v>
          </cell>
          <cell r="BI204">
            <v>50.554000854492202</v>
          </cell>
          <cell r="BJ204">
            <v>52.290000915527301</v>
          </cell>
          <cell r="BK204">
            <v>52.748001098632798</v>
          </cell>
        </row>
        <row r="205">
          <cell r="B205" t="str">
            <v>RUS</v>
          </cell>
          <cell r="C205" t="str">
            <v>Employment to population ratio, 15+, total (%) (modeled ILO estimate)</v>
          </cell>
          <cell r="D205" t="str">
            <v>SL.EMP.TOTL.SP.ZS</v>
          </cell>
          <cell r="AJ205">
            <v>62.807998657226598</v>
          </cell>
          <cell r="AK205">
            <v>62.520999908447301</v>
          </cell>
          <cell r="AL205">
            <v>60.317001342773402</v>
          </cell>
          <cell r="AM205">
            <v>57.061000823974602</v>
          </cell>
          <cell r="AN205">
            <v>55.693000793457003</v>
          </cell>
          <cell r="AO205">
            <v>54.580001831054702</v>
          </cell>
          <cell r="AP205">
            <v>52.016998291015597</v>
          </cell>
          <cell r="AQ205">
            <v>50.377998352050803</v>
          </cell>
          <cell r="AR205">
            <v>53.2439994812012</v>
          </cell>
          <cell r="AS205">
            <v>54.7630004882813</v>
          </cell>
          <cell r="AT205">
            <v>54.581001281738303</v>
          </cell>
          <cell r="AU205">
            <v>55.751998901367202</v>
          </cell>
          <cell r="AV205">
            <v>55.229000091552699</v>
          </cell>
          <cell r="AW205">
            <v>55.858001708984403</v>
          </cell>
          <cell r="AX205">
            <v>56.596000671386697</v>
          </cell>
          <cell r="AY205">
            <v>56.872001647949197</v>
          </cell>
          <cell r="AZ205">
            <v>58.291999816894503</v>
          </cell>
          <cell r="BA205">
            <v>58.569999694824197</v>
          </cell>
          <cell r="BB205">
            <v>57.300998687744098</v>
          </cell>
          <cell r="BC205">
            <v>57.844001770019503</v>
          </cell>
          <cell r="BD205">
            <v>58.5929985046387</v>
          </cell>
          <cell r="BE205">
            <v>59.283000946044901</v>
          </cell>
          <cell r="BF205">
            <v>59.166999816894503</v>
          </cell>
          <cell r="BG205">
            <v>59.389999389648402</v>
          </cell>
          <cell r="BH205">
            <v>59.139999389648402</v>
          </cell>
          <cell r="BI205">
            <v>59.283000946044901</v>
          </cell>
          <cell r="BJ205">
            <v>59.083000183105497</v>
          </cell>
          <cell r="BK205">
            <v>59.233001708984403</v>
          </cell>
        </row>
        <row r="206">
          <cell r="B206" t="str">
            <v>RWA</v>
          </cell>
          <cell r="C206" t="str">
            <v>Employment to population ratio, 15+, total (%) (modeled ILO estimate)</v>
          </cell>
          <cell r="D206" t="str">
            <v>SL.EMP.TOTL.SP.ZS</v>
          </cell>
          <cell r="AJ206">
            <v>90.446998596191406</v>
          </cell>
          <cell r="AK206">
            <v>89.720001220703097</v>
          </cell>
          <cell r="AL206">
            <v>88.712997436523395</v>
          </cell>
          <cell r="AM206">
            <v>87.793998718261705</v>
          </cell>
          <cell r="AN206">
            <v>86.478996276855497</v>
          </cell>
          <cell r="AO206">
            <v>86.402999877929702</v>
          </cell>
          <cell r="AP206">
            <v>86.113998413085895</v>
          </cell>
          <cell r="AQ206">
            <v>85.781997680664105</v>
          </cell>
          <cell r="AR206">
            <v>85.407997131347699</v>
          </cell>
          <cell r="AS206">
            <v>85.044998168945298</v>
          </cell>
          <cell r="AT206">
            <v>84.815002441406307</v>
          </cell>
          <cell r="AU206">
            <v>84.577003479003906</v>
          </cell>
          <cell r="AV206">
            <v>84.392997741699205</v>
          </cell>
          <cell r="AW206">
            <v>84.241996765136705</v>
          </cell>
          <cell r="AX206">
            <v>84.111999511718807</v>
          </cell>
          <cell r="AY206">
            <v>84.037002563476605</v>
          </cell>
          <cell r="AZ206">
            <v>83.983001708984403</v>
          </cell>
          <cell r="BA206">
            <v>83.916999816894503</v>
          </cell>
          <cell r="BB206">
            <v>83.722999572753906</v>
          </cell>
          <cell r="BC206">
            <v>83.583000183105497</v>
          </cell>
          <cell r="BD206">
            <v>83.472999572753906</v>
          </cell>
          <cell r="BE206">
            <v>83.332000732421903</v>
          </cell>
          <cell r="BF206">
            <v>83.160003662109403</v>
          </cell>
          <cell r="BG206">
            <v>83.001998901367202</v>
          </cell>
          <cell r="BH206">
            <v>82.961997985839801</v>
          </cell>
          <cell r="BI206">
            <v>82.890998840332003</v>
          </cell>
          <cell r="BJ206">
            <v>82.865997314453097</v>
          </cell>
          <cell r="BK206">
            <v>82.818000793457003</v>
          </cell>
        </row>
        <row r="207">
          <cell r="B207" t="str">
            <v>SAS</v>
          </cell>
          <cell r="C207" t="str">
            <v>Employment to population ratio, 15+, total (%) (modeled ILO estimate)</v>
          </cell>
          <cell r="D207" t="str">
            <v>SL.EMP.TOTL.SP.ZS</v>
          </cell>
          <cell r="AJ207">
            <v>55.146461759438516</v>
          </cell>
          <cell r="AK207">
            <v>55.054445893307332</v>
          </cell>
          <cell r="AL207">
            <v>54.953904776680162</v>
          </cell>
          <cell r="AM207">
            <v>55.005164104407122</v>
          </cell>
          <cell r="AN207">
            <v>54.787731678750482</v>
          </cell>
          <cell r="AO207">
            <v>54.719576886156702</v>
          </cell>
          <cell r="AP207">
            <v>54.666700350627593</v>
          </cell>
          <cell r="AQ207">
            <v>54.608904150756871</v>
          </cell>
          <cell r="AR207">
            <v>54.471055201873526</v>
          </cell>
          <cell r="AS207">
            <v>54.402653784785052</v>
          </cell>
          <cell r="AT207">
            <v>54.431299938431778</v>
          </cell>
          <cell r="AU207">
            <v>54.438966274164898</v>
          </cell>
          <cell r="AV207">
            <v>54.544786942552463</v>
          </cell>
          <cell r="AW207">
            <v>54.702908318194794</v>
          </cell>
          <cell r="AX207">
            <v>54.798827557271046</v>
          </cell>
          <cell r="AY207">
            <v>54.202218106036568</v>
          </cell>
          <cell r="AZ207">
            <v>53.61293175543377</v>
          </cell>
          <cell r="BA207">
            <v>52.991651392614763</v>
          </cell>
          <cell r="BB207">
            <v>52.257883984031771</v>
          </cell>
          <cell r="BC207">
            <v>51.74831842603048</v>
          </cell>
          <cell r="BD207">
            <v>51.033669508605939</v>
          </cell>
          <cell r="BE207">
            <v>50.324596443341001</v>
          </cell>
          <cell r="BF207">
            <v>49.932778567314841</v>
          </cell>
          <cell r="BG207">
            <v>49.653787681664234</v>
          </cell>
          <cell r="BH207">
            <v>49.350653291145107</v>
          </cell>
          <cell r="BI207">
            <v>49.011990289833378</v>
          </cell>
          <cell r="BJ207">
            <v>48.887479205759448</v>
          </cell>
          <cell r="BK207">
            <v>48.588264799704412</v>
          </cell>
        </row>
        <row r="208">
          <cell r="B208" t="str">
            <v>SAU</v>
          </cell>
          <cell r="C208" t="str">
            <v>Employment to population ratio, 15+, total (%) (modeled ILO estimate)</v>
          </cell>
          <cell r="D208" t="str">
            <v>SL.EMP.TOTL.SP.ZS</v>
          </cell>
          <cell r="AJ208">
            <v>49.2439994812012</v>
          </cell>
          <cell r="AK208">
            <v>49.368000030517599</v>
          </cell>
          <cell r="AL208">
            <v>49.069000244140597</v>
          </cell>
          <cell r="AM208">
            <v>48.550998687744098</v>
          </cell>
          <cell r="AN208">
            <v>48.174999237060497</v>
          </cell>
          <cell r="AO208">
            <v>47.419998168945298</v>
          </cell>
          <cell r="AP208">
            <v>46.887001037597699</v>
          </cell>
          <cell r="AQ208">
            <v>46.634998321533203</v>
          </cell>
          <cell r="AR208">
            <v>46.574001312255902</v>
          </cell>
          <cell r="AS208">
            <v>47.569000244140597</v>
          </cell>
          <cell r="AT208">
            <v>47.159999847412102</v>
          </cell>
          <cell r="AU208">
            <v>46.791999816894503</v>
          </cell>
          <cell r="AV208">
            <v>46.964000701904297</v>
          </cell>
          <cell r="AW208">
            <v>47.200000762939503</v>
          </cell>
          <cell r="AX208">
            <v>47.441001892089801</v>
          </cell>
          <cell r="AY208">
            <v>47.388999938964801</v>
          </cell>
          <cell r="AZ208">
            <v>47.647998809814503</v>
          </cell>
          <cell r="BA208">
            <v>47.855998992919901</v>
          </cell>
          <cell r="BB208">
            <v>47.582000732421903</v>
          </cell>
          <cell r="BC208">
            <v>48.422000885009801</v>
          </cell>
          <cell r="BD208">
            <v>49.390998840332003</v>
          </cell>
          <cell r="BE208">
            <v>50.775001525878899</v>
          </cell>
          <cell r="BF208">
            <v>51.620998382568402</v>
          </cell>
          <cell r="BG208">
            <v>52.029998779296903</v>
          </cell>
          <cell r="BH208">
            <v>52.911998748779297</v>
          </cell>
          <cell r="BI208">
            <v>53.1380004882813</v>
          </cell>
          <cell r="BJ208">
            <v>52.647998809814503</v>
          </cell>
          <cell r="BK208">
            <v>52.147998809814503</v>
          </cell>
        </row>
        <row r="209">
          <cell r="B209" t="str">
            <v>SDN</v>
          </cell>
          <cell r="C209" t="str">
            <v>Employment to population ratio, 15+, total (%) (modeled ILO estimate)</v>
          </cell>
          <cell r="D209" t="str">
            <v>SL.EMP.TOTL.SP.ZS</v>
          </cell>
          <cell r="AJ209">
            <v>42.6049995422363</v>
          </cell>
          <cell r="AK209">
            <v>42.799999237060497</v>
          </cell>
          <cell r="AL209">
            <v>42.963001251220703</v>
          </cell>
          <cell r="AM209">
            <v>43.209999084472699</v>
          </cell>
          <cell r="AN209">
            <v>43.480998992919901</v>
          </cell>
          <cell r="AO209">
            <v>43.7179985046387</v>
          </cell>
          <cell r="AP209">
            <v>43.603000640869098</v>
          </cell>
          <cell r="AQ209">
            <v>43.484001159667997</v>
          </cell>
          <cell r="AR209">
            <v>43.319999694824197</v>
          </cell>
          <cell r="AS209">
            <v>43.226001739502003</v>
          </cell>
          <cell r="AT209">
            <v>43.136001586914098</v>
          </cell>
          <cell r="AU209">
            <v>43.000999450683601</v>
          </cell>
          <cell r="AV209">
            <v>42.909000396728501</v>
          </cell>
          <cell r="AW209">
            <v>42.852001190185497</v>
          </cell>
          <cell r="AX209">
            <v>42.785999298095703</v>
          </cell>
          <cell r="AY209">
            <v>42.766998291015597</v>
          </cell>
          <cell r="AZ209">
            <v>42.699001312255902</v>
          </cell>
          <cell r="BA209">
            <v>42.534999847412102</v>
          </cell>
          <cell r="BB209">
            <v>43.215000152587898</v>
          </cell>
          <cell r="BC209">
            <v>41.909000396728501</v>
          </cell>
          <cell r="BD209">
            <v>40.606998443603501</v>
          </cell>
          <cell r="BE209">
            <v>40.415000915527301</v>
          </cell>
          <cell r="BF209">
            <v>40.303001403808601</v>
          </cell>
          <cell r="BG209">
            <v>40.277999877929702</v>
          </cell>
          <cell r="BH209">
            <v>40.222000122070298</v>
          </cell>
          <cell r="BI209">
            <v>40.191001892089801</v>
          </cell>
          <cell r="BJ209">
            <v>40.2039985656738</v>
          </cell>
          <cell r="BK209">
            <v>40.284999847412102</v>
          </cell>
        </row>
        <row r="210">
          <cell r="B210" t="str">
            <v>SEN</v>
          </cell>
          <cell r="C210" t="str">
            <v>Employment to population ratio, 15+, total (%) (modeled ILO estimate)</v>
          </cell>
          <cell r="D210" t="str">
            <v>SL.EMP.TOTL.SP.ZS</v>
          </cell>
          <cell r="AJ210">
            <v>50.591999053955099</v>
          </cell>
          <cell r="AK210">
            <v>50.4539985656738</v>
          </cell>
          <cell r="AL210">
            <v>50.277999877929702</v>
          </cell>
          <cell r="AM210">
            <v>50.118000030517599</v>
          </cell>
          <cell r="AN210">
            <v>49.826999664306598</v>
          </cell>
          <cell r="AO210">
            <v>49.669998168945298</v>
          </cell>
          <cell r="AP210">
            <v>49.450000762939503</v>
          </cell>
          <cell r="AQ210">
            <v>49.146999359130902</v>
          </cell>
          <cell r="AR210">
            <v>48.812000274658203</v>
          </cell>
          <cell r="AS210">
            <v>48.576000213622997</v>
          </cell>
          <cell r="AT210">
            <v>48.428001403808601</v>
          </cell>
          <cell r="AU210">
            <v>48.330001831054702</v>
          </cell>
          <cell r="AV210">
            <v>47.626998901367202</v>
          </cell>
          <cell r="AW210">
            <v>46.939998626708999</v>
          </cell>
          <cell r="AX210">
            <v>46.250999450683601</v>
          </cell>
          <cell r="AY210">
            <v>45.705001831054702</v>
          </cell>
          <cell r="AZ210">
            <v>45.287998199462898</v>
          </cell>
          <cell r="BA210">
            <v>44.800998687744098</v>
          </cell>
          <cell r="BB210">
            <v>44.071998596191399</v>
          </cell>
          <cell r="BC210">
            <v>43.4939994812012</v>
          </cell>
          <cell r="BD210">
            <v>42.991001129150398</v>
          </cell>
          <cell r="BE210">
            <v>42.926998138427699</v>
          </cell>
          <cell r="BF210">
            <v>42.827999114990199</v>
          </cell>
          <cell r="BG210">
            <v>42.729000091552699</v>
          </cell>
          <cell r="BH210">
            <v>42.5789985656738</v>
          </cell>
          <cell r="BI210">
            <v>42.615001678466797</v>
          </cell>
          <cell r="BJ210">
            <v>42.650001525878899</v>
          </cell>
          <cell r="BK210">
            <v>42.675998687744098</v>
          </cell>
        </row>
        <row r="211">
          <cell r="B211" t="str">
            <v>SGP</v>
          </cell>
          <cell r="C211" t="str">
            <v>Employment to population ratio, 15+, total (%) (modeled ILO estimate)</v>
          </cell>
          <cell r="D211" t="str">
            <v>SL.EMP.TOTL.SP.ZS</v>
          </cell>
          <cell r="AJ211">
            <v>61.937999725341797</v>
          </cell>
          <cell r="AK211">
            <v>61.693000793457003</v>
          </cell>
          <cell r="AL211">
            <v>62.166999816894503</v>
          </cell>
          <cell r="AM211">
            <v>62.727001190185497</v>
          </cell>
          <cell r="AN211">
            <v>62.987998962402301</v>
          </cell>
          <cell r="AO211">
            <v>63.183998107910199</v>
          </cell>
          <cell r="AP211">
            <v>64.258003234863295</v>
          </cell>
          <cell r="AQ211">
            <v>63.556999206542997</v>
          </cell>
          <cell r="AR211">
            <v>62.6640014648438</v>
          </cell>
          <cell r="AS211">
            <v>63.567001342773402</v>
          </cell>
          <cell r="AT211">
            <v>63.634998321533203</v>
          </cell>
          <cell r="AU211">
            <v>61.626998901367202</v>
          </cell>
          <cell r="AV211">
            <v>61.442001342773402</v>
          </cell>
          <cell r="AW211">
            <v>61.442001342773402</v>
          </cell>
          <cell r="AX211">
            <v>61.9679985046387</v>
          </cell>
          <cell r="AY211">
            <v>63.402000427246101</v>
          </cell>
          <cell r="AZ211">
            <v>64.530998229980497</v>
          </cell>
          <cell r="BA211">
            <v>65.528999328613295</v>
          </cell>
          <cell r="BB211">
            <v>64.263000488281307</v>
          </cell>
          <cell r="BC211">
            <v>65.994003295898395</v>
          </cell>
          <cell r="BD211">
            <v>66.429000854492202</v>
          </cell>
          <cell r="BE211">
            <v>67.210998535156307</v>
          </cell>
          <cell r="BF211">
            <v>67.153999328613295</v>
          </cell>
          <cell r="BG211">
            <v>67.981002807617202</v>
          </cell>
          <cell r="BH211">
            <v>68.677001953125</v>
          </cell>
          <cell r="BI211">
            <v>68.189002990722699</v>
          </cell>
          <cell r="BJ211">
            <v>67.999000549316406</v>
          </cell>
          <cell r="BK211">
            <v>67.794998168945298</v>
          </cell>
        </row>
        <row r="212">
          <cell r="B212" t="str">
            <v>SLB</v>
          </cell>
          <cell r="C212" t="str">
            <v>Employment to population ratio, 15+, total (%) (modeled ILO estimate)</v>
          </cell>
          <cell r="D212" t="str">
            <v>SL.EMP.TOTL.SP.ZS</v>
          </cell>
          <cell r="AJ212">
            <v>81.4530029296875</v>
          </cell>
          <cell r="AK212">
            <v>81.074996948242202</v>
          </cell>
          <cell r="AL212">
            <v>80.988998413085895</v>
          </cell>
          <cell r="AM212">
            <v>80.791999816894503</v>
          </cell>
          <cell r="AN212">
            <v>80.653999328613295</v>
          </cell>
          <cell r="AO212">
            <v>80.769996643066406</v>
          </cell>
          <cell r="AP212">
            <v>81.040000915527301</v>
          </cell>
          <cell r="AQ212">
            <v>81.191001892089801</v>
          </cell>
          <cell r="AR212">
            <v>81.388000488281307</v>
          </cell>
          <cell r="AS212">
            <v>82.134002685546903</v>
          </cell>
          <cell r="AT212">
            <v>82.580001831054702</v>
          </cell>
          <cell r="AU212">
            <v>82.790000915527301</v>
          </cell>
          <cell r="AV212">
            <v>82.754997253417997</v>
          </cell>
          <cell r="AW212">
            <v>82.783996582031307</v>
          </cell>
          <cell r="AX212">
            <v>82.785003662109403</v>
          </cell>
          <cell r="AY212">
            <v>82.789001464843807</v>
          </cell>
          <cell r="AZ212">
            <v>82.755996704101605</v>
          </cell>
          <cell r="BA212">
            <v>82.672996520996094</v>
          </cell>
          <cell r="BB212">
            <v>82.752998352050795</v>
          </cell>
          <cell r="BC212">
            <v>82.968002319335895</v>
          </cell>
          <cell r="BD212">
            <v>82.964996337890597</v>
          </cell>
          <cell r="BE212">
            <v>83.157997131347699</v>
          </cell>
          <cell r="BF212">
            <v>83.358001708984403</v>
          </cell>
          <cell r="BG212">
            <v>83.364997863769503</v>
          </cell>
          <cell r="BH212">
            <v>83.362998962402301</v>
          </cell>
          <cell r="BI212">
            <v>83.349998474121094</v>
          </cell>
          <cell r="BJ212">
            <v>83.346000671386705</v>
          </cell>
          <cell r="BK212">
            <v>83.346000671386705</v>
          </cell>
        </row>
        <row r="213">
          <cell r="B213" t="str">
            <v>SLE</v>
          </cell>
          <cell r="C213" t="str">
            <v>Employment to population ratio, 15+, total (%) (modeled ILO estimate)</v>
          </cell>
          <cell r="D213" t="str">
            <v>SL.EMP.TOTL.SP.ZS</v>
          </cell>
          <cell r="AJ213">
            <v>61.972999572753899</v>
          </cell>
          <cell r="AK213">
            <v>62.291000366210902</v>
          </cell>
          <cell r="AL213">
            <v>62.181999206542997</v>
          </cell>
          <cell r="AM213">
            <v>62.144001007080099</v>
          </cell>
          <cell r="AN213">
            <v>62.214000701904297</v>
          </cell>
          <cell r="AO213">
            <v>62.147998809814503</v>
          </cell>
          <cell r="AP213">
            <v>62.168998718261697</v>
          </cell>
          <cell r="AQ213">
            <v>62.048000335693402</v>
          </cell>
          <cell r="AR213">
            <v>61.991001129150398</v>
          </cell>
          <cell r="AS213">
            <v>61.9070014953613</v>
          </cell>
          <cell r="AT213">
            <v>62.0390014648438</v>
          </cell>
          <cell r="AU213">
            <v>61.688999176025398</v>
          </cell>
          <cell r="AV213">
            <v>61.590999603271499</v>
          </cell>
          <cell r="AW213">
            <v>63.055000305175803</v>
          </cell>
          <cell r="AX213">
            <v>62.250999450683601</v>
          </cell>
          <cell r="AY213">
            <v>61.486000061035199</v>
          </cell>
          <cell r="AZ213">
            <v>60.722999572753899</v>
          </cell>
          <cell r="BA213">
            <v>59.931999206542997</v>
          </cell>
          <cell r="BB213">
            <v>58.993000030517599</v>
          </cell>
          <cell r="BC213">
            <v>58.1640014648438</v>
          </cell>
          <cell r="BD213">
            <v>57.368000030517599</v>
          </cell>
          <cell r="BE213">
            <v>56.576999664306598</v>
          </cell>
          <cell r="BF213">
            <v>55.791000366210902</v>
          </cell>
          <cell r="BG213">
            <v>55.051998138427699</v>
          </cell>
          <cell r="BH213">
            <v>55.486000061035199</v>
          </cell>
          <cell r="BI213">
            <v>55.430000305175803</v>
          </cell>
          <cell r="BJ213">
            <v>55.423999786377003</v>
          </cell>
          <cell r="BK213">
            <v>55.417999267578097</v>
          </cell>
        </row>
        <row r="214">
          <cell r="B214" t="str">
            <v>SLV</v>
          </cell>
          <cell r="C214" t="str">
            <v>Employment to population ratio, 15+, total (%) (modeled ILO estimate)</v>
          </cell>
          <cell r="D214" t="str">
            <v>SL.EMP.TOTL.SP.ZS</v>
          </cell>
          <cell r="AJ214">
            <v>56.325000762939503</v>
          </cell>
          <cell r="AK214">
            <v>56.277000427246101</v>
          </cell>
          <cell r="AL214">
            <v>55.830001831054702</v>
          </cell>
          <cell r="AM214">
            <v>57.971000671386697</v>
          </cell>
          <cell r="AN214">
            <v>57.308998107910199</v>
          </cell>
          <cell r="AO214">
            <v>55.976001739502003</v>
          </cell>
          <cell r="AP214">
            <v>55.591999053955099</v>
          </cell>
          <cell r="AQ214">
            <v>57.826000213622997</v>
          </cell>
          <cell r="AR214">
            <v>57.8429985046387</v>
          </cell>
          <cell r="AS214">
            <v>57.1710014343262</v>
          </cell>
          <cell r="AT214">
            <v>56.668998718261697</v>
          </cell>
          <cell r="AU214">
            <v>56.8950004577637</v>
          </cell>
          <cell r="AV214">
            <v>57.932998657226598</v>
          </cell>
          <cell r="AW214">
            <v>56.813999176025398</v>
          </cell>
          <cell r="AX214">
            <v>56.516998291015597</v>
          </cell>
          <cell r="AY214">
            <v>57.337001800537102</v>
          </cell>
          <cell r="AZ214">
            <v>57.895999908447301</v>
          </cell>
          <cell r="BA214">
            <v>58.110000610351598</v>
          </cell>
          <cell r="BB214">
            <v>57.084999084472699</v>
          </cell>
          <cell r="BC214">
            <v>57.000999450683601</v>
          </cell>
          <cell r="BD214">
            <v>57.196998596191399</v>
          </cell>
          <cell r="BE214">
            <v>58.110000610351598</v>
          </cell>
          <cell r="BF214">
            <v>58.556999206542997</v>
          </cell>
          <cell r="BG214">
            <v>57.094001770019503</v>
          </cell>
          <cell r="BH214">
            <v>56.485000610351598</v>
          </cell>
          <cell r="BI214">
            <v>56.891998291015597</v>
          </cell>
          <cell r="BJ214">
            <v>56.597999572753899</v>
          </cell>
          <cell r="BK214">
            <v>56.568000793457003</v>
          </cell>
        </row>
        <row r="215">
          <cell r="B215" t="str">
            <v>SMR</v>
          </cell>
          <cell r="C215" t="str">
            <v>Employment to population ratio, 15+, total (%) (modeled ILO estimate)</v>
          </cell>
          <cell r="D215" t="str">
            <v>SL.EMP.TOTL.SP.ZS</v>
          </cell>
        </row>
        <row r="216">
          <cell r="B216" t="str">
            <v>SOM</v>
          </cell>
          <cell r="C216" t="str">
            <v>Employment to population ratio, 15+, total (%) (modeled ILO estimate)</v>
          </cell>
          <cell r="D216" t="str">
            <v>SL.EMP.TOTL.SP.ZS</v>
          </cell>
          <cell r="AJ216">
            <v>44.932998657226598</v>
          </cell>
          <cell r="AK216">
            <v>44.812000274658203</v>
          </cell>
          <cell r="AL216">
            <v>44.712001800537102</v>
          </cell>
          <cell r="AM216">
            <v>44.666000366210902</v>
          </cell>
          <cell r="AN216">
            <v>44.570999145507798</v>
          </cell>
          <cell r="AO216">
            <v>44.3810005187988</v>
          </cell>
          <cell r="AP216">
            <v>44.200000762939503</v>
          </cell>
          <cell r="AQ216">
            <v>43.998001098632798</v>
          </cell>
          <cell r="AR216">
            <v>43.778999328613303</v>
          </cell>
          <cell r="AS216">
            <v>43.626998901367202</v>
          </cell>
          <cell r="AT216">
            <v>43.396999359130902</v>
          </cell>
          <cell r="AU216">
            <v>43.178001403808601</v>
          </cell>
          <cell r="AV216">
            <v>43.036998748779297</v>
          </cell>
          <cell r="AW216">
            <v>42.922000885009801</v>
          </cell>
          <cell r="AX216">
            <v>42.853000640869098</v>
          </cell>
          <cell r="AY216">
            <v>42.7299995422363</v>
          </cell>
          <cell r="AZ216">
            <v>42.597999572753899</v>
          </cell>
          <cell r="BA216">
            <v>42.418998718261697</v>
          </cell>
          <cell r="BB216">
            <v>42.060001373291001</v>
          </cell>
          <cell r="BC216">
            <v>41.8810005187988</v>
          </cell>
          <cell r="BD216">
            <v>41.726001739502003</v>
          </cell>
          <cell r="BE216">
            <v>41.622001647949197</v>
          </cell>
          <cell r="BF216">
            <v>41.569000244140597</v>
          </cell>
          <cell r="BG216">
            <v>41.599998474121101</v>
          </cell>
          <cell r="BH216">
            <v>41.633998870849602</v>
          </cell>
          <cell r="BI216">
            <v>41.720001220703097</v>
          </cell>
          <cell r="BJ216">
            <v>41.863998413085902</v>
          </cell>
          <cell r="BK216">
            <v>42.020999908447301</v>
          </cell>
        </row>
        <row r="217">
          <cell r="B217" t="str">
            <v>SRB</v>
          </cell>
          <cell r="C217" t="str">
            <v>Employment to population ratio, 15+, total (%) (modeled ILO estimate)</v>
          </cell>
          <cell r="D217" t="str">
            <v>SL.EMP.TOTL.SP.ZS</v>
          </cell>
          <cell r="AJ217">
            <v>50.048999786377003</v>
          </cell>
          <cell r="AK217">
            <v>49.990001678466797</v>
          </cell>
          <cell r="AL217">
            <v>49.737998962402301</v>
          </cell>
          <cell r="AM217">
            <v>49.534999847412102</v>
          </cell>
          <cell r="AN217">
            <v>49.245998382568402</v>
          </cell>
          <cell r="AO217">
            <v>49.208000183105497</v>
          </cell>
          <cell r="AP217">
            <v>48.616001129150398</v>
          </cell>
          <cell r="AQ217">
            <v>48.5390014648438</v>
          </cell>
          <cell r="AR217">
            <v>48.755001068115199</v>
          </cell>
          <cell r="AS217">
            <v>49.063999176025398</v>
          </cell>
          <cell r="AT217">
            <v>48.712001800537102</v>
          </cell>
          <cell r="AU217">
            <v>47.879001617431598</v>
          </cell>
          <cell r="AV217">
            <v>46.882999420166001</v>
          </cell>
          <cell r="AW217">
            <v>44.801998138427699</v>
          </cell>
          <cell r="AX217">
            <v>43.3289985656738</v>
          </cell>
          <cell r="AY217">
            <v>43.122001647949197</v>
          </cell>
          <cell r="AZ217">
            <v>44.590999603271499</v>
          </cell>
          <cell r="BA217">
            <v>46.257999420166001</v>
          </cell>
          <cell r="BB217">
            <v>43.650001525878899</v>
          </cell>
          <cell r="BC217">
            <v>41.067001342773402</v>
          </cell>
          <cell r="BD217">
            <v>39.143001556396499</v>
          </cell>
          <cell r="BE217">
            <v>38.931999206542997</v>
          </cell>
          <cell r="BF217">
            <v>40.529998779296903</v>
          </cell>
          <cell r="BG217">
            <v>42.298000335693402</v>
          </cell>
          <cell r="BH217">
            <v>42.866001129150398</v>
          </cell>
          <cell r="BI217">
            <v>45.6049995422363</v>
          </cell>
          <cell r="BJ217">
            <v>47.1310005187988</v>
          </cell>
          <cell r="BK217">
            <v>48.055999755859403</v>
          </cell>
        </row>
        <row r="218">
          <cell r="B218" t="str">
            <v>SSA</v>
          </cell>
          <cell r="C218" t="str">
            <v>Employment to population ratio, 15+, total (%) (modeled ILO estimate)</v>
          </cell>
          <cell r="D218" t="str">
            <v>SL.EMP.TOTL.SP.ZS</v>
          </cell>
          <cell r="AJ218">
            <v>65.865460875448875</v>
          </cell>
          <cell r="AK218">
            <v>65.771987015266347</v>
          </cell>
          <cell r="AL218">
            <v>65.638633568471278</v>
          </cell>
          <cell r="AM218">
            <v>65.563051625724825</v>
          </cell>
          <cell r="AN218">
            <v>65.494849541540233</v>
          </cell>
          <cell r="AO218">
            <v>65.432825592310877</v>
          </cell>
          <cell r="AP218">
            <v>65.389722598859464</v>
          </cell>
          <cell r="AQ218">
            <v>65.355443165596341</v>
          </cell>
          <cell r="AR218">
            <v>65.227471471950082</v>
          </cell>
          <cell r="AS218">
            <v>65.189855646807288</v>
          </cell>
          <cell r="AT218">
            <v>65.152067571906187</v>
          </cell>
          <cell r="AU218">
            <v>64.970327405057432</v>
          </cell>
          <cell r="AV218">
            <v>64.988183474050061</v>
          </cell>
          <cell r="AW218">
            <v>65.148258935481678</v>
          </cell>
          <cell r="AX218">
            <v>65.170396877748743</v>
          </cell>
          <cell r="AY218">
            <v>65.285827511801159</v>
          </cell>
          <cell r="AZ218">
            <v>65.392772664249875</v>
          </cell>
          <cell r="BA218">
            <v>65.51382407553811</v>
          </cell>
          <cell r="BB218">
            <v>65.107167778074086</v>
          </cell>
          <cell r="BC218">
            <v>64.571701188735219</v>
          </cell>
          <cell r="BD218">
            <v>64.525062280081812</v>
          </cell>
          <cell r="BE218">
            <v>64.028867731211577</v>
          </cell>
          <cell r="BF218">
            <v>63.63079347015946</v>
          </cell>
          <cell r="BG218">
            <v>63.365215420914403</v>
          </cell>
          <cell r="BH218">
            <v>63.280830080584522</v>
          </cell>
          <cell r="BI218">
            <v>62.911333546614905</v>
          </cell>
          <cell r="BJ218">
            <v>62.809864295518757</v>
          </cell>
          <cell r="BK218">
            <v>62.807515869976733</v>
          </cell>
        </row>
        <row r="219">
          <cell r="B219" t="str">
            <v>SSD</v>
          </cell>
          <cell r="C219" t="str">
            <v>Employment to population ratio, 15+, total (%) (modeled ILO estimate)</v>
          </cell>
          <cell r="D219" t="str">
            <v>SL.EMP.TOTL.SP.ZS</v>
          </cell>
          <cell r="AJ219">
            <v>65.009002685546903</v>
          </cell>
          <cell r="AK219">
            <v>64.927001953125</v>
          </cell>
          <cell r="AL219">
            <v>64.742996215820298</v>
          </cell>
          <cell r="AM219">
            <v>64.692001342773395</v>
          </cell>
          <cell r="AN219">
            <v>64.783996582031307</v>
          </cell>
          <cell r="AO219">
            <v>64.820999145507798</v>
          </cell>
          <cell r="AP219">
            <v>64.888000488281307</v>
          </cell>
          <cell r="AQ219">
            <v>64.952003479003906</v>
          </cell>
          <cell r="AR219">
            <v>64.925003051757798</v>
          </cell>
          <cell r="AS219">
            <v>64.920997619628906</v>
          </cell>
          <cell r="AT219">
            <v>64.916999816894503</v>
          </cell>
          <cell r="AU219">
            <v>64.765998840332003</v>
          </cell>
          <cell r="AV219">
            <v>64.619003295898395</v>
          </cell>
          <cell r="AW219">
            <v>64.530998229980497</v>
          </cell>
          <cell r="AX219">
            <v>64.490997314453097</v>
          </cell>
          <cell r="AY219">
            <v>64.577003479003906</v>
          </cell>
          <cell r="AZ219">
            <v>64.652999877929702</v>
          </cell>
          <cell r="BA219">
            <v>64.635002136230497</v>
          </cell>
          <cell r="BB219">
            <v>64.222999572753906</v>
          </cell>
          <cell r="BC219">
            <v>63.9869995117188</v>
          </cell>
          <cell r="BD219">
            <v>63.916999816894503</v>
          </cell>
          <cell r="BE219">
            <v>63.805999755859403</v>
          </cell>
          <cell r="BF219">
            <v>63.665000915527301</v>
          </cell>
          <cell r="BG219">
            <v>63.599998474121101</v>
          </cell>
          <cell r="BH219">
            <v>63.504001617431598</v>
          </cell>
          <cell r="BI219">
            <v>63.476001739502003</v>
          </cell>
          <cell r="BJ219">
            <v>63.501998901367202</v>
          </cell>
          <cell r="BK219">
            <v>63.523998260497997</v>
          </cell>
        </row>
        <row r="220">
          <cell r="B220" t="str">
            <v>SSF</v>
          </cell>
          <cell r="C220" t="str">
            <v>Employment to population ratio, 15+, total (%) (modeled ILO estimate)</v>
          </cell>
          <cell r="D220" t="str">
            <v>SL.EMP.TOTL.SP.ZS</v>
          </cell>
          <cell r="AJ220">
            <v>65.865460875448875</v>
          </cell>
          <cell r="AK220">
            <v>65.771987015266333</v>
          </cell>
          <cell r="AL220">
            <v>65.638633568471263</v>
          </cell>
          <cell r="AM220">
            <v>65.563051625724839</v>
          </cell>
          <cell r="AN220">
            <v>65.494849541540233</v>
          </cell>
          <cell r="AO220">
            <v>65.432825592310877</v>
          </cell>
          <cell r="AP220">
            <v>65.389722598859464</v>
          </cell>
          <cell r="AQ220">
            <v>65.355443165596327</v>
          </cell>
          <cell r="AR220">
            <v>65.227471471950082</v>
          </cell>
          <cell r="AS220">
            <v>65.189855646807274</v>
          </cell>
          <cell r="AT220">
            <v>65.152067571906187</v>
          </cell>
          <cell r="AU220">
            <v>64.970327405057432</v>
          </cell>
          <cell r="AV220">
            <v>64.988183474050061</v>
          </cell>
          <cell r="AW220">
            <v>65.148258935481678</v>
          </cell>
          <cell r="AX220">
            <v>65.170396877748743</v>
          </cell>
          <cell r="AY220">
            <v>65.285827511801159</v>
          </cell>
          <cell r="AZ220">
            <v>65.392772664249875</v>
          </cell>
          <cell r="BA220">
            <v>65.513824075538096</v>
          </cell>
          <cell r="BB220">
            <v>65.107167778074086</v>
          </cell>
          <cell r="BC220">
            <v>64.571701188735233</v>
          </cell>
          <cell r="BD220">
            <v>64.525062280081812</v>
          </cell>
          <cell r="BE220">
            <v>64.028867731211577</v>
          </cell>
          <cell r="BF220">
            <v>63.63079347015946</v>
          </cell>
          <cell r="BG220">
            <v>63.365215420914403</v>
          </cell>
          <cell r="BH220">
            <v>63.280830080584522</v>
          </cell>
          <cell r="BI220">
            <v>62.911333546614905</v>
          </cell>
          <cell r="BJ220">
            <v>62.809864295518757</v>
          </cell>
          <cell r="BK220">
            <v>62.807515869976733</v>
          </cell>
        </row>
        <row r="221">
          <cell r="B221" t="str">
            <v>SST</v>
          </cell>
          <cell r="C221" t="str">
            <v>Employment to population ratio, 15+, total (%) (modeled ILO estimate)</v>
          </cell>
          <cell r="D221" t="str">
            <v>SL.EMP.TOTL.SP.ZS</v>
          </cell>
          <cell r="AJ221">
            <v>55.549007741074441</v>
          </cell>
          <cell r="AK221">
            <v>55.244698949663821</v>
          </cell>
          <cell r="AL221">
            <v>54.884611741156377</v>
          </cell>
          <cell r="AM221">
            <v>54.853928905561958</v>
          </cell>
          <cell r="AN221">
            <v>54.606256079558733</v>
          </cell>
          <cell r="AO221">
            <v>54.360360794894454</v>
          </cell>
          <cell r="AP221">
            <v>54.097216105867226</v>
          </cell>
          <cell r="AQ221">
            <v>54.107774454780547</v>
          </cell>
          <cell r="AR221">
            <v>53.976110034932709</v>
          </cell>
          <cell r="AS221">
            <v>54.063682143718609</v>
          </cell>
          <cell r="AT221">
            <v>54.065681494081041</v>
          </cell>
          <cell r="AU221">
            <v>54.080896632631962</v>
          </cell>
          <cell r="AV221">
            <v>54.343732279467105</v>
          </cell>
          <cell r="AW221">
            <v>54.681072867527973</v>
          </cell>
          <cell r="AX221">
            <v>55.110229670464918</v>
          </cell>
          <cell r="AY221">
            <v>55.875888347707672</v>
          </cell>
          <cell r="AZ221">
            <v>56.474458294179961</v>
          </cell>
          <cell r="BA221">
            <v>56.931908602861931</v>
          </cell>
          <cell r="BB221">
            <v>56.651206532754273</v>
          </cell>
          <cell r="BC221">
            <v>56.611706071886807</v>
          </cell>
          <cell r="BD221">
            <v>57.009040371733704</v>
          </cell>
          <cell r="BE221">
            <v>57.313288001246072</v>
          </cell>
          <cell r="BF221">
            <v>57.713003823144078</v>
          </cell>
          <cell r="BG221">
            <v>58.150764017561244</v>
          </cell>
          <cell r="BH221">
            <v>58.427701717155045</v>
          </cell>
          <cell r="BI221">
            <v>58.545327996533629</v>
          </cell>
          <cell r="BJ221">
            <v>58.986450169976081</v>
          </cell>
          <cell r="BK221">
            <v>59.322807024637754</v>
          </cell>
        </row>
        <row r="222">
          <cell r="B222" t="str">
            <v>STP</v>
          </cell>
          <cell r="C222" t="str">
            <v>Employment to population ratio, 15+, total (%) (modeled ILO estimate)</v>
          </cell>
          <cell r="D222" t="str">
            <v>SL.EMP.TOTL.SP.ZS</v>
          </cell>
          <cell r="AJ222">
            <v>48.658000946044901</v>
          </cell>
          <cell r="AK222">
            <v>48.349998474121101</v>
          </cell>
          <cell r="AL222">
            <v>47.952999114990199</v>
          </cell>
          <cell r="AM222">
            <v>47.6189994812012</v>
          </cell>
          <cell r="AN222">
            <v>47.326999664306598</v>
          </cell>
          <cell r="AO222">
            <v>47.166999816894503</v>
          </cell>
          <cell r="AP222">
            <v>47.087001800537102</v>
          </cell>
          <cell r="AQ222">
            <v>47.069999694824197</v>
          </cell>
          <cell r="AR222">
            <v>47.096000671386697</v>
          </cell>
          <cell r="AS222">
            <v>47.2439994812012</v>
          </cell>
          <cell r="AT222">
            <v>46.625</v>
          </cell>
          <cell r="AU222">
            <v>45.705001831054702</v>
          </cell>
          <cell r="AV222">
            <v>46.547000885009801</v>
          </cell>
          <cell r="AW222">
            <v>46.883998870849602</v>
          </cell>
          <cell r="AX222">
            <v>46.919998168945298</v>
          </cell>
          <cell r="AY222">
            <v>47.257999420166001</v>
          </cell>
          <cell r="AZ222">
            <v>48.2179985046387</v>
          </cell>
          <cell r="BA222">
            <v>49.028999328613303</v>
          </cell>
          <cell r="BB222">
            <v>49.518001556396499</v>
          </cell>
          <cell r="BC222">
            <v>50.090999603271499</v>
          </cell>
          <cell r="BD222">
            <v>50.550998687744098</v>
          </cell>
          <cell r="BE222">
            <v>50.951000213622997</v>
          </cell>
          <cell r="BF222">
            <v>50.951999664306598</v>
          </cell>
          <cell r="BG222">
            <v>50.929000854492202</v>
          </cell>
          <cell r="BH222">
            <v>50.846000671386697</v>
          </cell>
          <cell r="BI222">
            <v>50.742000579833999</v>
          </cell>
          <cell r="BJ222">
            <v>50.6049995422363</v>
          </cell>
          <cell r="BK222">
            <v>50.429000854492202</v>
          </cell>
        </row>
        <row r="223">
          <cell r="B223" t="str">
            <v>SUR</v>
          </cell>
          <cell r="C223" t="str">
            <v>Employment to population ratio, 15+, total (%) (modeled ILO estimate)</v>
          </cell>
          <cell r="D223" t="str">
            <v>SL.EMP.TOTL.SP.ZS</v>
          </cell>
          <cell r="AJ223">
            <v>40.898998260497997</v>
          </cell>
          <cell r="AK223">
            <v>40.980998992919901</v>
          </cell>
          <cell r="AL223">
            <v>41.810001373291001</v>
          </cell>
          <cell r="AM223">
            <v>43.4210014343262</v>
          </cell>
          <cell r="AN223">
            <v>45.6189994812012</v>
          </cell>
          <cell r="AO223">
            <v>44.412998199462898</v>
          </cell>
          <cell r="AP223">
            <v>44.668998718261697</v>
          </cell>
          <cell r="AQ223">
            <v>44.680999755859403</v>
          </cell>
          <cell r="AR223">
            <v>43.208999633789098</v>
          </cell>
          <cell r="AS223">
            <v>43.780998229980497</v>
          </cell>
          <cell r="AT223">
            <v>44.284999847412102</v>
          </cell>
          <cell r="AU223">
            <v>44.729000091552699</v>
          </cell>
          <cell r="AV223">
            <v>45.277000427246101</v>
          </cell>
          <cell r="AW223">
            <v>45.894001007080099</v>
          </cell>
          <cell r="AX223">
            <v>46.124000549316399</v>
          </cell>
          <cell r="AY223">
            <v>46.424999237060497</v>
          </cell>
          <cell r="AZ223">
            <v>46.698001861572301</v>
          </cell>
          <cell r="BA223">
            <v>46.897998809814503</v>
          </cell>
          <cell r="BB223">
            <v>46.876998901367202</v>
          </cell>
          <cell r="BC223">
            <v>47.804000854492202</v>
          </cell>
          <cell r="BD223">
            <v>47.728000640869098</v>
          </cell>
          <cell r="BE223">
            <v>47.497001647949197</v>
          </cell>
          <cell r="BF223">
            <v>48.326000213622997</v>
          </cell>
          <cell r="BG223">
            <v>48.131999969482401</v>
          </cell>
          <cell r="BH223">
            <v>47.873001098632798</v>
          </cell>
          <cell r="BI223">
            <v>47.689998626708999</v>
          </cell>
          <cell r="BJ223">
            <v>47.673000335693402</v>
          </cell>
          <cell r="BK223">
            <v>47.646999359130902</v>
          </cell>
        </row>
        <row r="224">
          <cell r="B224" t="str">
            <v>SVK</v>
          </cell>
          <cell r="C224" t="str">
            <v>Employment to population ratio, 15+, total (%) (modeled ILO estimate)</v>
          </cell>
          <cell r="D224" t="str">
            <v>SL.EMP.TOTL.SP.ZS</v>
          </cell>
          <cell r="AJ224">
            <v>59.091999053955099</v>
          </cell>
          <cell r="AK224">
            <v>56.790000915527301</v>
          </cell>
          <cell r="AL224">
            <v>54.653999328613303</v>
          </cell>
          <cell r="AM224">
            <v>51.794998168945298</v>
          </cell>
          <cell r="AN224">
            <v>52.070999145507798</v>
          </cell>
          <cell r="AO224">
            <v>53.367000579833999</v>
          </cell>
          <cell r="AP224">
            <v>52.548999786377003</v>
          </cell>
          <cell r="AQ224">
            <v>52.050998687744098</v>
          </cell>
          <cell r="AR224">
            <v>49.891998291015597</v>
          </cell>
          <cell r="AS224">
            <v>48.361000061035199</v>
          </cell>
          <cell r="AT224">
            <v>48.7369995117188</v>
          </cell>
          <cell r="AU224">
            <v>48.617000579833999</v>
          </cell>
          <cell r="AV224">
            <v>49.922000885009801</v>
          </cell>
          <cell r="AW224">
            <v>49.0130004882813</v>
          </cell>
          <cell r="AX224">
            <v>49.881999969482401</v>
          </cell>
          <cell r="AY224">
            <v>51.196998596191399</v>
          </cell>
          <cell r="AZ224">
            <v>52.208000183105497</v>
          </cell>
          <cell r="BA224">
            <v>53.560001373291001</v>
          </cell>
          <cell r="BB224">
            <v>51.660999298095703</v>
          </cell>
          <cell r="BC224">
            <v>50.333999633789098</v>
          </cell>
          <cell r="BD224">
            <v>50.726001739502003</v>
          </cell>
          <cell r="BE224">
            <v>50.866001129150398</v>
          </cell>
          <cell r="BF224">
            <v>50.784000396728501</v>
          </cell>
          <cell r="BG224">
            <v>51.4679985046387</v>
          </cell>
          <cell r="BH224">
            <v>52.768001556396499</v>
          </cell>
          <cell r="BI224">
            <v>54.250999450683601</v>
          </cell>
          <cell r="BJ224">
            <v>55.102001190185497</v>
          </cell>
          <cell r="BK224">
            <v>55.894001007080099</v>
          </cell>
        </row>
        <row r="225">
          <cell r="B225" t="str">
            <v>SVN</v>
          </cell>
          <cell r="C225" t="str">
            <v>Employment to population ratio, 15+, total (%) (modeled ILO estimate)</v>
          </cell>
          <cell r="D225" t="str">
            <v>SL.EMP.TOTL.SP.ZS</v>
          </cell>
          <cell r="AJ225">
            <v>54.630001068115199</v>
          </cell>
          <cell r="AK225">
            <v>53.946998596191399</v>
          </cell>
          <cell r="AL225">
            <v>53.307998657226598</v>
          </cell>
          <cell r="AM225">
            <v>53.209999084472699</v>
          </cell>
          <cell r="AN225">
            <v>53.627998352050803</v>
          </cell>
          <cell r="AO225">
            <v>53.633998870849602</v>
          </cell>
          <cell r="AP225">
            <v>54.463001251220703</v>
          </cell>
          <cell r="AQ225">
            <v>54.915000915527301</v>
          </cell>
          <cell r="AR225">
            <v>53.841999053955099</v>
          </cell>
          <cell r="AS225">
            <v>53.4140014648438</v>
          </cell>
          <cell r="AT225">
            <v>54.2630004882813</v>
          </cell>
          <cell r="AU225">
            <v>54.560001373291001</v>
          </cell>
          <cell r="AV225">
            <v>52.812999725341797</v>
          </cell>
          <cell r="AW225">
            <v>55.429000854492202</v>
          </cell>
          <cell r="AX225">
            <v>55.360000610351598</v>
          </cell>
          <cell r="AY225">
            <v>55.759998321533203</v>
          </cell>
          <cell r="AZ225">
            <v>56.8880004882813</v>
          </cell>
          <cell r="BA225">
            <v>56.8880004882813</v>
          </cell>
          <cell r="BB225">
            <v>55.952999114990199</v>
          </cell>
          <cell r="BC225">
            <v>54.955001831054702</v>
          </cell>
          <cell r="BD225">
            <v>53.331001281738303</v>
          </cell>
          <cell r="BE225">
            <v>52.6310005187988</v>
          </cell>
          <cell r="BF225">
            <v>51.658000946044901</v>
          </cell>
          <cell r="BG225">
            <v>52.146999359130902</v>
          </cell>
          <cell r="BH225">
            <v>52.265998840332003</v>
          </cell>
          <cell r="BI225">
            <v>52.191001892089801</v>
          </cell>
          <cell r="BJ225">
            <v>54.681999206542997</v>
          </cell>
          <cell r="BK225">
            <v>55.867000579833999</v>
          </cell>
        </row>
        <row r="226">
          <cell r="B226" t="str">
            <v>SWE</v>
          </cell>
          <cell r="C226" t="str">
            <v>Employment to population ratio, 15+, total (%) (modeled ILO estimate)</v>
          </cell>
          <cell r="D226" t="str">
            <v>SL.EMP.TOTL.SP.ZS</v>
          </cell>
          <cell r="AJ226">
            <v>64.807998657226605</v>
          </cell>
          <cell r="AK226">
            <v>61.716999053955099</v>
          </cell>
          <cell r="AL226">
            <v>57.8689994812012</v>
          </cell>
          <cell r="AM226">
            <v>57.143001556396499</v>
          </cell>
          <cell r="AN226">
            <v>58.0320014953613</v>
          </cell>
          <cell r="AO226">
            <v>57.491001129150398</v>
          </cell>
          <cell r="AP226">
            <v>56.567001342773402</v>
          </cell>
          <cell r="AQ226">
            <v>57.187000274658203</v>
          </cell>
          <cell r="AR226">
            <v>58.200000762939503</v>
          </cell>
          <cell r="AS226">
            <v>58.9609985351563</v>
          </cell>
          <cell r="AT226">
            <v>59.634998321533203</v>
          </cell>
          <cell r="AU226">
            <v>59.384998321533203</v>
          </cell>
          <cell r="AV226">
            <v>59.055000305175803</v>
          </cell>
          <cell r="AW226">
            <v>58.166999816894503</v>
          </cell>
          <cell r="AX226">
            <v>58.160999298095703</v>
          </cell>
          <cell r="AY226">
            <v>58.817001342773402</v>
          </cell>
          <cell r="AZ226">
            <v>59.713001251220703</v>
          </cell>
          <cell r="BA226">
            <v>59.814998626708999</v>
          </cell>
          <cell r="BB226">
            <v>58.001998901367202</v>
          </cell>
          <cell r="BC226">
            <v>57.708999633789098</v>
          </cell>
          <cell r="BD226">
            <v>58.444000244140597</v>
          </cell>
          <cell r="BE226">
            <v>58.389999389648402</v>
          </cell>
          <cell r="BF226">
            <v>58.730998992919901</v>
          </cell>
          <cell r="BG226">
            <v>58.8810005187988</v>
          </cell>
          <cell r="BH226">
            <v>59.235000610351598</v>
          </cell>
          <cell r="BI226">
            <v>59.574001312255902</v>
          </cell>
          <cell r="BJ226">
            <v>59.984001159667997</v>
          </cell>
          <cell r="BK226">
            <v>60.431999206542997</v>
          </cell>
        </row>
        <row r="227">
          <cell r="B227" t="str">
            <v>SWZ</v>
          </cell>
          <cell r="C227" t="str">
            <v>Employment to population ratio, 15+, total (%) (modeled ILO estimate)</v>
          </cell>
          <cell r="D227" t="str">
            <v>SL.EMP.TOTL.SP.ZS</v>
          </cell>
          <cell r="AJ227">
            <v>41.416000366210902</v>
          </cell>
          <cell r="AK227">
            <v>41.3950004577637</v>
          </cell>
          <cell r="AL227">
            <v>41.305000305175803</v>
          </cell>
          <cell r="AM227">
            <v>41.240001678466797</v>
          </cell>
          <cell r="AN227">
            <v>41.076000213622997</v>
          </cell>
          <cell r="AO227">
            <v>40.634998321533203</v>
          </cell>
          <cell r="AP227">
            <v>40.154998779296903</v>
          </cell>
          <cell r="AQ227">
            <v>39.534999847412102</v>
          </cell>
          <cell r="AR227">
            <v>38.875</v>
          </cell>
          <cell r="AS227">
            <v>38.356998443603501</v>
          </cell>
          <cell r="AT227">
            <v>38.071998596191399</v>
          </cell>
          <cell r="AU227">
            <v>37.724998474121101</v>
          </cell>
          <cell r="AV227">
            <v>37.435001373291001</v>
          </cell>
          <cell r="AW227">
            <v>37.165000915527301</v>
          </cell>
          <cell r="AX227">
            <v>36.818000793457003</v>
          </cell>
          <cell r="AY227">
            <v>36.672000885009801</v>
          </cell>
          <cell r="AZ227">
            <v>36.498001098632798</v>
          </cell>
          <cell r="BA227">
            <v>36.924999237060497</v>
          </cell>
          <cell r="BB227">
            <v>36.929000854492202</v>
          </cell>
          <cell r="BC227">
            <v>37.175998687744098</v>
          </cell>
          <cell r="BD227">
            <v>37.591999053955099</v>
          </cell>
          <cell r="BE227">
            <v>37.979000091552699</v>
          </cell>
          <cell r="BF227">
            <v>38.341999053955099</v>
          </cell>
          <cell r="BG227">
            <v>38.844001770019503</v>
          </cell>
          <cell r="BH227">
            <v>39.333999633789098</v>
          </cell>
          <cell r="BI227">
            <v>39.916999816894503</v>
          </cell>
          <cell r="BJ227">
            <v>40.25</v>
          </cell>
          <cell r="BK227">
            <v>40.581001281738303</v>
          </cell>
        </row>
        <row r="228">
          <cell r="B228" t="str">
            <v>SXM</v>
          </cell>
          <cell r="C228" t="str">
            <v>Employment to population ratio, 15+, total (%) (modeled ILO estimate)</v>
          </cell>
          <cell r="D228" t="str">
            <v>SL.EMP.TOTL.SP.ZS</v>
          </cell>
        </row>
        <row r="229">
          <cell r="B229" t="str">
            <v>SYC</v>
          </cell>
          <cell r="C229" t="str">
            <v>Employment to population ratio, 15+, total (%) (modeled ILO estimate)</v>
          </cell>
          <cell r="D229" t="str">
            <v>SL.EMP.TOTL.SP.ZS</v>
          </cell>
        </row>
        <row r="230">
          <cell r="B230" t="str">
            <v>SYR</v>
          </cell>
          <cell r="C230" t="str">
            <v>Employment to population ratio, 15+, total (%) (modeled ILO estimate)</v>
          </cell>
          <cell r="D230" t="str">
            <v>SL.EMP.TOTL.SP.ZS</v>
          </cell>
          <cell r="AJ230">
            <v>50.245998382568402</v>
          </cell>
          <cell r="AK230">
            <v>49.456001281738303</v>
          </cell>
          <cell r="AL230">
            <v>49.034999847412102</v>
          </cell>
          <cell r="AM230">
            <v>48.884998321533203</v>
          </cell>
          <cell r="AN230">
            <v>48.958999633789098</v>
          </cell>
          <cell r="AO230">
            <v>48.044998168945298</v>
          </cell>
          <cell r="AP230">
            <v>47.176998138427699</v>
          </cell>
          <cell r="AQ230">
            <v>46.362998962402301</v>
          </cell>
          <cell r="AR230">
            <v>46.409000396728501</v>
          </cell>
          <cell r="AS230">
            <v>45.483001708984403</v>
          </cell>
          <cell r="AT230">
            <v>44.159000396728501</v>
          </cell>
          <cell r="AU230">
            <v>44.1510009765625</v>
          </cell>
          <cell r="AV230">
            <v>43.997001647949197</v>
          </cell>
          <cell r="AW230">
            <v>43.229000091552699</v>
          </cell>
          <cell r="AX230">
            <v>42.4869995117188</v>
          </cell>
          <cell r="AY230">
            <v>41.883998870849602</v>
          </cell>
          <cell r="AZ230">
            <v>40.952999114990199</v>
          </cell>
          <cell r="BA230">
            <v>39.759998321533203</v>
          </cell>
          <cell r="BB230">
            <v>39.484001159667997</v>
          </cell>
          <cell r="BC230">
            <v>39.320999145507798</v>
          </cell>
          <cell r="BD230">
            <v>39.430999755859403</v>
          </cell>
          <cell r="BE230">
            <v>39.5390014648438</v>
          </cell>
          <cell r="BF230">
            <v>39.688999176025398</v>
          </cell>
          <cell r="BG230">
            <v>39.912998199462898</v>
          </cell>
          <cell r="BH230">
            <v>40.130001068115199</v>
          </cell>
          <cell r="BI230">
            <v>40.215999603271499</v>
          </cell>
          <cell r="BJ230">
            <v>40.429000854492202</v>
          </cell>
          <cell r="BK230">
            <v>40.590000152587898</v>
          </cell>
        </row>
        <row r="231">
          <cell r="B231" t="str">
            <v>TCA</v>
          </cell>
          <cell r="C231" t="str">
            <v>Employment to population ratio, 15+, total (%) (modeled ILO estimate)</v>
          </cell>
          <cell r="D231" t="str">
            <v>SL.EMP.TOTL.SP.ZS</v>
          </cell>
        </row>
        <row r="232">
          <cell r="B232" t="str">
            <v>TCD</v>
          </cell>
          <cell r="C232" t="str">
            <v>Employment to population ratio, 15+, total (%) (modeled ILO estimate)</v>
          </cell>
          <cell r="D232" t="str">
            <v>SL.EMP.TOTL.SP.ZS</v>
          </cell>
          <cell r="AJ232">
            <v>71.698997497558594</v>
          </cell>
          <cell r="AK232">
            <v>71.663002014160199</v>
          </cell>
          <cell r="AL232">
            <v>71.814002990722699</v>
          </cell>
          <cell r="AM232">
            <v>71.719001770019503</v>
          </cell>
          <cell r="AN232">
            <v>71.693000793457003</v>
          </cell>
          <cell r="AO232">
            <v>71.720001220703097</v>
          </cell>
          <cell r="AP232">
            <v>71.702003479003906</v>
          </cell>
          <cell r="AQ232">
            <v>71.654998779296903</v>
          </cell>
          <cell r="AR232">
            <v>71.643997192382798</v>
          </cell>
          <cell r="AS232">
            <v>71.646003723144503</v>
          </cell>
          <cell r="AT232">
            <v>71.594001770019503</v>
          </cell>
          <cell r="AU232">
            <v>71.522003173828097</v>
          </cell>
          <cell r="AV232">
            <v>71.397003173828097</v>
          </cell>
          <cell r="AW232">
            <v>71.134002685546903</v>
          </cell>
          <cell r="AX232">
            <v>70.956001281738295</v>
          </cell>
          <cell r="AY232">
            <v>70.990997314453097</v>
          </cell>
          <cell r="AZ232">
            <v>70.963996887207003</v>
          </cell>
          <cell r="BA232">
            <v>70.880996704101605</v>
          </cell>
          <cell r="BB232">
            <v>70.640998840332003</v>
          </cell>
          <cell r="BC232">
            <v>70.385002136230497</v>
          </cell>
          <cell r="BD232">
            <v>70.309997558593807</v>
          </cell>
          <cell r="BE232">
            <v>70.129997253417997</v>
          </cell>
          <cell r="BF232">
            <v>69.955001831054702</v>
          </cell>
          <cell r="BG232">
            <v>69.791999816894503</v>
          </cell>
          <cell r="BH232">
            <v>69.639999389648395</v>
          </cell>
          <cell r="BI232">
            <v>69.611999511718807</v>
          </cell>
          <cell r="BJ232">
            <v>69.556999206542997</v>
          </cell>
          <cell r="BK232">
            <v>69.435997009277301</v>
          </cell>
        </row>
        <row r="233">
          <cell r="B233" t="str">
            <v>TEA</v>
          </cell>
          <cell r="C233" t="str">
            <v>Employment to population ratio, 15+, total (%) (modeled ILO estimate)</v>
          </cell>
          <cell r="D233" t="str">
            <v>SL.EMP.TOTL.SP.ZS</v>
          </cell>
          <cell r="AJ233">
            <v>74.498207864855161</v>
          </cell>
          <cell r="AK233">
            <v>74.548199044450257</v>
          </cell>
          <cell r="AL233">
            <v>74.28432034842676</v>
          </cell>
          <cell r="AM233">
            <v>74.075849876038077</v>
          </cell>
          <cell r="AN233">
            <v>73.907863888951326</v>
          </cell>
          <cell r="AO233">
            <v>73.701843736260628</v>
          </cell>
          <cell r="AP233">
            <v>73.435852704237888</v>
          </cell>
          <cell r="AQ233">
            <v>73.167844294964354</v>
          </cell>
          <cell r="AR233">
            <v>72.884654837755505</v>
          </cell>
          <cell r="AS233">
            <v>72.573921973333853</v>
          </cell>
          <cell r="AT233">
            <v>71.629861294155589</v>
          </cell>
          <cell r="AU233">
            <v>70.674719281382494</v>
          </cell>
          <cell r="AV233">
            <v>69.818478269605464</v>
          </cell>
          <cell r="AW233">
            <v>69.287062256706676</v>
          </cell>
          <cell r="AX233">
            <v>68.636693616127999</v>
          </cell>
          <cell r="AY233">
            <v>68.290152082515917</v>
          </cell>
          <cell r="AZ233">
            <v>68.22595945347291</v>
          </cell>
          <cell r="BA233">
            <v>67.911913039543478</v>
          </cell>
          <cell r="BB233">
            <v>67.648613735853374</v>
          </cell>
          <cell r="BC233">
            <v>67.507725398546341</v>
          </cell>
          <cell r="BD233">
            <v>67.485148920979043</v>
          </cell>
          <cell r="BE233">
            <v>67.36940571278646</v>
          </cell>
          <cell r="BF233">
            <v>67.037051921724938</v>
          </cell>
          <cell r="BG233">
            <v>66.796071702082742</v>
          </cell>
          <cell r="BH233">
            <v>66.415021097762917</v>
          </cell>
          <cell r="BI233">
            <v>66.078906911244871</v>
          </cell>
          <cell r="BJ233">
            <v>65.749470762755706</v>
          </cell>
          <cell r="BK233">
            <v>65.52720059804173</v>
          </cell>
        </row>
        <row r="234">
          <cell r="B234" t="str">
            <v>TEC</v>
          </cell>
          <cell r="C234" t="str">
            <v>Employment to population ratio, 15+, total (%) (modeled ILO estimate)</v>
          </cell>
          <cell r="D234" t="str">
            <v>SL.EMP.TOTL.SP.ZS</v>
          </cell>
          <cell r="AJ234">
            <v>58.882304201127909</v>
          </cell>
          <cell r="AK234">
            <v>58.44117172500151</v>
          </cell>
          <cell r="AL234">
            <v>56.828383026335153</v>
          </cell>
          <cell r="AM234">
            <v>55.429674525388066</v>
          </cell>
          <cell r="AN234">
            <v>54.374353081255741</v>
          </cell>
          <cell r="AO234">
            <v>53.299404680365775</v>
          </cell>
          <cell r="AP234">
            <v>52.069222889287879</v>
          </cell>
          <cell r="AQ234">
            <v>51.055541726249615</v>
          </cell>
          <cell r="AR234">
            <v>51.582882501139672</v>
          </cell>
          <cell r="AS234">
            <v>51.729680186744226</v>
          </cell>
          <cell r="AT234">
            <v>51.410199347298033</v>
          </cell>
          <cell r="AU234">
            <v>51.198265434419753</v>
          </cell>
          <cell r="AV234">
            <v>50.888237921853019</v>
          </cell>
          <cell r="AW234">
            <v>50.947869131539122</v>
          </cell>
          <cell r="AX234">
            <v>51.396775794121524</v>
          </cell>
          <cell r="AY234">
            <v>51.792140632257968</v>
          </cell>
          <cell r="AZ234">
            <v>52.686358058976303</v>
          </cell>
          <cell r="BA234">
            <v>53.121952270338433</v>
          </cell>
          <cell r="BB234">
            <v>52.312324544941347</v>
          </cell>
          <cell r="BC234">
            <v>52.788195097696828</v>
          </cell>
          <cell r="BD234">
            <v>53.343495511764026</v>
          </cell>
          <cell r="BE234">
            <v>53.650836852744241</v>
          </cell>
          <cell r="BF234">
            <v>53.781765636709217</v>
          </cell>
          <cell r="BG234">
            <v>53.804182328680405</v>
          </cell>
          <cell r="BH234">
            <v>53.996624138280104</v>
          </cell>
          <cell r="BI234">
            <v>54.17451387789729</v>
          </cell>
          <cell r="BJ234">
            <v>54.441513077290196</v>
          </cell>
          <cell r="BK234">
            <v>54.72250681757108</v>
          </cell>
        </row>
        <row r="235">
          <cell r="B235" t="str">
            <v>TGO</v>
          </cell>
          <cell r="C235" t="str">
            <v>Employment to population ratio, 15+, total (%) (modeled ILO estimate)</v>
          </cell>
          <cell r="D235" t="str">
            <v>SL.EMP.TOTL.SP.ZS</v>
          </cell>
          <cell r="AJ235">
            <v>78.541000366210895</v>
          </cell>
          <cell r="AK235">
            <v>78.460998535156307</v>
          </cell>
          <cell r="AL235">
            <v>78.402999877929702</v>
          </cell>
          <cell r="AM235">
            <v>78.128997802734403</v>
          </cell>
          <cell r="AN235">
            <v>77.916999816894503</v>
          </cell>
          <cell r="AO235">
            <v>77.612998962402301</v>
          </cell>
          <cell r="AP235">
            <v>77.308998107910199</v>
          </cell>
          <cell r="AQ235">
            <v>77.168998718261705</v>
          </cell>
          <cell r="AR235">
            <v>76.9530029296875</v>
          </cell>
          <cell r="AS235">
            <v>76.857002258300795</v>
          </cell>
          <cell r="AT235">
            <v>76.912002563476605</v>
          </cell>
          <cell r="AU235">
            <v>76.902000427246094</v>
          </cell>
          <cell r="AV235">
            <v>76.892997741699205</v>
          </cell>
          <cell r="AW235">
            <v>76.986000061035199</v>
          </cell>
          <cell r="AX235">
            <v>77.126998901367202</v>
          </cell>
          <cell r="AY235">
            <v>77.366996765136705</v>
          </cell>
          <cell r="AZ235">
            <v>77.570999145507798</v>
          </cell>
          <cell r="BA235">
            <v>77.617996215820298</v>
          </cell>
          <cell r="BB235">
            <v>77.396003723144503</v>
          </cell>
          <cell r="BC235">
            <v>77.228996276855497</v>
          </cell>
          <cell r="BD235">
            <v>76.991996765136705</v>
          </cell>
          <cell r="BE235">
            <v>76.915000915527301</v>
          </cell>
          <cell r="BF235">
            <v>76.802001953125</v>
          </cell>
          <cell r="BG235">
            <v>76.684997558593807</v>
          </cell>
          <cell r="BH235">
            <v>76.523002624511705</v>
          </cell>
          <cell r="BI235">
            <v>76.400001525878906</v>
          </cell>
          <cell r="BJ235">
            <v>76.266998291015597</v>
          </cell>
          <cell r="BK235">
            <v>76.095001220703097</v>
          </cell>
        </row>
        <row r="236">
          <cell r="B236" t="str">
            <v>THA</v>
          </cell>
          <cell r="C236" t="str">
            <v>Employment to population ratio, 15+, total (%) (modeled ILO estimate)</v>
          </cell>
          <cell r="D236" t="str">
            <v>SL.EMP.TOTL.SP.ZS</v>
          </cell>
          <cell r="AJ236">
            <v>72.918998718261705</v>
          </cell>
          <cell r="AK236">
            <v>73.581001281738295</v>
          </cell>
          <cell r="AL236">
            <v>73.170997619628906</v>
          </cell>
          <cell r="AM236">
            <v>72.982002258300795</v>
          </cell>
          <cell r="AN236">
            <v>73.430999755859403</v>
          </cell>
          <cell r="AO236">
            <v>73.866996765136705</v>
          </cell>
          <cell r="AP236">
            <v>74.195999145507798</v>
          </cell>
          <cell r="AQ236">
            <v>71.384002685546903</v>
          </cell>
          <cell r="AR236">
            <v>70.505996704101605</v>
          </cell>
          <cell r="AS236">
            <v>71.420997619628906</v>
          </cell>
          <cell r="AT236">
            <v>70.639999389648395</v>
          </cell>
          <cell r="AU236">
            <v>71.094001770019503</v>
          </cell>
          <cell r="AV236">
            <v>71.218002319335895</v>
          </cell>
          <cell r="AW236">
            <v>71.320999145507798</v>
          </cell>
          <cell r="AX236">
            <v>71.5469970703125</v>
          </cell>
          <cell r="AY236">
            <v>71.228996276855497</v>
          </cell>
          <cell r="AZ236">
            <v>71.839996337890597</v>
          </cell>
          <cell r="BA236">
            <v>71.920997619628906</v>
          </cell>
          <cell r="BB236">
            <v>72.180000305175795</v>
          </cell>
          <cell r="BC236">
            <v>71.259002685546903</v>
          </cell>
          <cell r="BD236">
            <v>72.752998352050795</v>
          </cell>
          <cell r="BE236">
            <v>72.345001220703097</v>
          </cell>
          <cell r="BF236">
            <v>70.289001464843807</v>
          </cell>
          <cell r="BG236">
            <v>69.278999328613295</v>
          </cell>
          <cell r="BH236">
            <v>68.634002685546903</v>
          </cell>
          <cell r="BI236">
            <v>67.597999572753906</v>
          </cell>
          <cell r="BJ236">
            <v>66.734001159667997</v>
          </cell>
          <cell r="BK236">
            <v>67.071998596191406</v>
          </cell>
        </row>
        <row r="237">
          <cell r="B237" t="str">
            <v>TJK</v>
          </cell>
          <cell r="C237" t="str">
            <v>Employment to population ratio, 15+, total (%) (modeled ILO estimate)</v>
          </cell>
          <cell r="D237" t="str">
            <v>SL.EMP.TOTL.SP.ZS</v>
          </cell>
          <cell r="AJ237">
            <v>41.240001678466797</v>
          </cell>
          <cell r="AK237">
            <v>41.215999603271499</v>
          </cell>
          <cell r="AL237">
            <v>39.554000854492202</v>
          </cell>
          <cell r="AM237">
            <v>38.511001586914098</v>
          </cell>
          <cell r="AN237">
            <v>37.912998199462898</v>
          </cell>
          <cell r="AO237">
            <v>36.616001129150398</v>
          </cell>
          <cell r="AP237">
            <v>36.4210014343262</v>
          </cell>
          <cell r="AQ237">
            <v>35.334999084472699</v>
          </cell>
          <cell r="AR237">
            <v>35.810001373291001</v>
          </cell>
          <cell r="AS237">
            <v>35.999000549316399</v>
          </cell>
          <cell r="AT237">
            <v>36.152000427246101</v>
          </cell>
          <cell r="AU237">
            <v>36.240001678466797</v>
          </cell>
          <cell r="AV237">
            <v>36.377998352050803</v>
          </cell>
          <cell r="AW237">
            <v>36.625</v>
          </cell>
          <cell r="AX237">
            <v>36.867000579833999</v>
          </cell>
          <cell r="AY237">
            <v>37.243000030517599</v>
          </cell>
          <cell r="AZ237">
            <v>37.637001037597699</v>
          </cell>
          <cell r="BA237">
            <v>37.992000579833999</v>
          </cell>
          <cell r="BB237">
            <v>38.165000915527301</v>
          </cell>
          <cell r="BC237">
            <v>38.042999267578097</v>
          </cell>
          <cell r="BD237">
            <v>37.925998687744098</v>
          </cell>
          <cell r="BE237">
            <v>37.773998260497997</v>
          </cell>
          <cell r="BF237">
            <v>37.595001220703097</v>
          </cell>
          <cell r="BG237">
            <v>37.458000183105497</v>
          </cell>
          <cell r="BH237">
            <v>37.298000335693402</v>
          </cell>
          <cell r="BI237">
            <v>37.106998443603501</v>
          </cell>
          <cell r="BJ237">
            <v>37.193000793457003</v>
          </cell>
          <cell r="BK237">
            <v>37.271999359130902</v>
          </cell>
        </row>
        <row r="238">
          <cell r="B238" t="str">
            <v>TKM</v>
          </cell>
          <cell r="C238" t="str">
            <v>Employment to population ratio, 15+, total (%) (modeled ILO estimate)</v>
          </cell>
          <cell r="D238" t="str">
            <v>SL.EMP.TOTL.SP.ZS</v>
          </cell>
          <cell r="AJ238">
            <v>60.159999847412102</v>
          </cell>
          <cell r="AK238">
            <v>60.331001281738303</v>
          </cell>
          <cell r="AL238">
            <v>60.450000762939503</v>
          </cell>
          <cell r="AM238">
            <v>58.740001678466797</v>
          </cell>
          <cell r="AN238">
            <v>56.708000183105497</v>
          </cell>
          <cell r="AO238">
            <v>55.553001403808601</v>
          </cell>
          <cell r="AP238">
            <v>55.3359985351563</v>
          </cell>
          <cell r="AQ238">
            <v>54.692001342773402</v>
          </cell>
          <cell r="AR238">
            <v>54.426998138427699</v>
          </cell>
          <cell r="AS238">
            <v>55.147998809814503</v>
          </cell>
          <cell r="AT238">
            <v>55.778999328613303</v>
          </cell>
          <cell r="AU238">
            <v>56.318000793457003</v>
          </cell>
          <cell r="AV238">
            <v>56.870998382568402</v>
          </cell>
          <cell r="AW238">
            <v>57.459999084472699</v>
          </cell>
          <cell r="AX238">
            <v>58.036998748779297</v>
          </cell>
          <cell r="AY238">
            <v>58.666000366210902</v>
          </cell>
          <cell r="AZ238">
            <v>59.262001037597699</v>
          </cell>
          <cell r="BA238">
            <v>59.801998138427699</v>
          </cell>
          <cell r="BB238">
            <v>60.207000732421903</v>
          </cell>
          <cell r="BC238">
            <v>60.7560005187988</v>
          </cell>
          <cell r="BD238">
            <v>60.998001098632798</v>
          </cell>
          <cell r="BE238">
            <v>61.2820014953613</v>
          </cell>
          <cell r="BF238">
            <v>61.570999145507798</v>
          </cell>
          <cell r="BG238">
            <v>61.847999572753899</v>
          </cell>
          <cell r="BH238">
            <v>62.0320014953613</v>
          </cell>
          <cell r="BI238">
            <v>62.122001647949197</v>
          </cell>
          <cell r="BJ238">
            <v>62.159999847412102</v>
          </cell>
          <cell r="BK238">
            <v>62.141998291015597</v>
          </cell>
        </row>
        <row r="239">
          <cell r="B239" t="str">
            <v>TLA</v>
          </cell>
          <cell r="C239" t="str">
            <v>Employment to population ratio, 15+, total (%) (modeled ILO estimate)</v>
          </cell>
          <cell r="D239" t="str">
            <v>SL.EMP.TOTL.SP.ZS</v>
          </cell>
          <cell r="AJ239">
            <v>57.77162641799675</v>
          </cell>
          <cell r="AK239">
            <v>58.2156405783034</v>
          </cell>
          <cell r="AL239">
            <v>58.59060448589387</v>
          </cell>
          <cell r="AM239">
            <v>58.496291026528695</v>
          </cell>
          <cell r="AN239">
            <v>57.982547604631122</v>
          </cell>
          <cell r="AO239">
            <v>57.436795196325029</v>
          </cell>
          <cell r="AP239">
            <v>58.156306451085037</v>
          </cell>
          <cell r="AQ239">
            <v>58.06707506310979</v>
          </cell>
          <cell r="AR239">
            <v>57.53574271643091</v>
          </cell>
          <cell r="AS239">
            <v>57.484501163597741</v>
          </cell>
          <cell r="AT239">
            <v>57.836344442964396</v>
          </cell>
          <cell r="AU239">
            <v>57.754115428391678</v>
          </cell>
          <cell r="AV239">
            <v>58.018806052238837</v>
          </cell>
          <cell r="AW239">
            <v>58.837432955162043</v>
          </cell>
          <cell r="AX239">
            <v>59.367958208896006</v>
          </cell>
          <cell r="AY239">
            <v>59.95897171239077</v>
          </cell>
          <cell r="AZ239">
            <v>60.054662747710601</v>
          </cell>
          <cell r="BA239">
            <v>60.282894044483847</v>
          </cell>
          <cell r="BB239">
            <v>59.841601215822507</v>
          </cell>
          <cell r="BC239">
            <v>59.797800761397099</v>
          </cell>
          <cell r="BD239">
            <v>59.782944336183768</v>
          </cell>
          <cell r="BE239">
            <v>60.375556093055799</v>
          </cell>
          <cell r="BF239">
            <v>60.217575648805465</v>
          </cell>
          <cell r="BG239">
            <v>60.08782570449327</v>
          </cell>
          <cell r="BH239">
            <v>59.805524021612641</v>
          </cell>
          <cell r="BI239">
            <v>58.991733555666436</v>
          </cell>
          <cell r="BJ239">
            <v>58.975395239114192</v>
          </cell>
          <cell r="BK239">
            <v>59.185140384132126</v>
          </cell>
        </row>
        <row r="240">
          <cell r="B240" t="str">
            <v>TLS</v>
          </cell>
          <cell r="C240" t="str">
            <v>Employment to population ratio, 15+, total (%) (modeled ILO estimate)</v>
          </cell>
          <cell r="D240" t="str">
            <v>SL.EMP.TOTL.SP.ZS</v>
          </cell>
          <cell r="AJ240">
            <v>71.100997924804702</v>
          </cell>
          <cell r="AK240">
            <v>71.207000732421903</v>
          </cell>
          <cell r="AL240">
            <v>71.3280029296875</v>
          </cell>
          <cell r="AM240">
            <v>71.556999206542997</v>
          </cell>
          <cell r="AN240">
            <v>71.547996520996094</v>
          </cell>
          <cell r="AO240">
            <v>71.416999816894503</v>
          </cell>
          <cell r="AP240">
            <v>71.238998413085895</v>
          </cell>
          <cell r="AQ240">
            <v>71.148002624511705</v>
          </cell>
          <cell r="AR240">
            <v>70.680000305175795</v>
          </cell>
          <cell r="AS240">
            <v>70.1510009765625</v>
          </cell>
          <cell r="AT240">
            <v>69.783996582031307</v>
          </cell>
          <cell r="AU240">
            <v>70.055000305175795</v>
          </cell>
          <cell r="AV240">
            <v>70.111000061035199</v>
          </cell>
          <cell r="AW240">
            <v>67.966003417968807</v>
          </cell>
          <cell r="AX240">
            <v>66.458000183105497</v>
          </cell>
          <cell r="AY240">
            <v>64.625999450683594</v>
          </cell>
          <cell r="AZ240">
            <v>64.220001220703097</v>
          </cell>
          <cell r="BA240">
            <v>63.541000366210902</v>
          </cell>
          <cell r="BB240">
            <v>63.584999084472699</v>
          </cell>
          <cell r="BC240">
            <v>63.502998352050803</v>
          </cell>
          <cell r="BD240">
            <v>62.793998718261697</v>
          </cell>
          <cell r="BE240">
            <v>62.456001281738303</v>
          </cell>
          <cell r="BF240">
            <v>63.034000396728501</v>
          </cell>
          <cell r="BG240">
            <v>64.577003479003906</v>
          </cell>
          <cell r="BH240">
            <v>63.615001678466797</v>
          </cell>
          <cell r="BI240">
            <v>63.584999084472699</v>
          </cell>
          <cell r="BJ240">
            <v>64.280998229980497</v>
          </cell>
          <cell r="BK240">
            <v>64.371002197265597</v>
          </cell>
        </row>
        <row r="241">
          <cell r="B241" t="str">
            <v>TMN</v>
          </cell>
          <cell r="C241" t="str">
            <v>Employment to population ratio, 15+, total (%) (modeled ILO estimate)</v>
          </cell>
          <cell r="D241" t="str">
            <v>SL.EMP.TOTL.SP.ZS</v>
          </cell>
          <cell r="AJ241">
            <v>40.85855994135693</v>
          </cell>
          <cell r="AK241">
            <v>40.619764195339648</v>
          </cell>
          <cell r="AL241">
            <v>40.231127009208322</v>
          </cell>
          <cell r="AM241">
            <v>40.328170228532422</v>
          </cell>
          <cell r="AN241">
            <v>39.832139734903301</v>
          </cell>
          <cell r="AO241">
            <v>39.979399905919863</v>
          </cell>
          <cell r="AP241">
            <v>40.024597750206766</v>
          </cell>
          <cell r="AQ241">
            <v>39.771072331889599</v>
          </cell>
          <cell r="AR241">
            <v>40.009750285635988</v>
          </cell>
          <cell r="AS241">
            <v>39.692443742024707</v>
          </cell>
          <cell r="AT241">
            <v>39.636450182961404</v>
          </cell>
          <cell r="AU241">
            <v>39.494554512219764</v>
          </cell>
          <cell r="AV241">
            <v>39.850400083041436</v>
          </cell>
          <cell r="AW241">
            <v>40.635684562955497</v>
          </cell>
          <cell r="AX241">
            <v>40.616110072326826</v>
          </cell>
          <cell r="AY241">
            <v>40.802962605042218</v>
          </cell>
          <cell r="AZ241">
            <v>40.944906285395035</v>
          </cell>
          <cell r="BA241">
            <v>40.468533974728551</v>
          </cell>
          <cell r="BB241">
            <v>40.518834220209108</v>
          </cell>
          <cell r="BC241">
            <v>40.341674612079366</v>
          </cell>
          <cell r="BD241">
            <v>39.829368827428048</v>
          </cell>
          <cell r="BE241">
            <v>39.61672461650263</v>
          </cell>
          <cell r="BF241">
            <v>39.885513214288643</v>
          </cell>
          <cell r="BG241">
            <v>39.463273677293593</v>
          </cell>
          <cell r="BH241">
            <v>39.19665265849401</v>
          </cell>
          <cell r="BI241">
            <v>39.366656365318931</v>
          </cell>
          <cell r="BJ241">
            <v>39.057195058050496</v>
          </cell>
          <cell r="BK241">
            <v>39.114246348542657</v>
          </cell>
        </row>
        <row r="242">
          <cell r="B242" t="str">
            <v>TON</v>
          </cell>
          <cell r="C242" t="str">
            <v>Employment to population ratio, 15+, total (%) (modeled ILO estimate)</v>
          </cell>
          <cell r="D242" t="str">
            <v>SL.EMP.TOTL.SP.ZS</v>
          </cell>
          <cell r="AJ242">
            <v>56.2960014343262</v>
          </cell>
          <cell r="AK242">
            <v>57.493000030517599</v>
          </cell>
          <cell r="AL242">
            <v>58.547000885009801</v>
          </cell>
          <cell r="AM242">
            <v>59.333000183105497</v>
          </cell>
          <cell r="AN242">
            <v>58.787998199462898</v>
          </cell>
          <cell r="AO242">
            <v>58.450000762939503</v>
          </cell>
          <cell r="AP242">
            <v>58.050998687744098</v>
          </cell>
          <cell r="AQ242">
            <v>57.562999725341797</v>
          </cell>
          <cell r="AR242">
            <v>57.069999694824197</v>
          </cell>
          <cell r="AS242">
            <v>56.719001770019503</v>
          </cell>
          <cell r="AT242">
            <v>56.705001831054702</v>
          </cell>
          <cell r="AU242">
            <v>56.7039985656738</v>
          </cell>
          <cell r="AV242">
            <v>56.756999969482401</v>
          </cell>
          <cell r="AW242">
            <v>58.104000091552699</v>
          </cell>
          <cell r="AX242">
            <v>59.047000885009801</v>
          </cell>
          <cell r="AY242">
            <v>59.808998107910199</v>
          </cell>
          <cell r="AZ242">
            <v>59.937000274658203</v>
          </cell>
          <cell r="BA242">
            <v>59.768001556396499</v>
          </cell>
          <cell r="BB242">
            <v>59.536998748779297</v>
          </cell>
          <cell r="BC242">
            <v>59.344001770019503</v>
          </cell>
          <cell r="BD242">
            <v>59.425998687744098</v>
          </cell>
          <cell r="BE242">
            <v>59.519001007080099</v>
          </cell>
          <cell r="BF242">
            <v>59.622001647949197</v>
          </cell>
          <cell r="BG242">
            <v>59.506999969482401</v>
          </cell>
          <cell r="BH242">
            <v>59.2700004577637</v>
          </cell>
          <cell r="BI242">
            <v>59.1640014648438</v>
          </cell>
          <cell r="BJ242">
            <v>59.111000061035199</v>
          </cell>
          <cell r="BK242">
            <v>59.137001037597699</v>
          </cell>
        </row>
        <row r="243">
          <cell r="B243" t="str">
            <v>TSA</v>
          </cell>
          <cell r="C243" t="str">
            <v>Employment to population ratio, 15+, total (%) (modeled ILO estimate)</v>
          </cell>
          <cell r="D243" t="str">
            <v>SL.EMP.TOTL.SP.ZS</v>
          </cell>
          <cell r="AJ243">
            <v>55.146461759438502</v>
          </cell>
          <cell r="AK243">
            <v>55.054445893307332</v>
          </cell>
          <cell r="AL243">
            <v>54.953904776680162</v>
          </cell>
          <cell r="AM243">
            <v>55.005164104407136</v>
          </cell>
          <cell r="AN243">
            <v>54.787731678750482</v>
          </cell>
          <cell r="AO243">
            <v>54.719576886156716</v>
          </cell>
          <cell r="AP243">
            <v>54.666700350627593</v>
          </cell>
          <cell r="AQ243">
            <v>54.608904150756871</v>
          </cell>
          <cell r="AR243">
            <v>54.471055201873526</v>
          </cell>
          <cell r="AS243">
            <v>54.402653784785052</v>
          </cell>
          <cell r="AT243">
            <v>54.431299938431785</v>
          </cell>
          <cell r="AU243">
            <v>54.438966274164898</v>
          </cell>
          <cell r="AV243">
            <v>54.54478694255247</v>
          </cell>
          <cell r="AW243">
            <v>54.702908318194794</v>
          </cell>
          <cell r="AX243">
            <v>54.798827557271046</v>
          </cell>
          <cell r="AY243">
            <v>54.202218106036568</v>
          </cell>
          <cell r="AZ243">
            <v>53.61293175543377</v>
          </cell>
          <cell r="BA243">
            <v>52.991651392614763</v>
          </cell>
          <cell r="BB243">
            <v>52.257883984031771</v>
          </cell>
          <cell r="BC243">
            <v>51.74831842603048</v>
          </cell>
          <cell r="BD243">
            <v>51.033669508605939</v>
          </cell>
          <cell r="BE243">
            <v>50.324596443341001</v>
          </cell>
          <cell r="BF243">
            <v>49.932778567314841</v>
          </cell>
          <cell r="BG243">
            <v>49.653787681664234</v>
          </cell>
          <cell r="BH243">
            <v>49.350653291145107</v>
          </cell>
          <cell r="BI243">
            <v>49.011990289833378</v>
          </cell>
          <cell r="BJ243">
            <v>48.887479205759448</v>
          </cell>
          <cell r="BK243">
            <v>48.588264799704412</v>
          </cell>
        </row>
        <row r="244">
          <cell r="B244" t="str">
            <v>TSS</v>
          </cell>
          <cell r="C244" t="str">
            <v>Employment to population ratio, 15+, total (%) (modeled ILO estimate)</v>
          </cell>
          <cell r="D244" t="str">
            <v>SL.EMP.TOTL.SP.ZS</v>
          </cell>
          <cell r="AJ244">
            <v>65.865460875448861</v>
          </cell>
          <cell r="AK244">
            <v>65.771987015266347</v>
          </cell>
          <cell r="AL244">
            <v>65.638633568471263</v>
          </cell>
          <cell r="AM244">
            <v>65.563051625724825</v>
          </cell>
          <cell r="AN244">
            <v>65.494849541540233</v>
          </cell>
          <cell r="AO244">
            <v>65.432825592310877</v>
          </cell>
          <cell r="AP244">
            <v>65.389722598859464</v>
          </cell>
          <cell r="AQ244">
            <v>65.355443165596327</v>
          </cell>
          <cell r="AR244">
            <v>65.227471471950068</v>
          </cell>
          <cell r="AS244">
            <v>65.189855646807288</v>
          </cell>
          <cell r="AT244">
            <v>65.152067571906187</v>
          </cell>
          <cell r="AU244">
            <v>64.970327405057432</v>
          </cell>
          <cell r="AV244">
            <v>64.988183474050075</v>
          </cell>
          <cell r="AW244">
            <v>65.148258935481692</v>
          </cell>
          <cell r="AX244">
            <v>65.170396877748743</v>
          </cell>
          <cell r="AY244">
            <v>65.285827511801173</v>
          </cell>
          <cell r="AZ244">
            <v>65.392772664249875</v>
          </cell>
          <cell r="BA244">
            <v>65.513824075538096</v>
          </cell>
          <cell r="BB244">
            <v>65.107167778074086</v>
          </cell>
          <cell r="BC244">
            <v>64.571701188735219</v>
          </cell>
          <cell r="BD244">
            <v>64.525062280081812</v>
          </cell>
          <cell r="BE244">
            <v>64.028867731211562</v>
          </cell>
          <cell r="BF244">
            <v>63.63079347015946</v>
          </cell>
          <cell r="BG244">
            <v>63.365215420914403</v>
          </cell>
          <cell r="BH244">
            <v>63.280830080584522</v>
          </cell>
          <cell r="BI244">
            <v>62.911333546614905</v>
          </cell>
          <cell r="BJ244">
            <v>62.809864295518757</v>
          </cell>
          <cell r="BK244">
            <v>62.807515869976733</v>
          </cell>
        </row>
        <row r="245">
          <cell r="B245" t="str">
            <v>TTO</v>
          </cell>
          <cell r="C245" t="str">
            <v>Employment to population ratio, 15+, total (%) (modeled ILO estimate)</v>
          </cell>
          <cell r="D245" t="str">
            <v>SL.EMP.TOTL.SP.ZS</v>
          </cell>
          <cell r="AJ245">
            <v>55.799999237060497</v>
          </cell>
          <cell r="AK245">
            <v>55.951000213622997</v>
          </cell>
          <cell r="AL245">
            <v>56.055999755859403</v>
          </cell>
          <cell r="AM245">
            <v>57.158000946044901</v>
          </cell>
          <cell r="AN245">
            <v>57.931999206542997</v>
          </cell>
          <cell r="AO245">
            <v>58.794998168945298</v>
          </cell>
          <cell r="AP245">
            <v>59.020999908447301</v>
          </cell>
          <cell r="AQ245">
            <v>59.221000671386697</v>
          </cell>
          <cell r="AR245">
            <v>59.0130004882813</v>
          </cell>
          <cell r="AS245">
            <v>59.0390014648438</v>
          </cell>
          <cell r="AT245">
            <v>59.034000396728501</v>
          </cell>
          <cell r="AU245">
            <v>59.034999847412102</v>
          </cell>
          <cell r="AV245">
            <v>60.198001861572301</v>
          </cell>
          <cell r="AW245">
            <v>61.448001861572301</v>
          </cell>
          <cell r="AX245">
            <v>62.6710014343262</v>
          </cell>
          <cell r="AY245">
            <v>62.856998443603501</v>
          </cell>
          <cell r="AZ245">
            <v>62.812000274658203</v>
          </cell>
          <cell r="BA245">
            <v>62.745998382568402</v>
          </cell>
          <cell r="BB245">
            <v>61.252998352050803</v>
          </cell>
          <cell r="BC245">
            <v>59.943000793457003</v>
          </cell>
          <cell r="BD245">
            <v>59.459999084472699</v>
          </cell>
          <cell r="BE245">
            <v>59.980998992919901</v>
          </cell>
          <cell r="BF245">
            <v>60.679000854492202</v>
          </cell>
          <cell r="BG245">
            <v>61.0929985046387</v>
          </cell>
          <cell r="BH245">
            <v>60.395999908447301</v>
          </cell>
          <cell r="BI245">
            <v>59.312000274658203</v>
          </cell>
          <cell r="BJ245">
            <v>59.067001342773402</v>
          </cell>
          <cell r="BK245">
            <v>58.849998474121101</v>
          </cell>
        </row>
        <row r="246">
          <cell r="B246" t="str">
            <v>TUN</v>
          </cell>
          <cell r="C246" t="str">
            <v>Employment to population ratio, 15+, total (%) (modeled ILO estimate)</v>
          </cell>
          <cell r="D246" t="str">
            <v>SL.EMP.TOTL.SP.ZS</v>
          </cell>
          <cell r="AJ246">
            <v>41.115001678466797</v>
          </cell>
          <cell r="AK246">
            <v>40.941001892089801</v>
          </cell>
          <cell r="AL246">
            <v>40.895999908447301</v>
          </cell>
          <cell r="AM246">
            <v>40.873001098632798</v>
          </cell>
          <cell r="AN246">
            <v>40.834999084472699</v>
          </cell>
          <cell r="AO246">
            <v>40.751998901367202</v>
          </cell>
          <cell r="AP246">
            <v>40.712001800537102</v>
          </cell>
          <cell r="AQ246">
            <v>40.534999847412102</v>
          </cell>
          <cell r="AR246">
            <v>40.308998107910199</v>
          </cell>
          <cell r="AS246">
            <v>40.062000274658203</v>
          </cell>
          <cell r="AT246">
            <v>39.9539985656738</v>
          </cell>
          <cell r="AU246">
            <v>39.5260009765625</v>
          </cell>
          <cell r="AV246">
            <v>39.199001312255902</v>
          </cell>
          <cell r="AW246">
            <v>39</v>
          </cell>
          <cell r="AX246">
            <v>39.307998657226598</v>
          </cell>
          <cell r="AY246">
            <v>39.877998352050803</v>
          </cell>
          <cell r="AZ246">
            <v>40.057998657226598</v>
          </cell>
          <cell r="BA246">
            <v>40.216999053955099</v>
          </cell>
          <cell r="BB246">
            <v>40.185001373291001</v>
          </cell>
          <cell r="BC246">
            <v>40.605998992919901</v>
          </cell>
          <cell r="BD246">
            <v>38.368000030517599</v>
          </cell>
          <cell r="BE246">
            <v>39.249000549316399</v>
          </cell>
          <cell r="BF246">
            <v>39.673999786377003</v>
          </cell>
          <cell r="BG246">
            <v>39.943000793457003</v>
          </cell>
          <cell r="BH246">
            <v>39.7369995117188</v>
          </cell>
          <cell r="BI246">
            <v>39.459999084472699</v>
          </cell>
          <cell r="BJ246">
            <v>39.372001647949197</v>
          </cell>
          <cell r="BK246">
            <v>39.153999328613303</v>
          </cell>
        </row>
        <row r="247">
          <cell r="B247" t="str">
            <v>TUR</v>
          </cell>
          <cell r="C247" t="str">
            <v>Employment to population ratio, 15+, total (%) (modeled ILO estimate)</v>
          </cell>
          <cell r="D247" t="str">
            <v>SL.EMP.TOTL.SP.ZS</v>
          </cell>
          <cell r="AJ247">
            <v>51.810001373291001</v>
          </cell>
          <cell r="AK247">
            <v>50.720001220703097</v>
          </cell>
          <cell r="AL247">
            <v>46.941001892089801</v>
          </cell>
          <cell r="AM247">
            <v>49.402000427246101</v>
          </cell>
          <cell r="AN247">
            <v>49.384998321533203</v>
          </cell>
          <cell r="AO247">
            <v>49.4799995422363</v>
          </cell>
          <cell r="AP247">
            <v>48.1570014953613</v>
          </cell>
          <cell r="AQ247">
            <v>48.269001007080099</v>
          </cell>
          <cell r="AR247">
            <v>47.740001678466797</v>
          </cell>
          <cell r="AS247">
            <v>45.625999450683601</v>
          </cell>
          <cell r="AT247">
            <v>44.527999877929702</v>
          </cell>
          <cell r="AU247">
            <v>43.271999359130902</v>
          </cell>
          <cell r="AV247">
            <v>41.994998931884801</v>
          </cell>
          <cell r="AW247">
            <v>40.979000091552699</v>
          </cell>
          <cell r="AX247">
            <v>41.132999420166001</v>
          </cell>
          <cell r="AY247">
            <v>41.127998352050803</v>
          </cell>
          <cell r="AZ247">
            <v>41.083000183105497</v>
          </cell>
          <cell r="BA247">
            <v>41.340999603271499</v>
          </cell>
          <cell r="BB247">
            <v>40.783000946044901</v>
          </cell>
          <cell r="BC247">
            <v>42.613998413085902</v>
          </cell>
          <cell r="BD247">
            <v>44.493000030517599</v>
          </cell>
          <cell r="BE247">
            <v>44.754001617431598</v>
          </cell>
          <cell r="BF247">
            <v>45.2960014343262</v>
          </cell>
          <cell r="BG247">
            <v>45.159000396728501</v>
          </cell>
          <cell r="BH247">
            <v>45.752998352050803</v>
          </cell>
          <cell r="BI247">
            <v>46.118000030517599</v>
          </cell>
          <cell r="BJ247">
            <v>46.852001190185497</v>
          </cell>
          <cell r="BK247">
            <v>47.158000946044901</v>
          </cell>
        </row>
        <row r="248">
          <cell r="B248" t="str">
            <v>TUV</v>
          </cell>
          <cell r="C248" t="str">
            <v>Employment to population ratio, 15+, total (%) (modeled ILO estimate)</v>
          </cell>
          <cell r="D248" t="str">
            <v>SL.EMP.TOTL.SP.ZS</v>
          </cell>
        </row>
        <row r="249">
          <cell r="B249" t="str">
            <v>TZA</v>
          </cell>
          <cell r="C249" t="str">
            <v>Employment to population ratio, 15+, total (%) (modeled ILO estimate)</v>
          </cell>
          <cell r="D249" t="str">
            <v>SL.EMP.TOTL.SP.ZS</v>
          </cell>
          <cell r="AJ249">
            <v>84.461997985839801</v>
          </cell>
          <cell r="AK249">
            <v>84.476997375488295</v>
          </cell>
          <cell r="AL249">
            <v>84.436996459960895</v>
          </cell>
          <cell r="AM249">
            <v>84.443000793457003</v>
          </cell>
          <cell r="AN249">
            <v>84.429000854492202</v>
          </cell>
          <cell r="AO249">
            <v>84.462997436523395</v>
          </cell>
          <cell r="AP249">
            <v>84.494003295898395</v>
          </cell>
          <cell r="AQ249">
            <v>84.501998901367202</v>
          </cell>
          <cell r="AR249">
            <v>84.469001770019503</v>
          </cell>
          <cell r="AS249">
            <v>84.498001098632798</v>
          </cell>
          <cell r="AT249">
            <v>84.531997680664105</v>
          </cell>
          <cell r="AU249">
            <v>84.736999511718807</v>
          </cell>
          <cell r="AV249">
            <v>84.949996948242202</v>
          </cell>
          <cell r="AW249">
            <v>85.182998657226605</v>
          </cell>
          <cell r="AX249">
            <v>85.412002563476605</v>
          </cell>
          <cell r="AY249">
            <v>85.679000854492202</v>
          </cell>
          <cell r="AZ249">
            <v>85.616996765136705</v>
          </cell>
          <cell r="BA249">
            <v>85.432998657226605</v>
          </cell>
          <cell r="BB249">
            <v>85.023002624511705</v>
          </cell>
          <cell r="BC249">
            <v>84.065002441406307</v>
          </cell>
          <cell r="BD249">
            <v>83.061996459960895</v>
          </cell>
          <cell r="BE249">
            <v>82.663002014160199</v>
          </cell>
          <cell r="BF249">
            <v>82.186996459960895</v>
          </cell>
          <cell r="BG249">
            <v>82.088996887207003</v>
          </cell>
          <cell r="BH249">
            <v>82.0780029296875</v>
          </cell>
          <cell r="BI249">
            <v>82.023002624511705</v>
          </cell>
          <cell r="BJ249">
            <v>81.967002868652301</v>
          </cell>
          <cell r="BK249">
            <v>81.888000488281307</v>
          </cell>
        </row>
        <row r="250">
          <cell r="B250" t="str">
            <v>UGA</v>
          </cell>
          <cell r="C250" t="str">
            <v>Employment to population ratio, 15+, total (%) (modeled ILO estimate)</v>
          </cell>
          <cell r="D250" t="str">
            <v>SL.EMP.TOTL.SP.ZS</v>
          </cell>
          <cell r="AJ250">
            <v>69.349998474121094</v>
          </cell>
          <cell r="AK250">
            <v>69.386001586914105</v>
          </cell>
          <cell r="AL250">
            <v>69.265998840332003</v>
          </cell>
          <cell r="AM250">
            <v>69.153999328613295</v>
          </cell>
          <cell r="AN250">
            <v>69.041999816894503</v>
          </cell>
          <cell r="AO250">
            <v>68.900001525878906</v>
          </cell>
          <cell r="AP250">
            <v>68.759002685546903</v>
          </cell>
          <cell r="AQ250">
            <v>68.609001159667997</v>
          </cell>
          <cell r="AR250">
            <v>68.428001403808594</v>
          </cell>
          <cell r="AS250">
            <v>68.277000427246094</v>
          </cell>
          <cell r="AT250">
            <v>68.125999450683594</v>
          </cell>
          <cell r="AU250">
            <v>67.930000305175795</v>
          </cell>
          <cell r="AV250">
            <v>67.925003051757798</v>
          </cell>
          <cell r="AW250">
            <v>68.636001586914105</v>
          </cell>
          <cell r="AX250">
            <v>69.251998901367202</v>
          </cell>
          <cell r="AY250">
            <v>69.125999450683594</v>
          </cell>
          <cell r="AZ250">
            <v>68.981002807617202</v>
          </cell>
          <cell r="BA250">
            <v>68.781997680664105</v>
          </cell>
          <cell r="BB250">
            <v>68.347999572753906</v>
          </cell>
          <cell r="BC250">
            <v>68.406997680664105</v>
          </cell>
          <cell r="BD250">
            <v>68.518997192382798</v>
          </cell>
          <cell r="BE250">
            <v>68.627998352050795</v>
          </cell>
          <cell r="BF250">
            <v>69.706001281738295</v>
          </cell>
          <cell r="BG250">
            <v>69.608001708984403</v>
          </cell>
          <cell r="BH250">
            <v>69.492996215820298</v>
          </cell>
          <cell r="BI250">
            <v>69.360000610351605</v>
          </cell>
          <cell r="BJ250">
            <v>69.230003356933594</v>
          </cell>
          <cell r="BK250">
            <v>69.055000305175795</v>
          </cell>
        </row>
        <row r="251">
          <cell r="B251" t="str">
            <v>UKR</v>
          </cell>
          <cell r="C251" t="str">
            <v>Employment to population ratio, 15+, total (%) (modeled ILO estimate)</v>
          </cell>
          <cell r="D251" t="str">
            <v>SL.EMP.TOTL.SP.ZS</v>
          </cell>
          <cell r="AJ251">
            <v>58.993000030517599</v>
          </cell>
          <cell r="AK251">
            <v>58.737998962402301</v>
          </cell>
          <cell r="AL251">
            <v>58.490001678466797</v>
          </cell>
          <cell r="AM251">
            <v>58.5320014953613</v>
          </cell>
          <cell r="AN251">
            <v>56.438999176025398</v>
          </cell>
          <cell r="AO251">
            <v>54.543998718261697</v>
          </cell>
          <cell r="AP251">
            <v>52.997001647949197</v>
          </cell>
          <cell r="AQ251">
            <v>50.775001525878899</v>
          </cell>
          <cell r="AR251">
            <v>49.563999176025398</v>
          </cell>
          <cell r="AS251">
            <v>50.305000305175803</v>
          </cell>
          <cell r="AT251">
            <v>49.7820014953613</v>
          </cell>
          <cell r="AU251">
            <v>50.0929985046387</v>
          </cell>
          <cell r="AV251">
            <v>50.486000061035199</v>
          </cell>
          <cell r="AW251">
            <v>50.499000549316399</v>
          </cell>
          <cell r="AX251">
            <v>51.145999908447301</v>
          </cell>
          <cell r="AY251">
            <v>51.219001770019503</v>
          </cell>
          <cell r="AZ251">
            <v>51.388999938964801</v>
          </cell>
          <cell r="BA251">
            <v>51.362998962402301</v>
          </cell>
          <cell r="BB251">
            <v>50.082000732421903</v>
          </cell>
          <cell r="BC251">
            <v>50.5460014343262</v>
          </cell>
          <cell r="BD251">
            <v>50.918998718261697</v>
          </cell>
          <cell r="BE251">
            <v>50.830001831054702</v>
          </cell>
          <cell r="BF251">
            <v>51.640998840332003</v>
          </cell>
          <cell r="BG251">
            <v>49.369998931884801</v>
          </cell>
          <cell r="BH251">
            <v>49.737998962402301</v>
          </cell>
          <cell r="BI251">
            <v>49.436000823974602</v>
          </cell>
          <cell r="BJ251">
            <v>49.306999206542997</v>
          </cell>
          <cell r="BK251">
            <v>49.603000640869098</v>
          </cell>
        </row>
        <row r="252">
          <cell r="B252" t="str">
            <v>UMC</v>
          </cell>
          <cell r="C252" t="str">
            <v>Employment to population ratio, 15+, total (%) (modeled ILO estimate)</v>
          </cell>
          <cell r="D252" t="str">
            <v>SL.EMP.TOTL.SP.ZS</v>
          </cell>
          <cell r="AJ252">
            <v>68.267278488671508</v>
          </cell>
          <cell r="AK252">
            <v>68.191644757238677</v>
          </cell>
          <cell r="AL252">
            <v>67.74483923227335</v>
          </cell>
          <cell r="AM252">
            <v>67.297315215365288</v>
          </cell>
          <cell r="AN252">
            <v>66.861380913967423</v>
          </cell>
          <cell r="AO252">
            <v>66.491392394820807</v>
          </cell>
          <cell r="AP252">
            <v>66.243905348464338</v>
          </cell>
          <cell r="AQ252">
            <v>65.837792392641632</v>
          </cell>
          <cell r="AR252">
            <v>65.65307293254476</v>
          </cell>
          <cell r="AS252">
            <v>65.472654076805625</v>
          </cell>
          <cell r="AT252">
            <v>64.849473070769392</v>
          </cell>
          <cell r="AU252">
            <v>64.188589682265913</v>
          </cell>
          <cell r="AV252">
            <v>63.629568653978843</v>
          </cell>
          <cell r="AW252">
            <v>63.508313839857138</v>
          </cell>
          <cell r="AX252">
            <v>63.29377001588896</v>
          </cell>
          <cell r="AY252">
            <v>63.177877714375349</v>
          </cell>
          <cell r="AZ252">
            <v>63.107831541649183</v>
          </cell>
          <cell r="BA252">
            <v>62.872341109129806</v>
          </cell>
          <cell r="BB252">
            <v>62.354750954111026</v>
          </cell>
          <cell r="BC252">
            <v>62.110380619078086</v>
          </cell>
          <cell r="BD252">
            <v>62.079966122543077</v>
          </cell>
          <cell r="BE252">
            <v>62.08294002221227</v>
          </cell>
          <cell r="BF252">
            <v>61.874708431044496</v>
          </cell>
          <cell r="BG252">
            <v>61.599203035254632</v>
          </cell>
          <cell r="BH252">
            <v>61.368620344100222</v>
          </cell>
          <cell r="BI252">
            <v>61.000007790420007</v>
          </cell>
          <cell r="BJ252">
            <v>60.776799176698447</v>
          </cell>
          <cell r="BK252">
            <v>60.634310995360046</v>
          </cell>
        </row>
        <row r="253">
          <cell r="B253" t="str">
            <v>URY</v>
          </cell>
          <cell r="C253" t="str">
            <v>Employment to population ratio, 15+, total (%) (modeled ILO estimate)</v>
          </cell>
          <cell r="D253" t="str">
            <v>SL.EMP.TOTL.SP.ZS</v>
          </cell>
          <cell r="AJ253">
            <v>54.9210014343262</v>
          </cell>
          <cell r="AK253">
            <v>55.556999206542997</v>
          </cell>
          <cell r="AL253">
            <v>54.595001220703097</v>
          </cell>
          <cell r="AM253">
            <v>55.458999633789098</v>
          </cell>
          <cell r="AN253">
            <v>56.120998382568402</v>
          </cell>
          <cell r="AO253">
            <v>56.148998260497997</v>
          </cell>
          <cell r="AP253">
            <v>56.273998260497997</v>
          </cell>
          <cell r="AQ253">
            <v>56.4539985656738</v>
          </cell>
          <cell r="AR253">
            <v>55.383998870849602</v>
          </cell>
          <cell r="AS253">
            <v>54.380001068115199</v>
          </cell>
          <cell r="AT253">
            <v>54.134998321533203</v>
          </cell>
          <cell r="AU253">
            <v>52.176998138427699</v>
          </cell>
          <cell r="AV253">
            <v>51.875999450683601</v>
          </cell>
          <cell r="AW253">
            <v>54.106998443603501</v>
          </cell>
          <cell r="AX253">
            <v>54.965000152587898</v>
          </cell>
          <cell r="AY253">
            <v>56.757999420166001</v>
          </cell>
          <cell r="AZ253">
            <v>58.826000213622997</v>
          </cell>
          <cell r="BA253">
            <v>60.234001159667997</v>
          </cell>
          <cell r="BB253">
            <v>60.676998138427699</v>
          </cell>
          <cell r="BC253">
            <v>60.793998718261697</v>
          </cell>
          <cell r="BD253">
            <v>61.707000732421903</v>
          </cell>
          <cell r="BE253">
            <v>61.166999816894503</v>
          </cell>
          <cell r="BF253">
            <v>60.702999114990199</v>
          </cell>
          <cell r="BG253">
            <v>61.105998992919901</v>
          </cell>
          <cell r="BH253">
            <v>60.099998474121101</v>
          </cell>
          <cell r="BI253">
            <v>59.606998443603501</v>
          </cell>
          <cell r="BJ253">
            <v>59.145999908447301</v>
          </cell>
          <cell r="BK253">
            <v>58.573001861572301</v>
          </cell>
        </row>
        <row r="254">
          <cell r="B254" t="str">
            <v>USA</v>
          </cell>
          <cell r="C254" t="str">
            <v>Employment to population ratio, 15+, total (%) (modeled ILO estimate)</v>
          </cell>
          <cell r="D254" t="str">
            <v>SL.EMP.TOTL.SP.ZS</v>
          </cell>
          <cell r="AJ254">
            <v>60.639999389648402</v>
          </cell>
          <cell r="AK254">
            <v>60.432998657226598</v>
          </cell>
          <cell r="AL254">
            <v>60.7299995422363</v>
          </cell>
          <cell r="AM254">
            <v>61.662998199462898</v>
          </cell>
          <cell r="AN254">
            <v>62.106998443603501</v>
          </cell>
          <cell r="AO254">
            <v>62.403999328613303</v>
          </cell>
          <cell r="AP254">
            <v>63.009998321533203</v>
          </cell>
          <cell r="AQ254">
            <v>63.306999206542997</v>
          </cell>
          <cell r="AR254">
            <v>63.560001373291001</v>
          </cell>
          <cell r="AS254">
            <v>63.764999389648402</v>
          </cell>
          <cell r="AT254">
            <v>62.923999786377003</v>
          </cell>
          <cell r="AU254">
            <v>61.8950004577637</v>
          </cell>
          <cell r="AV254">
            <v>61.386001586914098</v>
          </cell>
          <cell r="AW254">
            <v>61.424999237060497</v>
          </cell>
          <cell r="AX254">
            <v>61.735000610351598</v>
          </cell>
          <cell r="AY254">
            <v>62.139999389648402</v>
          </cell>
          <cell r="AZ254">
            <v>61.970001220703097</v>
          </cell>
          <cell r="BA254">
            <v>61.208000183105497</v>
          </cell>
          <cell r="BB254">
            <v>58.3549995422363</v>
          </cell>
          <cell r="BC254">
            <v>57.444999694824197</v>
          </cell>
          <cell r="BD254">
            <v>57.3619995117188</v>
          </cell>
          <cell r="BE254">
            <v>57.958999633789098</v>
          </cell>
          <cell r="BF254">
            <v>57.891998291015597</v>
          </cell>
          <cell r="BG254">
            <v>58.360000610351598</v>
          </cell>
          <cell r="BH254">
            <v>58.733001708984403</v>
          </cell>
          <cell r="BI254">
            <v>59.1310005187988</v>
          </cell>
          <cell r="BJ254">
            <v>59.581001281738303</v>
          </cell>
          <cell r="BK254">
            <v>59.884998321533203</v>
          </cell>
        </row>
        <row r="255">
          <cell r="B255" t="str">
            <v>UZB</v>
          </cell>
          <cell r="C255" t="str">
            <v>Employment to population ratio, 15+, total (%) (modeled ILO estimate)</v>
          </cell>
          <cell r="D255" t="str">
            <v>SL.EMP.TOTL.SP.ZS</v>
          </cell>
          <cell r="AJ255">
            <v>60.299999237060497</v>
          </cell>
          <cell r="AK255">
            <v>59.918998718261697</v>
          </cell>
          <cell r="AL255">
            <v>58.812999725341797</v>
          </cell>
          <cell r="AM255">
            <v>57.471000671386697</v>
          </cell>
          <cell r="AN255">
            <v>57.252998352050803</v>
          </cell>
          <cell r="AO255">
            <v>55.507999420166001</v>
          </cell>
          <cell r="AP255">
            <v>55.417999267578097</v>
          </cell>
          <cell r="AQ255">
            <v>53.962001800537102</v>
          </cell>
          <cell r="AR255">
            <v>53.988998413085902</v>
          </cell>
          <cell r="AS255">
            <v>54.7820014953613</v>
          </cell>
          <cell r="AT255">
            <v>55.518001556396499</v>
          </cell>
          <cell r="AU255">
            <v>56.1570014953613</v>
          </cell>
          <cell r="AV255">
            <v>56.826000213622997</v>
          </cell>
          <cell r="AW255">
            <v>57.513999938964801</v>
          </cell>
          <cell r="AX255">
            <v>58.209999084472699</v>
          </cell>
          <cell r="AY255">
            <v>58.930999755859403</v>
          </cell>
          <cell r="AZ255">
            <v>59.603000640869098</v>
          </cell>
          <cell r="BA255">
            <v>59.813999176025398</v>
          </cell>
          <cell r="BB255">
            <v>59.904998779296903</v>
          </cell>
          <cell r="BC255">
            <v>59.922000885009801</v>
          </cell>
          <cell r="BD255">
            <v>60.430000305175803</v>
          </cell>
          <cell r="BE255">
            <v>60.7630004882813</v>
          </cell>
          <cell r="BF255">
            <v>61.050998687744098</v>
          </cell>
          <cell r="BG255">
            <v>61.1640014648438</v>
          </cell>
          <cell r="BH255">
            <v>61.341999053955099</v>
          </cell>
          <cell r="BI255">
            <v>61.490001678466797</v>
          </cell>
          <cell r="BJ255">
            <v>61.182998657226598</v>
          </cell>
          <cell r="BK255">
            <v>61.324001312255902</v>
          </cell>
        </row>
        <row r="256">
          <cell r="B256" t="str">
            <v>VCT</v>
          </cell>
          <cell r="C256" t="str">
            <v>Employment to population ratio, 15+, total (%) (modeled ILO estimate)</v>
          </cell>
          <cell r="D256" t="str">
            <v>SL.EMP.TOTL.SP.ZS</v>
          </cell>
          <cell r="AJ256">
            <v>50.222999572753899</v>
          </cell>
          <cell r="AK256">
            <v>50.411998748779297</v>
          </cell>
          <cell r="AL256">
            <v>50.480998992919901</v>
          </cell>
          <cell r="AM256">
            <v>50.522998809814503</v>
          </cell>
          <cell r="AN256">
            <v>50.757999420166001</v>
          </cell>
          <cell r="AO256">
            <v>50.8689994812012</v>
          </cell>
          <cell r="AP256">
            <v>51.054000854492202</v>
          </cell>
          <cell r="AQ256">
            <v>51.221000671386697</v>
          </cell>
          <cell r="AR256">
            <v>51.258998870849602</v>
          </cell>
          <cell r="AS256">
            <v>51.3429985046387</v>
          </cell>
          <cell r="AT256">
            <v>51.5</v>
          </cell>
          <cell r="AU256">
            <v>51.872001647949197</v>
          </cell>
          <cell r="AV256">
            <v>52.321998596191399</v>
          </cell>
          <cell r="AW256">
            <v>52.766998291015597</v>
          </cell>
          <cell r="AX256">
            <v>53.199001312255902</v>
          </cell>
          <cell r="AY256">
            <v>53.640998840332003</v>
          </cell>
          <cell r="AZ256">
            <v>53.923999786377003</v>
          </cell>
          <cell r="BA256">
            <v>54.008998870849602</v>
          </cell>
          <cell r="BB256">
            <v>53.442001342773402</v>
          </cell>
          <cell r="BC256">
            <v>53.101001739502003</v>
          </cell>
          <cell r="BD256">
            <v>53.111000061035199</v>
          </cell>
          <cell r="BE256">
            <v>53.127998352050803</v>
          </cell>
          <cell r="BF256">
            <v>53.103000640869098</v>
          </cell>
          <cell r="BG256">
            <v>53.106998443603501</v>
          </cell>
          <cell r="BH256">
            <v>53.041000366210902</v>
          </cell>
          <cell r="BI256">
            <v>53.127998352050803</v>
          </cell>
          <cell r="BJ256">
            <v>53.2700004577637</v>
          </cell>
          <cell r="BK256">
            <v>53.445999145507798</v>
          </cell>
        </row>
        <row r="257">
          <cell r="B257" t="str">
            <v>VEN</v>
          </cell>
          <cell r="C257" t="str">
            <v>Employment to population ratio, 15+, total (%) (modeled ILO estimate)</v>
          </cell>
          <cell r="D257" t="str">
            <v>SL.EMP.TOTL.SP.ZS</v>
          </cell>
          <cell r="AJ257">
            <v>56.542999267578097</v>
          </cell>
          <cell r="AK257">
            <v>57.9679985046387</v>
          </cell>
          <cell r="AL257">
            <v>58.724998474121101</v>
          </cell>
          <cell r="AM257">
            <v>57.433998107910199</v>
          </cell>
          <cell r="AN257">
            <v>56.602001190185497</v>
          </cell>
          <cell r="AO257">
            <v>55.669998168945298</v>
          </cell>
          <cell r="AP257">
            <v>56.370998382568402</v>
          </cell>
          <cell r="AQ257">
            <v>56.422000885009801</v>
          </cell>
          <cell r="AR257">
            <v>54.030998229980497</v>
          </cell>
          <cell r="AS257">
            <v>54.558998107910199</v>
          </cell>
          <cell r="AT257">
            <v>55.319999694824197</v>
          </cell>
          <cell r="AU257">
            <v>52.923000335693402</v>
          </cell>
          <cell r="AV257">
            <v>52.179000854492202</v>
          </cell>
          <cell r="AW257">
            <v>54.023998260497997</v>
          </cell>
          <cell r="AX257">
            <v>57.308998107910199</v>
          </cell>
          <cell r="AY257">
            <v>59.277999877929702</v>
          </cell>
          <cell r="AZ257">
            <v>59.715000152587898</v>
          </cell>
          <cell r="BA257">
            <v>60.244998931884801</v>
          </cell>
          <cell r="BB257">
            <v>60.090999603271499</v>
          </cell>
          <cell r="BC257">
            <v>59.254001617431598</v>
          </cell>
          <cell r="BD257">
            <v>59.194999694824197</v>
          </cell>
          <cell r="BE257">
            <v>58.926998138427699</v>
          </cell>
          <cell r="BF257">
            <v>58.389999389648402</v>
          </cell>
          <cell r="BG257">
            <v>58.2820014953613</v>
          </cell>
          <cell r="BH257">
            <v>58.087001800537102</v>
          </cell>
          <cell r="BI257">
            <v>57.3689994812012</v>
          </cell>
          <cell r="BJ257">
            <v>56.683998107910199</v>
          </cell>
          <cell r="BK257">
            <v>55.779998779296903</v>
          </cell>
        </row>
        <row r="258">
          <cell r="B258" t="str">
            <v>VGB</v>
          </cell>
          <cell r="C258" t="str">
            <v>Employment to population ratio, 15+, total (%) (modeled ILO estimate)</v>
          </cell>
          <cell r="D258" t="str">
            <v>SL.EMP.TOTL.SP.ZS</v>
          </cell>
        </row>
        <row r="259">
          <cell r="B259" t="str">
            <v>VIR</v>
          </cell>
          <cell r="C259" t="str">
            <v>Employment to population ratio, 15+, total (%) (modeled ILO estimate)</v>
          </cell>
          <cell r="D259" t="str">
            <v>SL.EMP.TOTL.SP.ZS</v>
          </cell>
          <cell r="AJ259">
            <v>60.096000671386697</v>
          </cell>
          <cell r="AK259">
            <v>59.780998229980497</v>
          </cell>
          <cell r="AL259">
            <v>59.354000091552699</v>
          </cell>
          <cell r="AM259">
            <v>59.268001556396499</v>
          </cell>
          <cell r="AN259">
            <v>59.252998352050803</v>
          </cell>
          <cell r="AO259">
            <v>59.102001190185497</v>
          </cell>
          <cell r="AP259">
            <v>59.090999603271499</v>
          </cell>
          <cell r="AQ259">
            <v>59.152999877929702</v>
          </cell>
          <cell r="AR259">
            <v>58.787998199462898</v>
          </cell>
          <cell r="AS259">
            <v>58.596000671386697</v>
          </cell>
          <cell r="AT259">
            <v>58.507999420166001</v>
          </cell>
          <cell r="AU259">
            <v>58.352001190185497</v>
          </cell>
          <cell r="AV259">
            <v>58.273998260497997</v>
          </cell>
          <cell r="AW259">
            <v>58.363998413085902</v>
          </cell>
          <cell r="AX259">
            <v>58.5130004882813</v>
          </cell>
          <cell r="AY259">
            <v>58.758998870849602</v>
          </cell>
          <cell r="AZ259">
            <v>58.956001281738303</v>
          </cell>
          <cell r="BA259">
            <v>58.722000122070298</v>
          </cell>
          <cell r="BB259">
            <v>57.3619995117188</v>
          </cell>
          <cell r="BC259">
            <v>56.9210014343262</v>
          </cell>
          <cell r="BD259">
            <v>56.652999877929702</v>
          </cell>
          <cell r="BE259">
            <v>56.2039985656738</v>
          </cell>
          <cell r="BF259">
            <v>55.705001831054702</v>
          </cell>
          <cell r="BG259">
            <v>55.588001251220703</v>
          </cell>
          <cell r="BH259">
            <v>55.534999847412102</v>
          </cell>
          <cell r="BI259">
            <v>55.533000946044901</v>
          </cell>
          <cell r="BJ259">
            <v>55.575000762939503</v>
          </cell>
          <cell r="BK259">
            <v>55.611000061035199</v>
          </cell>
        </row>
        <row r="260">
          <cell r="B260" t="str">
            <v>VNM</v>
          </cell>
          <cell r="C260" t="str">
            <v>Employment to population ratio, 15+, total (%) (modeled ILO estimate)</v>
          </cell>
          <cell r="D260" t="str">
            <v>SL.EMP.TOTL.SP.ZS</v>
          </cell>
          <cell r="AJ260">
            <v>75.355003356933594</v>
          </cell>
          <cell r="AK260">
            <v>75.311996459960895</v>
          </cell>
          <cell r="AL260">
            <v>75.259002685546903</v>
          </cell>
          <cell r="AM260">
            <v>75.207000732421903</v>
          </cell>
          <cell r="AN260">
            <v>75.122001647949205</v>
          </cell>
          <cell r="AO260">
            <v>75.030998229980497</v>
          </cell>
          <cell r="AP260">
            <v>74.240997314453097</v>
          </cell>
          <cell r="AQ260">
            <v>74.665000915527301</v>
          </cell>
          <cell r="AR260">
            <v>74.636001586914105</v>
          </cell>
          <cell r="AS260">
            <v>74.637001037597699</v>
          </cell>
          <cell r="AT260">
            <v>74.233001708984403</v>
          </cell>
          <cell r="AU260">
            <v>74.696998596191406</v>
          </cell>
          <cell r="AV260">
            <v>74.555999755859403</v>
          </cell>
          <cell r="AW260">
            <v>74.575996398925795</v>
          </cell>
          <cell r="AX260">
            <v>74.509002685546903</v>
          </cell>
          <cell r="AY260">
            <v>74.492996215820298</v>
          </cell>
          <cell r="AZ260">
            <v>74.461997985839801</v>
          </cell>
          <cell r="BA260">
            <v>74.612998962402301</v>
          </cell>
          <cell r="BB260">
            <v>74.663002014160199</v>
          </cell>
          <cell r="BC260">
            <v>75.441001892089801</v>
          </cell>
          <cell r="BD260">
            <v>75.772003173828097</v>
          </cell>
          <cell r="BE260">
            <v>75.986999511718807</v>
          </cell>
          <cell r="BF260">
            <v>76.730003356933594</v>
          </cell>
          <cell r="BG260">
            <v>76.936996459960895</v>
          </cell>
          <cell r="BH260">
            <v>76.507003784179702</v>
          </cell>
          <cell r="BI260">
            <v>76.073997497558594</v>
          </cell>
          <cell r="BJ260">
            <v>76.161003112792997</v>
          </cell>
          <cell r="BK260">
            <v>75.995002746582003</v>
          </cell>
        </row>
        <row r="261">
          <cell r="B261" t="str">
            <v>VUT</v>
          </cell>
          <cell r="C261" t="str">
            <v>Employment to population ratio, 15+, total (%) (modeled ILO estimate)</v>
          </cell>
          <cell r="D261" t="str">
            <v>SL.EMP.TOTL.SP.ZS</v>
          </cell>
          <cell r="AJ261">
            <v>66.509002685546903</v>
          </cell>
          <cell r="AK261">
            <v>66.481002807617202</v>
          </cell>
          <cell r="AL261">
            <v>66.507003784179702</v>
          </cell>
          <cell r="AM261">
            <v>66.244003295898395</v>
          </cell>
          <cell r="AN261">
            <v>66.299003601074205</v>
          </cell>
          <cell r="AO261">
            <v>66.217002868652301</v>
          </cell>
          <cell r="AP261">
            <v>66.029998779296903</v>
          </cell>
          <cell r="AQ261">
            <v>65.866996765136705</v>
          </cell>
          <cell r="AR261">
            <v>65.871002197265597</v>
          </cell>
          <cell r="AS261">
            <v>65.725997924804702</v>
          </cell>
          <cell r="AT261">
            <v>66.013999938964801</v>
          </cell>
          <cell r="AU261">
            <v>66.373001098632798</v>
          </cell>
          <cell r="AV261">
            <v>66.374000549316406</v>
          </cell>
          <cell r="AW261">
            <v>66.422996520996094</v>
          </cell>
          <cell r="AX261">
            <v>66.413002014160199</v>
          </cell>
          <cell r="AY261">
            <v>66.277999877929702</v>
          </cell>
          <cell r="AZ261">
            <v>66.319999694824205</v>
          </cell>
          <cell r="BA261">
            <v>66.334999084472699</v>
          </cell>
          <cell r="BB261">
            <v>66.323997497558594</v>
          </cell>
          <cell r="BC261">
            <v>66.487998962402301</v>
          </cell>
          <cell r="BD261">
            <v>66.463996887207003</v>
          </cell>
          <cell r="BE261">
            <v>66.416999816894503</v>
          </cell>
          <cell r="BF261">
            <v>66.412002563476605</v>
          </cell>
          <cell r="BG261">
            <v>66.511001586914105</v>
          </cell>
          <cell r="BH261">
            <v>66.759002685546903</v>
          </cell>
          <cell r="BI261">
            <v>66.791000366210895</v>
          </cell>
          <cell r="BJ261">
            <v>66.809997558593807</v>
          </cell>
          <cell r="BK261">
            <v>66.855003356933594</v>
          </cell>
        </row>
        <row r="262">
          <cell r="B262" t="str">
            <v>WLD</v>
          </cell>
          <cell r="C262" t="str">
            <v>Employment to population ratio, 15+, total (%) (modeled ILO estimate)</v>
          </cell>
          <cell r="D262" t="str">
            <v>SL.EMP.TOTL.SP.ZS</v>
          </cell>
          <cell r="AJ262">
            <v>62.39645856764492</v>
          </cell>
          <cell r="AK262">
            <v>62.266826396381006</v>
          </cell>
          <cell r="AL262">
            <v>61.918158541800885</v>
          </cell>
          <cell r="AM262">
            <v>61.757194539305928</v>
          </cell>
          <cell r="AN262">
            <v>61.541911693376001</v>
          </cell>
          <cell r="AO262">
            <v>61.35730503220244</v>
          </cell>
          <cell r="AP262">
            <v>61.26837082045914</v>
          </cell>
          <cell r="AQ262">
            <v>61.056891684275975</v>
          </cell>
          <cell r="AR262">
            <v>60.982841676142385</v>
          </cell>
          <cell r="AS262">
            <v>60.940833538582339</v>
          </cell>
          <cell r="AT262">
            <v>60.616942846386628</v>
          </cell>
          <cell r="AU262">
            <v>60.228440241885444</v>
          </cell>
          <cell r="AV262">
            <v>59.988006297100334</v>
          </cell>
          <cell r="AW262">
            <v>59.992811173507718</v>
          </cell>
          <cell r="AX262">
            <v>59.949600885286458</v>
          </cell>
          <cell r="AY262">
            <v>59.884841898373836</v>
          </cell>
          <cell r="AZ262">
            <v>59.883635447231207</v>
          </cell>
          <cell r="BA262">
            <v>59.659846920155594</v>
          </cell>
          <cell r="BB262">
            <v>58.997974470188744</v>
          </cell>
          <cell r="BC262">
            <v>58.73677272246136</v>
          </cell>
          <cell r="BD262">
            <v>58.581163567538113</v>
          </cell>
          <cell r="BE262">
            <v>58.405117904438235</v>
          </cell>
          <cell r="BF262">
            <v>58.17208468825838</v>
          </cell>
          <cell r="BG262">
            <v>58.032121922790253</v>
          </cell>
          <cell r="BH262">
            <v>57.873433178424847</v>
          </cell>
          <cell r="BI262">
            <v>57.674950386564973</v>
          </cell>
          <cell r="BJ262">
            <v>57.609143721619532</v>
          </cell>
          <cell r="BK262">
            <v>57.582095713238616</v>
          </cell>
        </row>
        <row r="263">
          <cell r="B263" t="str">
            <v>WSM</v>
          </cell>
          <cell r="C263" t="str">
            <v>Employment to population ratio, 15+, total (%) (modeled ILO estimate)</v>
          </cell>
          <cell r="D263" t="str">
            <v>SL.EMP.TOTL.SP.ZS</v>
          </cell>
          <cell r="AJ263">
            <v>44.214000701904297</v>
          </cell>
          <cell r="AK263">
            <v>44.459999084472699</v>
          </cell>
          <cell r="AL263">
            <v>44.389999389648402</v>
          </cell>
          <cell r="AM263">
            <v>44.512001037597699</v>
          </cell>
          <cell r="AN263">
            <v>44.106998443603501</v>
          </cell>
          <cell r="AO263">
            <v>43.970001220703097</v>
          </cell>
          <cell r="AP263">
            <v>44.094001770019503</v>
          </cell>
          <cell r="AQ263">
            <v>44.068000793457003</v>
          </cell>
          <cell r="AR263">
            <v>43.942001342773402</v>
          </cell>
          <cell r="AS263">
            <v>43.568000793457003</v>
          </cell>
          <cell r="AT263">
            <v>43.219001770019503</v>
          </cell>
          <cell r="AU263">
            <v>43.067001342773402</v>
          </cell>
          <cell r="AV263">
            <v>42.879001617431598</v>
          </cell>
          <cell r="AW263">
            <v>42.646999359130902</v>
          </cell>
          <cell r="AX263">
            <v>42.386001586914098</v>
          </cell>
          <cell r="AY263">
            <v>42.283000946044901</v>
          </cell>
          <cell r="AZ263">
            <v>41.957000732421903</v>
          </cell>
          <cell r="BA263">
            <v>41.813999176025398</v>
          </cell>
          <cell r="BB263">
            <v>41.818000793457003</v>
          </cell>
          <cell r="BC263">
            <v>41.683998107910199</v>
          </cell>
          <cell r="BD263">
            <v>41.508998870849602</v>
          </cell>
          <cell r="BE263">
            <v>40.278999328613303</v>
          </cell>
          <cell r="BF263">
            <v>40.486000061035199</v>
          </cell>
          <cell r="BG263">
            <v>40.580001831054702</v>
          </cell>
          <cell r="BH263">
            <v>40.643001556396499</v>
          </cell>
          <cell r="BI263">
            <v>40.339000701904297</v>
          </cell>
          <cell r="BJ263">
            <v>40.248001098632798</v>
          </cell>
          <cell r="BK263">
            <v>40.2109985351563</v>
          </cell>
        </row>
        <row r="264">
          <cell r="B264" t="str">
            <v>XKX</v>
          </cell>
          <cell r="C264" t="str">
            <v>Employment to population ratio, 15+, total (%) (modeled ILO estimate)</v>
          </cell>
          <cell r="D264" t="str">
            <v>SL.EMP.TOTL.SP.ZS</v>
          </cell>
        </row>
        <row r="265">
          <cell r="B265" t="str">
            <v>YEM</v>
          </cell>
          <cell r="C265" t="str">
            <v>Employment to population ratio, 15+, total (%) (modeled ILO estimate)</v>
          </cell>
          <cell r="D265" t="str">
            <v>SL.EMP.TOTL.SP.ZS</v>
          </cell>
          <cell r="AJ265">
            <v>40.469001770019503</v>
          </cell>
          <cell r="AK265">
            <v>40.7700004577637</v>
          </cell>
          <cell r="AL265">
            <v>41.080001831054702</v>
          </cell>
          <cell r="AM265">
            <v>41.280998229980497</v>
          </cell>
          <cell r="AN265">
            <v>41.501998901367202</v>
          </cell>
          <cell r="AO265">
            <v>41.540000915527301</v>
          </cell>
          <cell r="AP265">
            <v>41.554000854492202</v>
          </cell>
          <cell r="AQ265">
            <v>41.536998748779297</v>
          </cell>
          <cell r="AR265">
            <v>41.498001098632798</v>
          </cell>
          <cell r="AS265">
            <v>40.653999328613303</v>
          </cell>
          <cell r="AT265">
            <v>39.837001800537102</v>
          </cell>
          <cell r="AU265">
            <v>39.022998809814503</v>
          </cell>
          <cell r="AV265">
            <v>38.284999847412102</v>
          </cell>
          <cell r="AW265">
            <v>37.622001647949197</v>
          </cell>
          <cell r="AX265">
            <v>37.006999969482401</v>
          </cell>
          <cell r="AY265">
            <v>36.474998474121101</v>
          </cell>
          <cell r="AZ265">
            <v>35.9679985046387</v>
          </cell>
          <cell r="BA265">
            <v>35.452999114990199</v>
          </cell>
          <cell r="BB265">
            <v>34.787998199462898</v>
          </cell>
          <cell r="BC265">
            <v>34.312000274658203</v>
          </cell>
          <cell r="BD265">
            <v>33.580001831054702</v>
          </cell>
          <cell r="BE265">
            <v>32.931999206542997</v>
          </cell>
          <cell r="BF265">
            <v>32.352001190185497</v>
          </cell>
          <cell r="BG265">
            <v>31.868000030517599</v>
          </cell>
          <cell r="BH265">
            <v>32.215000152587898</v>
          </cell>
          <cell r="BI265">
            <v>32.534000396728501</v>
          </cell>
          <cell r="BJ265">
            <v>32.826999664306598</v>
          </cell>
          <cell r="BK265">
            <v>33.089000701904297</v>
          </cell>
        </row>
        <row r="266">
          <cell r="B266" t="str">
            <v>ZAF</v>
          </cell>
          <cell r="C266" t="str">
            <v>Employment to population ratio, 15+, total (%) (modeled ILO estimate)</v>
          </cell>
          <cell r="D266" t="str">
            <v>SL.EMP.TOTL.SP.ZS</v>
          </cell>
          <cell r="AJ266">
            <v>39.693000793457003</v>
          </cell>
          <cell r="AK266">
            <v>39.612998962402301</v>
          </cell>
          <cell r="AL266">
            <v>39.424999237060497</v>
          </cell>
          <cell r="AM266">
            <v>39.310001373291001</v>
          </cell>
          <cell r="AN266">
            <v>39.194000244140597</v>
          </cell>
          <cell r="AO266">
            <v>39.0390014648438</v>
          </cell>
          <cell r="AP266">
            <v>38.937999725341797</v>
          </cell>
          <cell r="AQ266">
            <v>38.858001708984403</v>
          </cell>
          <cell r="AR266">
            <v>38.700000762939503</v>
          </cell>
          <cell r="AS266">
            <v>38.641998291015597</v>
          </cell>
          <cell r="AT266">
            <v>38.200000762939503</v>
          </cell>
          <cell r="AU266">
            <v>36.7109985351563</v>
          </cell>
          <cell r="AV266">
            <v>37.2439994812012</v>
          </cell>
          <cell r="AW266">
            <v>38.824001312255902</v>
          </cell>
          <cell r="AX266">
            <v>39.036998748779297</v>
          </cell>
          <cell r="AY266">
            <v>39.493000030517599</v>
          </cell>
          <cell r="AZ266">
            <v>40.590000152587898</v>
          </cell>
          <cell r="BA266">
            <v>43.103000640869098</v>
          </cell>
          <cell r="BB266">
            <v>41.249000549316399</v>
          </cell>
          <cell r="BC266">
            <v>39.5260009765625</v>
          </cell>
          <cell r="BD266">
            <v>39.591999053955099</v>
          </cell>
          <cell r="BE266">
            <v>39.928001403808601</v>
          </cell>
          <cell r="BF266">
            <v>40.530998229980497</v>
          </cell>
          <cell r="BG266">
            <v>40.595001220703097</v>
          </cell>
          <cell r="BH266">
            <v>41.451999664306598</v>
          </cell>
          <cell r="BI266">
            <v>40.786998748779297</v>
          </cell>
          <cell r="BJ266">
            <v>40.987998962402301</v>
          </cell>
          <cell r="BK266">
            <v>40.924999237060497</v>
          </cell>
        </row>
        <row r="267">
          <cell r="B267" t="str">
            <v>ZMB</v>
          </cell>
          <cell r="C267" t="str">
            <v>Employment to population ratio, 15+, total (%) (modeled ILO estimate)</v>
          </cell>
          <cell r="D267" t="str">
            <v>SL.EMP.TOTL.SP.ZS</v>
          </cell>
          <cell r="AJ267">
            <v>64.794998168945298</v>
          </cell>
          <cell r="AK267">
            <v>64.484001159667997</v>
          </cell>
          <cell r="AL267">
            <v>64.013000488281307</v>
          </cell>
          <cell r="AM267">
            <v>65.189002990722699</v>
          </cell>
          <cell r="AN267">
            <v>66.277999877929702</v>
          </cell>
          <cell r="AO267">
            <v>67.321998596191406</v>
          </cell>
          <cell r="AP267">
            <v>68.619003295898395</v>
          </cell>
          <cell r="AQ267">
            <v>69.850997924804702</v>
          </cell>
          <cell r="AR267">
            <v>69.388999938964801</v>
          </cell>
          <cell r="AS267">
            <v>69.010002136230497</v>
          </cell>
          <cell r="AT267">
            <v>68.642997741699205</v>
          </cell>
          <cell r="AU267">
            <v>68.179000854492202</v>
          </cell>
          <cell r="AV267">
            <v>67.737998962402301</v>
          </cell>
          <cell r="AW267">
            <v>67.349998474121094</v>
          </cell>
          <cell r="AX267">
            <v>66.962997436523395</v>
          </cell>
          <cell r="AY267">
            <v>68.911003112792997</v>
          </cell>
          <cell r="AZ267">
            <v>70.513000488281307</v>
          </cell>
          <cell r="BA267">
            <v>71.739997863769503</v>
          </cell>
          <cell r="BB267">
            <v>69.183998107910199</v>
          </cell>
          <cell r="BC267">
            <v>66.554000854492202</v>
          </cell>
          <cell r="BD267">
            <v>68.182998657226605</v>
          </cell>
          <cell r="BE267">
            <v>69.5</v>
          </cell>
          <cell r="BF267">
            <v>68.871002197265597</v>
          </cell>
          <cell r="BG267">
            <v>68.249000549316406</v>
          </cell>
          <cell r="BH267">
            <v>67.571998596191406</v>
          </cell>
          <cell r="BI267">
            <v>66.873001098632798</v>
          </cell>
          <cell r="BJ267">
            <v>66.165000915527301</v>
          </cell>
          <cell r="BK267">
            <v>66.088996887207003</v>
          </cell>
        </row>
        <row r="268">
          <cell r="B268" t="str">
            <v>ZWE</v>
          </cell>
          <cell r="C268" t="str">
            <v>Employment to population ratio, 15+, total (%) (modeled ILO estimate)</v>
          </cell>
          <cell r="D268" t="str">
            <v>SL.EMP.TOTL.SP.ZS</v>
          </cell>
          <cell r="AJ268">
            <v>78.431999206542997</v>
          </cell>
          <cell r="AK268">
            <v>78.342002868652301</v>
          </cell>
          <cell r="AL268">
            <v>78.082000732421903</v>
          </cell>
          <cell r="AM268">
            <v>77.801002502441406</v>
          </cell>
          <cell r="AN268">
            <v>77.085998535156307</v>
          </cell>
          <cell r="AO268">
            <v>76.314002990722699</v>
          </cell>
          <cell r="AP268">
            <v>75.608001708984403</v>
          </cell>
          <cell r="AQ268">
            <v>74.934997558593807</v>
          </cell>
          <cell r="AR268">
            <v>74.014999389648395</v>
          </cell>
          <cell r="AS268">
            <v>74.972999572753906</v>
          </cell>
          <cell r="AT268">
            <v>76.008003234863295</v>
          </cell>
          <cell r="AU268">
            <v>76.916999816894503</v>
          </cell>
          <cell r="AV268">
            <v>77.795997619628906</v>
          </cell>
          <cell r="AW268">
            <v>78.682998657226605</v>
          </cell>
          <cell r="AX268">
            <v>78.523002624511705</v>
          </cell>
          <cell r="AY268">
            <v>78.541999816894503</v>
          </cell>
          <cell r="AZ268">
            <v>78.560997009277301</v>
          </cell>
          <cell r="BA268">
            <v>78.527999877929702</v>
          </cell>
          <cell r="BB268">
            <v>78.255996704101605</v>
          </cell>
          <cell r="BC268">
            <v>78.111999511718807</v>
          </cell>
          <cell r="BD268">
            <v>78.093002319335895</v>
          </cell>
          <cell r="BE268">
            <v>78.178001403808594</v>
          </cell>
          <cell r="BF268">
            <v>78.329002380371094</v>
          </cell>
          <cell r="BG268">
            <v>78.497001647949205</v>
          </cell>
          <cell r="BH268">
            <v>78.608001708984403</v>
          </cell>
          <cell r="BI268">
            <v>78.749000549316406</v>
          </cell>
          <cell r="BJ268">
            <v>78.822998046875</v>
          </cell>
          <cell r="BK268">
            <v>78.827003479003906</v>
          </cell>
        </row>
      </sheetData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Metadata - Countries"/>
      <sheetName val="Metadata - Indicators"/>
    </sheetNames>
    <sheetDataSet>
      <sheetData sheetId="0">
        <row r="1">
          <cell r="B1" t="str">
            <v>World Development Indicators</v>
          </cell>
        </row>
        <row r="2">
          <cell r="B2">
            <v>43930</v>
          </cell>
        </row>
        <row r="4">
          <cell r="B4" t="str">
            <v>Country Code</v>
          </cell>
          <cell r="C4" t="str">
            <v>Indicator Name</v>
          </cell>
          <cell r="D4" t="str">
            <v>Indicator Code</v>
          </cell>
          <cell r="E4" t="str">
            <v>1960</v>
          </cell>
          <cell r="F4" t="str">
            <v>1961</v>
          </cell>
          <cell r="G4" t="str">
            <v>1962</v>
          </cell>
          <cell r="H4" t="str">
            <v>1963</v>
          </cell>
          <cell r="I4" t="str">
            <v>1964</v>
          </cell>
          <cell r="J4" t="str">
            <v>1965</v>
          </cell>
          <cell r="K4" t="str">
            <v>1966</v>
          </cell>
          <cell r="L4" t="str">
            <v>1967</v>
          </cell>
          <cell r="M4" t="str">
            <v>1968</v>
          </cell>
          <cell r="N4" t="str">
            <v>1969</v>
          </cell>
          <cell r="O4" t="str">
            <v>1970</v>
          </cell>
          <cell r="P4" t="str">
            <v>1971</v>
          </cell>
          <cell r="Q4" t="str">
            <v>1972</v>
          </cell>
          <cell r="R4" t="str">
            <v>1973</v>
          </cell>
          <cell r="S4" t="str">
            <v>1974</v>
          </cell>
          <cell r="T4" t="str">
            <v>1975</v>
          </cell>
          <cell r="U4" t="str">
            <v>1976</v>
          </cell>
          <cell r="V4" t="str">
            <v>1977</v>
          </cell>
          <cell r="W4" t="str">
            <v>1978</v>
          </cell>
          <cell r="X4" t="str">
            <v>1979</v>
          </cell>
          <cell r="Y4" t="str">
            <v>1980</v>
          </cell>
          <cell r="Z4" t="str">
            <v>1981</v>
          </cell>
          <cell r="AA4" t="str">
            <v>1982</v>
          </cell>
          <cell r="AB4" t="str">
            <v>1983</v>
          </cell>
          <cell r="AC4" t="str">
            <v>1984</v>
          </cell>
          <cell r="AD4" t="str">
            <v>1985</v>
          </cell>
          <cell r="AE4" t="str">
            <v>1986</v>
          </cell>
          <cell r="AF4" t="str">
            <v>1987</v>
          </cell>
          <cell r="AG4" t="str">
            <v>1988</v>
          </cell>
          <cell r="AH4" t="str">
            <v>1989</v>
          </cell>
          <cell r="AI4" t="str">
            <v>1990</v>
          </cell>
          <cell r="AJ4" t="str">
            <v>1991</v>
          </cell>
          <cell r="AK4" t="str">
            <v>1992</v>
          </cell>
          <cell r="AL4" t="str">
            <v>1993</v>
          </cell>
          <cell r="AM4" t="str">
            <v>1994</v>
          </cell>
          <cell r="AN4" t="str">
            <v>1995</v>
          </cell>
          <cell r="AO4" t="str">
            <v>1996</v>
          </cell>
          <cell r="AP4" t="str">
            <v>1997</v>
          </cell>
          <cell r="AQ4" t="str">
            <v>1998</v>
          </cell>
          <cell r="AR4" t="str">
            <v>1999</v>
          </cell>
          <cell r="AS4" t="str">
            <v>2000</v>
          </cell>
          <cell r="AT4" t="str">
            <v>2001</v>
          </cell>
          <cell r="AU4" t="str">
            <v>2002</v>
          </cell>
          <cell r="AV4" t="str">
            <v>2003</v>
          </cell>
          <cell r="AW4" t="str">
            <v>2004</v>
          </cell>
          <cell r="AX4" t="str">
            <v>2005</v>
          </cell>
          <cell r="AY4" t="str">
            <v>2006</v>
          </cell>
          <cell r="AZ4" t="str">
            <v>2007</v>
          </cell>
          <cell r="BA4" t="str">
            <v>2008</v>
          </cell>
          <cell r="BB4" t="str">
            <v>2009</v>
          </cell>
          <cell r="BC4" t="str">
            <v>2010</v>
          </cell>
          <cell r="BD4" t="str">
            <v>2011</v>
          </cell>
          <cell r="BE4" t="str">
            <v>2012</v>
          </cell>
          <cell r="BF4" t="str">
            <v>2013</v>
          </cell>
          <cell r="BG4" t="str">
            <v>2014</v>
          </cell>
          <cell r="BH4" t="str">
            <v>2015</v>
          </cell>
          <cell r="BI4" t="str">
            <v>2016</v>
          </cell>
          <cell r="BJ4" t="str">
            <v>2017</v>
          </cell>
          <cell r="BK4" t="str">
            <v>2018</v>
          </cell>
        </row>
        <row r="5">
          <cell r="B5" t="str">
            <v>ABW</v>
          </cell>
          <cell r="C5" t="str">
            <v>Wage and salaried workers, total (% of total employment) (modeled ILO estimate)</v>
          </cell>
          <cell r="D5" t="str">
            <v>SL.EMP.WORK.ZS</v>
          </cell>
        </row>
        <row r="6">
          <cell r="B6" t="str">
            <v>AFG</v>
          </cell>
          <cell r="C6" t="str">
            <v>Wage and salaried workers, total (% of total employment) (modeled ILO estimate)</v>
          </cell>
          <cell r="D6" t="str">
            <v>SL.EMP.WORK.ZS</v>
          </cell>
          <cell r="AJ6">
            <v>8.9119997024536097</v>
          </cell>
          <cell r="AK6">
            <v>8.8210000991821307</v>
          </cell>
          <cell r="AL6">
            <v>8.2480001449584996</v>
          </cell>
          <cell r="AM6">
            <v>7.7870001792907697</v>
          </cell>
          <cell r="AN6">
            <v>8.3339996337890607</v>
          </cell>
          <cell r="AO6">
            <v>8.1350002288818395</v>
          </cell>
          <cell r="AP6">
            <v>8.0399999618530291</v>
          </cell>
          <cell r="AQ6">
            <v>7.9670000076293901</v>
          </cell>
          <cell r="AR6">
            <v>7.8899998664856001</v>
          </cell>
          <cell r="AS6">
            <v>7.7979998588562003</v>
          </cell>
          <cell r="AT6">
            <v>7.6900000572204599</v>
          </cell>
          <cell r="AU6">
            <v>8.4160003662109393</v>
          </cell>
          <cell r="AV6">
            <v>8.4189996719360405</v>
          </cell>
          <cell r="AW6">
            <v>8.4149999618530291</v>
          </cell>
          <cell r="AX6">
            <v>8.5719995498657209</v>
          </cell>
          <cell r="AY6">
            <v>8.6470003128051793</v>
          </cell>
          <cell r="AZ6">
            <v>8.8520002365112305</v>
          </cell>
          <cell r="BA6">
            <v>8.9200000762939506</v>
          </cell>
          <cell r="BB6">
            <v>9.9060001373290998</v>
          </cell>
          <cell r="BC6">
            <v>10.824999809265099</v>
          </cell>
          <cell r="BD6">
            <v>11.6169996261597</v>
          </cell>
          <cell r="BE6">
            <v>12.6479997634888</v>
          </cell>
          <cell r="BF6">
            <v>13.588000297546399</v>
          </cell>
          <cell r="BG6">
            <v>14.5310001373291</v>
          </cell>
          <cell r="BH6">
            <v>15.4899997711182</v>
          </cell>
          <cell r="BI6">
            <v>16.5030002593994</v>
          </cell>
          <cell r="BJ6">
            <v>17.549999237060501</v>
          </cell>
          <cell r="BK6">
            <v>17.6019992828369</v>
          </cell>
        </row>
        <row r="7">
          <cell r="B7" t="str">
            <v>AGO</v>
          </cell>
          <cell r="C7" t="str">
            <v>Wage and salaried workers, total (% of total employment) (modeled ILO estimate)</v>
          </cell>
          <cell r="D7" t="str">
            <v>SL.EMP.WORK.ZS</v>
          </cell>
          <cell r="AJ7">
            <v>31.931999206543001</v>
          </cell>
          <cell r="AK7">
            <v>32.266998291015597</v>
          </cell>
          <cell r="AL7">
            <v>32.5460014343262</v>
          </cell>
          <cell r="AM7">
            <v>32.8950004577637</v>
          </cell>
          <cell r="AN7">
            <v>33.215000152587898</v>
          </cell>
          <cell r="AO7">
            <v>33.529998779296903</v>
          </cell>
          <cell r="AP7">
            <v>33.830001831054702</v>
          </cell>
          <cell r="AQ7">
            <v>34.125</v>
          </cell>
          <cell r="AR7">
            <v>34.412998199462898</v>
          </cell>
          <cell r="AS7">
            <v>34.701999664306598</v>
          </cell>
          <cell r="AT7">
            <v>34.992000579833999</v>
          </cell>
          <cell r="AU7">
            <v>35.299999237060497</v>
          </cell>
          <cell r="AV7">
            <v>35.583999633789098</v>
          </cell>
          <cell r="AW7">
            <v>35.880001068115199</v>
          </cell>
          <cell r="AX7">
            <v>34.924999237060497</v>
          </cell>
          <cell r="AY7">
            <v>33.861000061035199</v>
          </cell>
          <cell r="AZ7">
            <v>32.769001007080099</v>
          </cell>
          <cell r="BA7">
            <v>31.645999908447301</v>
          </cell>
          <cell r="BB7">
            <v>30.4839992523193</v>
          </cell>
          <cell r="BC7">
            <v>29.304000854492202</v>
          </cell>
          <cell r="BD7">
            <v>28.1019992828369</v>
          </cell>
          <cell r="BE7">
            <v>28.333000183105501</v>
          </cell>
          <cell r="BF7">
            <v>28.5559997558594</v>
          </cell>
          <cell r="BG7">
            <v>28.774000167846701</v>
          </cell>
          <cell r="BH7">
            <v>28.982000350952099</v>
          </cell>
          <cell r="BI7">
            <v>29.180000305175799</v>
          </cell>
          <cell r="BJ7">
            <v>29.374000549316399</v>
          </cell>
          <cell r="BK7">
            <v>29.561000823974599</v>
          </cell>
        </row>
        <row r="8">
          <cell r="B8" t="str">
            <v>ALB</v>
          </cell>
          <cell r="C8" t="str">
            <v>Wage and salaried workers, total (% of total employment) (modeled ILO estimate)</v>
          </cell>
          <cell r="D8" t="str">
            <v>SL.EMP.WORK.ZS</v>
          </cell>
          <cell r="AJ8">
            <v>29.180000305175799</v>
          </cell>
          <cell r="AK8">
            <v>29.530000686645501</v>
          </cell>
          <cell r="AL8">
            <v>29.950000762939499</v>
          </cell>
          <cell r="AM8">
            <v>30.636999130248999</v>
          </cell>
          <cell r="AN8">
            <v>31.372999191284201</v>
          </cell>
          <cell r="AO8">
            <v>32.118000030517599</v>
          </cell>
          <cell r="AP8">
            <v>33.056999206542997</v>
          </cell>
          <cell r="AQ8">
            <v>33.540000915527301</v>
          </cell>
          <cell r="AR8">
            <v>34.304000854492202</v>
          </cell>
          <cell r="AS8">
            <v>35.198001861572301</v>
          </cell>
          <cell r="AT8">
            <v>36.047000885009801</v>
          </cell>
          <cell r="AU8">
            <v>37.0260009765625</v>
          </cell>
          <cell r="AV8">
            <v>37.963001251220703</v>
          </cell>
          <cell r="AW8">
            <v>38.929000854492202</v>
          </cell>
          <cell r="AX8">
            <v>39.9070014953613</v>
          </cell>
          <cell r="AY8">
            <v>40.896999359130902</v>
          </cell>
          <cell r="AZ8">
            <v>41.903999328613303</v>
          </cell>
          <cell r="BA8">
            <v>39.8289985656738</v>
          </cell>
          <cell r="BB8">
            <v>42.076000213622997</v>
          </cell>
          <cell r="BC8">
            <v>43.298000335693402</v>
          </cell>
          <cell r="BD8">
            <v>38.922000885009801</v>
          </cell>
          <cell r="BE8">
            <v>36.939998626708999</v>
          </cell>
          <cell r="BF8">
            <v>40.481998443603501</v>
          </cell>
          <cell r="BG8">
            <v>41.561000823974602</v>
          </cell>
          <cell r="BH8">
            <v>41.019001007080099</v>
          </cell>
          <cell r="BI8">
            <v>41.900001525878899</v>
          </cell>
          <cell r="BJ8">
            <v>42.806999206542997</v>
          </cell>
          <cell r="BK8">
            <v>43.731998443603501</v>
          </cell>
        </row>
        <row r="9">
          <cell r="B9" t="str">
            <v>AND</v>
          </cell>
          <cell r="C9" t="str">
            <v>Wage and salaried workers, total (% of total employment) (modeled ILO estimate)</v>
          </cell>
          <cell r="D9" t="str">
            <v>SL.EMP.WORK.ZS</v>
          </cell>
        </row>
        <row r="10">
          <cell r="B10" t="str">
            <v>ARB</v>
          </cell>
          <cell r="C10" t="str">
            <v>Wage and salaried workers, total (% of total employment) (modeled ILO estimate)</v>
          </cell>
          <cell r="D10" t="str">
            <v>SL.EMP.WORK.ZS</v>
          </cell>
          <cell r="AJ10">
            <v>56.83057594962527</v>
          </cell>
          <cell r="AK10">
            <v>56.600288219126426</v>
          </cell>
          <cell r="AL10">
            <v>56.928617555593362</v>
          </cell>
          <cell r="AM10">
            <v>57.319760770389237</v>
          </cell>
          <cell r="AN10">
            <v>58.126557446447435</v>
          </cell>
          <cell r="AO10">
            <v>58.720841292348332</v>
          </cell>
          <cell r="AP10">
            <v>59.276752838145846</v>
          </cell>
          <cell r="AQ10">
            <v>59.468679823103088</v>
          </cell>
          <cell r="AR10">
            <v>59.702439307660981</v>
          </cell>
          <cell r="AS10">
            <v>59.615073446871101</v>
          </cell>
          <cell r="AT10">
            <v>60.173195771148087</v>
          </cell>
          <cell r="AU10">
            <v>60.219988047550373</v>
          </cell>
          <cell r="AV10">
            <v>60.091858374491053</v>
          </cell>
          <cell r="AW10">
            <v>59.983148101257761</v>
          </cell>
          <cell r="AX10">
            <v>61.380604104281311</v>
          </cell>
          <cell r="AY10">
            <v>62.949418935767554</v>
          </cell>
          <cell r="AZ10">
            <v>62.732253950385655</v>
          </cell>
          <cell r="BA10">
            <v>64.038241491801401</v>
          </cell>
          <cell r="BB10">
            <v>64.587100075476926</v>
          </cell>
          <cell r="BC10">
            <v>65.625881848232751</v>
          </cell>
          <cell r="BD10">
            <v>65.849602453184829</v>
          </cell>
          <cell r="BE10">
            <v>66.789476300104425</v>
          </cell>
          <cell r="BF10">
            <v>66.99066446191425</v>
          </cell>
          <cell r="BG10">
            <v>67.207854933051195</v>
          </cell>
          <cell r="BH10">
            <v>67.949686577444467</v>
          </cell>
          <cell r="BI10">
            <v>69.707476189586998</v>
          </cell>
          <cell r="BJ10">
            <v>69.355177957123615</v>
          </cell>
          <cell r="BK10">
            <v>69.34803876477288</v>
          </cell>
        </row>
        <row r="11">
          <cell r="B11" t="str">
            <v>ARE</v>
          </cell>
          <cell r="C11" t="str">
            <v>Wage and salaried workers, total (% of total employment) (modeled ILO estimate)</v>
          </cell>
          <cell r="D11" t="str">
            <v>SL.EMP.WORK.ZS</v>
          </cell>
          <cell r="AJ11">
            <v>97.041999816894503</v>
          </cell>
          <cell r="AK11">
            <v>97.023002624511705</v>
          </cell>
          <cell r="AL11">
            <v>96.994003295898395</v>
          </cell>
          <cell r="AM11">
            <v>97.012001037597699</v>
          </cell>
          <cell r="AN11">
            <v>97.022003173828097</v>
          </cell>
          <cell r="AO11">
            <v>97.019996643066406</v>
          </cell>
          <cell r="AP11">
            <v>97.044998168945298</v>
          </cell>
          <cell r="AQ11">
            <v>97.017997741699205</v>
          </cell>
          <cell r="AR11">
            <v>96.986000061035199</v>
          </cell>
          <cell r="AS11">
            <v>97.000999450683594</v>
          </cell>
          <cell r="AT11">
            <v>96.982002258300795</v>
          </cell>
          <cell r="AU11">
            <v>96.969001770019503</v>
          </cell>
          <cell r="AV11">
            <v>96.986999511718807</v>
          </cell>
          <cell r="AW11">
            <v>96.989997863769503</v>
          </cell>
          <cell r="AX11">
            <v>96.931999206542997</v>
          </cell>
          <cell r="AY11">
            <v>96.713996887207003</v>
          </cell>
          <cell r="AZ11">
            <v>96.345001220703097</v>
          </cell>
          <cell r="BA11">
            <v>95.816001892089801</v>
          </cell>
          <cell r="BB11">
            <v>95.920997619628906</v>
          </cell>
          <cell r="BC11">
            <v>96.041999816894503</v>
          </cell>
          <cell r="BD11">
            <v>96.194999694824205</v>
          </cell>
          <cell r="BE11">
            <v>96.371002197265597</v>
          </cell>
          <cell r="BF11">
            <v>96.559997558593807</v>
          </cell>
          <cell r="BG11">
            <v>96.728996276855497</v>
          </cell>
          <cell r="BH11">
            <v>96.931999206542997</v>
          </cell>
          <cell r="BI11">
            <v>97.056999206542997</v>
          </cell>
          <cell r="BJ11">
            <v>96.528999328613295</v>
          </cell>
          <cell r="BK11">
            <v>96.0260009765625</v>
          </cell>
        </row>
        <row r="12">
          <cell r="B12" t="str">
            <v>ARG</v>
          </cell>
          <cell r="C12" t="str">
            <v>Wage and salaried workers, total (% of total employment) (modeled ILO estimate)</v>
          </cell>
          <cell r="D12" t="str">
            <v>SL.EMP.WORK.ZS</v>
          </cell>
          <cell r="AJ12">
            <v>70.264999389648395</v>
          </cell>
          <cell r="AK12">
            <v>70.1510009765625</v>
          </cell>
          <cell r="AL12">
            <v>68.800003051757798</v>
          </cell>
          <cell r="AM12">
            <v>70.210998535156307</v>
          </cell>
          <cell r="AN12">
            <v>70.643997192382798</v>
          </cell>
          <cell r="AO12">
            <v>70.801002502441406</v>
          </cell>
          <cell r="AP12">
            <v>71.748001098632798</v>
          </cell>
          <cell r="AQ12">
            <v>72.150001525878906</v>
          </cell>
          <cell r="AR12">
            <v>72.440002441406307</v>
          </cell>
          <cell r="AS12">
            <v>72.392997741699205</v>
          </cell>
          <cell r="AT12">
            <v>71.819999694824205</v>
          </cell>
          <cell r="AU12">
            <v>71.667999267578097</v>
          </cell>
          <cell r="AV12">
            <v>73.694000244140597</v>
          </cell>
          <cell r="AW12">
            <v>74.383003234863295</v>
          </cell>
          <cell r="AX12">
            <v>74.749000549316406</v>
          </cell>
          <cell r="AY12">
            <v>75.648002624511705</v>
          </cell>
          <cell r="AZ12">
            <v>76.357002258300795</v>
          </cell>
          <cell r="BA12">
            <v>76.317001342773395</v>
          </cell>
          <cell r="BB12">
            <v>75.957000732421903</v>
          </cell>
          <cell r="BC12">
            <v>76.443000793457003</v>
          </cell>
          <cell r="BD12">
            <v>76.902999877929702</v>
          </cell>
          <cell r="BE12">
            <v>77.004997253417997</v>
          </cell>
          <cell r="BF12">
            <v>76.4530029296875</v>
          </cell>
          <cell r="BG12">
            <v>76.347000122070298</v>
          </cell>
          <cell r="BH12">
            <v>75.873001098632798</v>
          </cell>
          <cell r="BI12">
            <v>75.1719970703125</v>
          </cell>
          <cell r="BJ12">
            <v>74.660003662109403</v>
          </cell>
          <cell r="BK12">
            <v>74.471000671386705</v>
          </cell>
        </row>
        <row r="13">
          <cell r="B13" t="str">
            <v>ARM</v>
          </cell>
          <cell r="C13" t="str">
            <v>Wage and salaried workers, total (% of total employment) (modeled ILO estimate)</v>
          </cell>
          <cell r="D13" t="str">
            <v>SL.EMP.WORK.ZS</v>
          </cell>
          <cell r="AJ13">
            <v>50.3489990234375</v>
          </cell>
          <cell r="AK13">
            <v>49.602001190185497</v>
          </cell>
          <cell r="AL13">
            <v>49.730998992919901</v>
          </cell>
          <cell r="AM13">
            <v>49.9539985656738</v>
          </cell>
          <cell r="AN13">
            <v>50.222999572753899</v>
          </cell>
          <cell r="AO13">
            <v>50.492000579833999</v>
          </cell>
          <cell r="AP13">
            <v>50.7369995117188</v>
          </cell>
          <cell r="AQ13">
            <v>51.057998657226598</v>
          </cell>
          <cell r="AR13">
            <v>51.325000762939503</v>
          </cell>
          <cell r="AS13">
            <v>51.659000396728501</v>
          </cell>
          <cell r="AT13">
            <v>52.106998443603501</v>
          </cell>
          <cell r="AU13">
            <v>52.712001800537102</v>
          </cell>
          <cell r="AV13">
            <v>53.419998168945298</v>
          </cell>
          <cell r="AW13">
            <v>54.075000762939503</v>
          </cell>
          <cell r="AX13">
            <v>54.896999359130902</v>
          </cell>
          <cell r="AY13">
            <v>55.7630004882813</v>
          </cell>
          <cell r="AZ13">
            <v>56.701999664306598</v>
          </cell>
          <cell r="BA13">
            <v>57.347999572753899</v>
          </cell>
          <cell r="BB13">
            <v>56.860000610351598</v>
          </cell>
          <cell r="BC13">
            <v>56.863998413085902</v>
          </cell>
          <cell r="BD13">
            <v>55.568000793457003</v>
          </cell>
          <cell r="BE13">
            <v>56.484001159667997</v>
          </cell>
          <cell r="BF13">
            <v>57.200000762939503</v>
          </cell>
          <cell r="BG13">
            <v>55.8619995117188</v>
          </cell>
          <cell r="BH13">
            <v>57.201999664306598</v>
          </cell>
          <cell r="BI13">
            <v>58.049999237060497</v>
          </cell>
          <cell r="BJ13">
            <v>59.660999298095703</v>
          </cell>
          <cell r="BK13">
            <v>59.881999969482401</v>
          </cell>
        </row>
        <row r="14">
          <cell r="B14" t="str">
            <v>ASM</v>
          </cell>
          <cell r="C14" t="str">
            <v>Wage and salaried workers, total (% of total employment) (modeled ILO estimate)</v>
          </cell>
          <cell r="D14" t="str">
            <v>SL.EMP.WORK.ZS</v>
          </cell>
        </row>
        <row r="15">
          <cell r="B15" t="str">
            <v>ATG</v>
          </cell>
          <cell r="C15" t="str">
            <v>Wage and salaried workers, total (% of total employment) (modeled ILO estimate)</v>
          </cell>
          <cell r="D15" t="str">
            <v>SL.EMP.WORK.ZS</v>
          </cell>
        </row>
        <row r="16">
          <cell r="B16" t="str">
            <v>AUS</v>
          </cell>
          <cell r="C16" t="str">
            <v>Wage and salaried workers, total (% of total employment) (modeled ILO estimate)</v>
          </cell>
          <cell r="D16" t="str">
            <v>SL.EMP.WORK.ZS</v>
          </cell>
          <cell r="AJ16">
            <v>80.000999450683594</v>
          </cell>
          <cell r="AK16">
            <v>79.855003356933594</v>
          </cell>
          <cell r="AL16">
            <v>79.555999755859403</v>
          </cell>
          <cell r="AM16">
            <v>79.747001647949205</v>
          </cell>
          <cell r="AN16">
            <v>79.976997375488295</v>
          </cell>
          <cell r="AO16">
            <v>80.065002441406307</v>
          </cell>
          <cell r="AP16">
            <v>79.863998413085895</v>
          </cell>
          <cell r="AQ16">
            <v>80.087997436523395</v>
          </cell>
          <cell r="AR16">
            <v>80.382003784179702</v>
          </cell>
          <cell r="AS16">
            <v>80.018997192382798</v>
          </cell>
          <cell r="AT16">
            <v>79.797996520996094</v>
          </cell>
          <cell r="AU16">
            <v>79.655998229980497</v>
          </cell>
          <cell r="AV16">
            <v>80.126998901367202</v>
          </cell>
          <cell r="AW16">
            <v>80.338996887207003</v>
          </cell>
          <cell r="AX16">
            <v>80.345001220703097</v>
          </cell>
          <cell r="AY16">
            <v>81.039001464843807</v>
          </cell>
          <cell r="AZ16">
            <v>81.692001342773395</v>
          </cell>
          <cell r="BA16">
            <v>81.806999206542997</v>
          </cell>
          <cell r="BB16">
            <v>81.761001586914105</v>
          </cell>
          <cell r="BC16">
            <v>81.634002685546903</v>
          </cell>
          <cell r="BD16">
            <v>82.211997985839801</v>
          </cell>
          <cell r="BE16">
            <v>82.824996948242202</v>
          </cell>
          <cell r="BF16">
            <v>83.164001464843807</v>
          </cell>
          <cell r="BG16">
            <v>82.859001159667997</v>
          </cell>
          <cell r="BH16">
            <v>82.942001342773395</v>
          </cell>
          <cell r="BI16">
            <v>82.949996948242202</v>
          </cell>
          <cell r="BJ16">
            <v>83.100997924804702</v>
          </cell>
          <cell r="BK16">
            <v>83.543998718261705</v>
          </cell>
        </row>
        <row r="17">
          <cell r="B17" t="str">
            <v>AUT</v>
          </cell>
          <cell r="C17" t="str">
            <v>Wage and salaried workers, total (% of total employment) (modeled ILO estimate)</v>
          </cell>
          <cell r="D17" t="str">
            <v>SL.EMP.WORK.ZS</v>
          </cell>
          <cell r="AJ17">
            <v>84.764999389648395</v>
          </cell>
          <cell r="AK17">
            <v>85.012001037597699</v>
          </cell>
          <cell r="AL17">
            <v>85.237998962402301</v>
          </cell>
          <cell r="AM17">
            <v>85.494003295898395</v>
          </cell>
          <cell r="AN17">
            <v>85.748001098632798</v>
          </cell>
          <cell r="AO17">
            <v>85.565002441406307</v>
          </cell>
          <cell r="AP17">
            <v>86.148002624511705</v>
          </cell>
          <cell r="AQ17">
            <v>86.202003479003906</v>
          </cell>
          <cell r="AR17">
            <v>86.323997497558594</v>
          </cell>
          <cell r="AS17">
            <v>86.487998962402301</v>
          </cell>
          <cell r="AT17">
            <v>86.580001831054702</v>
          </cell>
          <cell r="AU17">
            <v>86.5</v>
          </cell>
          <cell r="AV17">
            <v>86.963996887207003</v>
          </cell>
          <cell r="AW17">
            <v>87.450996398925795</v>
          </cell>
          <cell r="AX17">
            <v>87.0469970703125</v>
          </cell>
          <cell r="AY17">
            <v>86.952003479003906</v>
          </cell>
          <cell r="AZ17">
            <v>86.311996459960895</v>
          </cell>
          <cell r="BA17">
            <v>86.457000732421903</v>
          </cell>
          <cell r="BB17">
            <v>86.361000061035199</v>
          </cell>
          <cell r="BC17">
            <v>86.186996459960895</v>
          </cell>
          <cell r="BD17">
            <v>86.7239990234375</v>
          </cell>
          <cell r="BE17">
            <v>86.927001953125</v>
          </cell>
          <cell r="BF17">
            <v>86.799003601074205</v>
          </cell>
          <cell r="BG17">
            <v>86.711997985839801</v>
          </cell>
          <cell r="BH17">
            <v>87.002998352050795</v>
          </cell>
          <cell r="BI17">
            <v>87.278999328613295</v>
          </cell>
          <cell r="BJ17">
            <v>87.623001098632798</v>
          </cell>
          <cell r="BK17">
            <v>87.994003295898395</v>
          </cell>
        </row>
        <row r="18">
          <cell r="B18" t="str">
            <v>AZE</v>
          </cell>
          <cell r="C18" t="str">
            <v>Wage and salaried workers, total (% of total employment) (modeled ILO estimate)</v>
          </cell>
          <cell r="D18" t="str">
            <v>SL.EMP.WORK.ZS</v>
          </cell>
          <cell r="AJ18">
            <v>31.270999908447301</v>
          </cell>
          <cell r="AK18">
            <v>31.239000320434599</v>
          </cell>
          <cell r="AL18">
            <v>31.209999084472699</v>
          </cell>
          <cell r="AM18">
            <v>31.183000564575199</v>
          </cell>
          <cell r="AN18">
            <v>31.1609992980957</v>
          </cell>
          <cell r="AO18">
            <v>31.142999649047901</v>
          </cell>
          <cell r="AP18">
            <v>31.131999969482401</v>
          </cell>
          <cell r="AQ18">
            <v>31.125999450683601</v>
          </cell>
          <cell r="AR18">
            <v>31.1709995269775</v>
          </cell>
          <cell r="AS18">
            <v>31.281999588012699</v>
          </cell>
          <cell r="AT18">
            <v>31.3980007171631</v>
          </cell>
          <cell r="AU18">
            <v>31.5200004577637</v>
          </cell>
          <cell r="AV18">
            <v>31.646999359130898</v>
          </cell>
          <cell r="AW18">
            <v>31.777000427246101</v>
          </cell>
          <cell r="AX18">
            <v>31.909999847412099</v>
          </cell>
          <cell r="AY18">
            <v>32.042999267578097</v>
          </cell>
          <cell r="AZ18">
            <v>32.174999237060497</v>
          </cell>
          <cell r="BA18">
            <v>32.305000305175803</v>
          </cell>
          <cell r="BB18">
            <v>32.431999206542997</v>
          </cell>
          <cell r="BC18">
            <v>31.944999694824201</v>
          </cell>
          <cell r="BD18">
            <v>31.711999893188501</v>
          </cell>
          <cell r="BE18">
            <v>33.307998657226598</v>
          </cell>
          <cell r="BF18">
            <v>33.4869995117188</v>
          </cell>
          <cell r="BG18">
            <v>33.015998840332003</v>
          </cell>
          <cell r="BH18">
            <v>32.162998199462898</v>
          </cell>
          <cell r="BI18">
            <v>31.815000534057599</v>
          </cell>
          <cell r="BJ18">
            <v>31.624000549316399</v>
          </cell>
          <cell r="BK18">
            <v>31.80299949646</v>
          </cell>
        </row>
        <row r="19">
          <cell r="B19" t="str">
            <v>BDI</v>
          </cell>
          <cell r="C19" t="str">
            <v>Wage and salaried workers, total (% of total employment) (modeled ILO estimate)</v>
          </cell>
          <cell r="D19" t="str">
            <v>SL.EMP.WORK.ZS</v>
          </cell>
          <cell r="AJ19">
            <v>5.3629999160766602</v>
          </cell>
          <cell r="AK19">
            <v>5.3590002059936497</v>
          </cell>
          <cell r="AL19">
            <v>5.30900001525879</v>
          </cell>
          <cell r="AM19">
            <v>5.2789998054504403</v>
          </cell>
          <cell r="AN19">
            <v>5.2280001640319798</v>
          </cell>
          <cell r="AO19">
            <v>5.1830000877380398</v>
          </cell>
          <cell r="AP19">
            <v>5.1770000457763699</v>
          </cell>
          <cell r="AQ19">
            <v>5.2030000686645499</v>
          </cell>
          <cell r="AR19">
            <v>5.1999998092651403</v>
          </cell>
          <cell r="AS19">
            <v>5.1960000991821298</v>
          </cell>
          <cell r="AT19">
            <v>5.2020001411437997</v>
          </cell>
          <cell r="AU19">
            <v>5.2189998626709002</v>
          </cell>
          <cell r="AV19">
            <v>5.2080001831054696</v>
          </cell>
          <cell r="AW19">
            <v>5.1669998168945304</v>
          </cell>
          <cell r="AX19">
            <v>5.2080001831054696</v>
          </cell>
          <cell r="AY19">
            <v>5.2080001831054696</v>
          </cell>
          <cell r="AZ19">
            <v>5.2080001831054696</v>
          </cell>
          <cell r="BA19">
            <v>5.2300000190734899</v>
          </cell>
          <cell r="BB19">
            <v>5.2480001449584996</v>
          </cell>
          <cell r="BC19">
            <v>5.2740001678466797</v>
          </cell>
          <cell r="BD19">
            <v>5.2960000038146999</v>
          </cell>
          <cell r="BE19">
            <v>5.3189997673034703</v>
          </cell>
          <cell r="BF19">
            <v>5.3460001945495597</v>
          </cell>
          <cell r="BG19">
            <v>5.3680000305175799</v>
          </cell>
          <cell r="BH19">
            <v>5.3460001945495597</v>
          </cell>
          <cell r="BI19">
            <v>5.3420000076293901</v>
          </cell>
          <cell r="BJ19">
            <v>5.3420000076293901</v>
          </cell>
          <cell r="BK19">
            <v>5.34800004959106</v>
          </cell>
        </row>
        <row r="20">
          <cell r="B20" t="str">
            <v>BEL</v>
          </cell>
          <cell r="C20" t="str">
            <v>Wage and salaried workers, total (% of total employment) (modeled ILO estimate)</v>
          </cell>
          <cell r="D20" t="str">
            <v>SL.EMP.WORK.ZS</v>
          </cell>
          <cell r="AJ20">
            <v>82.738998413085895</v>
          </cell>
          <cell r="AK20">
            <v>82.140998840332003</v>
          </cell>
          <cell r="AL20">
            <v>82.087997436523395</v>
          </cell>
          <cell r="AM20">
            <v>82.277999877929702</v>
          </cell>
          <cell r="AN20">
            <v>82.057998657226605</v>
          </cell>
          <cell r="AO20">
            <v>82.010002136230497</v>
          </cell>
          <cell r="AP20">
            <v>82.780998229980497</v>
          </cell>
          <cell r="AQ20">
            <v>82.628997802734403</v>
          </cell>
          <cell r="AR20">
            <v>82.730003356933594</v>
          </cell>
          <cell r="AS20">
            <v>83.956001281738295</v>
          </cell>
          <cell r="AT20">
            <v>84.781997680664105</v>
          </cell>
          <cell r="AU20">
            <v>84.563003540039105</v>
          </cell>
          <cell r="AV20">
            <v>84.846000671386705</v>
          </cell>
          <cell r="AW20">
            <v>85.299003601074205</v>
          </cell>
          <cell r="AX20">
            <v>84.771003723144503</v>
          </cell>
          <cell r="AY20">
            <v>84.925003051757798</v>
          </cell>
          <cell r="AZ20">
            <v>85.175003051757798</v>
          </cell>
          <cell r="BA20">
            <v>85.775001525878906</v>
          </cell>
          <cell r="BB20">
            <v>85.200996398925795</v>
          </cell>
          <cell r="BC20">
            <v>85.638999938964801</v>
          </cell>
          <cell r="BD20">
            <v>85.698997497558594</v>
          </cell>
          <cell r="BE20">
            <v>85.653999328613295</v>
          </cell>
          <cell r="BF20">
            <v>84.920997619628906</v>
          </cell>
          <cell r="BG20">
            <v>85.387001037597699</v>
          </cell>
          <cell r="BH20">
            <v>84.820999145507798</v>
          </cell>
          <cell r="BI20">
            <v>85.164001464843807</v>
          </cell>
          <cell r="BJ20">
            <v>85.707000732421903</v>
          </cell>
          <cell r="BK20">
            <v>85.971000671386705</v>
          </cell>
        </row>
        <row r="21">
          <cell r="B21" t="str">
            <v>BEN</v>
          </cell>
          <cell r="C21" t="str">
            <v>Wage and salaried workers, total (% of total employment) (modeled ILO estimate)</v>
          </cell>
          <cell r="D21" t="str">
            <v>SL.EMP.WORK.ZS</v>
          </cell>
          <cell r="AJ21">
            <v>8.4720001220703107</v>
          </cell>
          <cell r="AK21">
            <v>8.5249996185302699</v>
          </cell>
          <cell r="AL21">
            <v>8.6029996871948207</v>
          </cell>
          <cell r="AM21">
            <v>8.6339998245239293</v>
          </cell>
          <cell r="AN21">
            <v>8.7189998626709002</v>
          </cell>
          <cell r="AO21">
            <v>8.7880001068115199</v>
          </cell>
          <cell r="AP21">
            <v>8.875</v>
          </cell>
          <cell r="AQ21">
            <v>8.9440002441406303</v>
          </cell>
          <cell r="AR21">
            <v>9.0299997329711896</v>
          </cell>
          <cell r="AS21">
            <v>9.1219997406005895</v>
          </cell>
          <cell r="AT21">
            <v>9.2080001831054705</v>
          </cell>
          <cell r="AU21">
            <v>9.2880001068115199</v>
          </cell>
          <cell r="AV21">
            <v>9.3559999465942401</v>
          </cell>
          <cell r="AW21">
            <v>9.4390001296997106</v>
          </cell>
          <cell r="AX21">
            <v>9.4879999160766602</v>
          </cell>
          <cell r="AY21">
            <v>9.5679998397827095</v>
          </cell>
          <cell r="AZ21">
            <v>9.6770000457763707</v>
          </cell>
          <cell r="BA21">
            <v>9.7740001678466797</v>
          </cell>
          <cell r="BB21">
            <v>9.8389997482299805</v>
          </cell>
          <cell r="BC21">
            <v>9.90100002288818</v>
          </cell>
          <cell r="BD21">
            <v>9.9779996871948207</v>
          </cell>
          <cell r="BE21">
            <v>10.081999778747599</v>
          </cell>
          <cell r="BF21">
            <v>10.2200002670288</v>
          </cell>
          <cell r="BG21">
            <v>10.350999832153301</v>
          </cell>
          <cell r="BH21">
            <v>10.425000190734901</v>
          </cell>
          <cell r="BI21">
            <v>10.5279998779297</v>
          </cell>
          <cell r="BJ21">
            <v>10.66100025177</v>
          </cell>
          <cell r="BK21">
            <v>10.8129997253418</v>
          </cell>
        </row>
        <row r="22">
          <cell r="B22" t="str">
            <v>BFA</v>
          </cell>
          <cell r="C22" t="str">
            <v>Wage and salaried workers, total (% of total employment) (modeled ILO estimate)</v>
          </cell>
          <cell r="D22" t="str">
            <v>SL.EMP.WORK.ZS</v>
          </cell>
          <cell r="AJ22">
            <v>5.3689999580383301</v>
          </cell>
          <cell r="AK22">
            <v>5.3969998359680202</v>
          </cell>
          <cell r="AL22">
            <v>5.4419999122619602</v>
          </cell>
          <cell r="AM22">
            <v>5.4749999046325701</v>
          </cell>
          <cell r="AN22">
            <v>5.53200006484985</v>
          </cell>
          <cell r="AO22">
            <v>5.6199998855590803</v>
          </cell>
          <cell r="AP22">
            <v>5.6880002021789604</v>
          </cell>
          <cell r="AQ22">
            <v>5.7690000534057599</v>
          </cell>
          <cell r="AR22">
            <v>5.8509998321533203</v>
          </cell>
          <cell r="AS22">
            <v>5.9000000953674299</v>
          </cell>
          <cell r="AT22">
            <v>5.9819998741149902</v>
          </cell>
          <cell r="AU22">
            <v>6.0510001182556197</v>
          </cell>
          <cell r="AV22">
            <v>6.1430001258850098</v>
          </cell>
          <cell r="AW22">
            <v>6.2140002250671396</v>
          </cell>
          <cell r="AX22">
            <v>6.3179998397827104</v>
          </cell>
          <cell r="AY22">
            <v>6.4060001373290998</v>
          </cell>
          <cell r="AZ22">
            <v>6.97399997711182</v>
          </cell>
          <cell r="BA22">
            <v>7.5960001945495597</v>
          </cell>
          <cell r="BB22">
            <v>8.2200002670288104</v>
          </cell>
          <cell r="BC22">
            <v>8.9099998474121094</v>
          </cell>
          <cell r="BD22">
            <v>9.6630001068115199</v>
          </cell>
          <cell r="BE22">
            <v>10.4659996032715</v>
          </cell>
          <cell r="BF22">
            <v>11.310000419616699</v>
          </cell>
          <cell r="BG22">
            <v>12.182000160217299</v>
          </cell>
          <cell r="BH22">
            <v>12.293000221252401</v>
          </cell>
          <cell r="BI22">
            <v>12.4379997253418</v>
          </cell>
          <cell r="BJ22">
            <v>12.593000411987299</v>
          </cell>
          <cell r="BK22">
            <v>12.753999710083001</v>
          </cell>
        </row>
        <row r="23">
          <cell r="B23" t="str">
            <v>BGD</v>
          </cell>
          <cell r="C23" t="str">
            <v>Wage and salaried workers, total (% of total employment) (modeled ILO estimate)</v>
          </cell>
          <cell r="D23" t="str">
            <v>SL.EMP.WORK.ZS</v>
          </cell>
          <cell r="AJ23">
            <v>30.716999053955099</v>
          </cell>
          <cell r="AK23">
            <v>31.021999359130898</v>
          </cell>
          <cell r="AL23">
            <v>31.306999206543001</v>
          </cell>
          <cell r="AM23">
            <v>31.576999664306602</v>
          </cell>
          <cell r="AN23">
            <v>31.879999160766602</v>
          </cell>
          <cell r="AO23">
            <v>32.169998168945298</v>
          </cell>
          <cell r="AP23">
            <v>32.462001800537102</v>
          </cell>
          <cell r="AQ23">
            <v>32.770999908447301</v>
          </cell>
          <cell r="AR23">
            <v>33.076000213622997</v>
          </cell>
          <cell r="AS23">
            <v>33.398998260497997</v>
          </cell>
          <cell r="AT23">
            <v>33.740001678466797</v>
          </cell>
          <cell r="AU23">
            <v>34.0929985046387</v>
          </cell>
          <cell r="AV23">
            <v>34.480998992919901</v>
          </cell>
          <cell r="AW23">
            <v>34.883998870849602</v>
          </cell>
          <cell r="AX23">
            <v>35.323001861572301</v>
          </cell>
          <cell r="AY23">
            <v>35.775001525878899</v>
          </cell>
          <cell r="AZ23">
            <v>36.261001586914098</v>
          </cell>
          <cell r="BA23">
            <v>36.726001739502003</v>
          </cell>
          <cell r="BB23">
            <v>37.181999206542997</v>
          </cell>
          <cell r="BC23">
            <v>37.659999847412102</v>
          </cell>
          <cell r="BD23">
            <v>38.122001647949197</v>
          </cell>
          <cell r="BE23">
            <v>38.540000915527301</v>
          </cell>
          <cell r="BF23">
            <v>38.889999389648402</v>
          </cell>
          <cell r="BG23">
            <v>39.169998168945298</v>
          </cell>
          <cell r="BH23">
            <v>39.355998992919901</v>
          </cell>
          <cell r="BI23">
            <v>39.402999877929702</v>
          </cell>
          <cell r="BJ23">
            <v>39.499000549316399</v>
          </cell>
          <cell r="BK23">
            <v>39.942001342773402</v>
          </cell>
        </row>
        <row r="24">
          <cell r="B24" t="str">
            <v>BGR</v>
          </cell>
          <cell r="C24" t="str">
            <v>Wage and salaried workers, total (% of total employment) (modeled ILO estimate)</v>
          </cell>
          <cell r="D24" t="str">
            <v>SL.EMP.WORK.ZS</v>
          </cell>
          <cell r="AJ24">
            <v>82.258003234863295</v>
          </cell>
          <cell r="AK24">
            <v>82.406997680664105</v>
          </cell>
          <cell r="AL24">
            <v>82.579002380371094</v>
          </cell>
          <cell r="AM24">
            <v>82.721000671386705</v>
          </cell>
          <cell r="AN24">
            <v>82.882003784179702</v>
          </cell>
          <cell r="AO24">
            <v>83.055000305175795</v>
          </cell>
          <cell r="AP24">
            <v>83.189002990722699</v>
          </cell>
          <cell r="AQ24">
            <v>83.352996826171903</v>
          </cell>
          <cell r="AR24">
            <v>83.484001159667997</v>
          </cell>
          <cell r="AS24">
            <v>83.642997741699205</v>
          </cell>
          <cell r="AT24">
            <v>84.859001159667997</v>
          </cell>
          <cell r="AU24">
            <v>84.886001586914105</v>
          </cell>
          <cell r="AV24">
            <v>84.133003234863295</v>
          </cell>
          <cell r="AW24">
            <v>84.168998718261705</v>
          </cell>
          <cell r="AX24">
            <v>85.963996887207003</v>
          </cell>
          <cell r="AY24">
            <v>86.863998413085895</v>
          </cell>
          <cell r="AZ24">
            <v>87.588996887207003</v>
          </cell>
          <cell r="BA24">
            <v>87.596000671386705</v>
          </cell>
          <cell r="BB24">
            <v>87.519996643066406</v>
          </cell>
          <cell r="BC24">
            <v>87.430999755859403</v>
          </cell>
          <cell r="BD24">
            <v>87.890998840332003</v>
          </cell>
          <cell r="BE24">
            <v>88.414001464843807</v>
          </cell>
          <cell r="BF24">
            <v>87.861999511718807</v>
          </cell>
          <cell r="BG24">
            <v>87.513999938964801</v>
          </cell>
          <cell r="BH24">
            <v>87.972000122070298</v>
          </cell>
          <cell r="BI24">
            <v>88.268997192382798</v>
          </cell>
          <cell r="BJ24">
            <v>88.100997924804702</v>
          </cell>
          <cell r="BK24">
            <v>88.350997924804702</v>
          </cell>
        </row>
        <row r="25">
          <cell r="B25" t="str">
            <v>BHR</v>
          </cell>
          <cell r="C25" t="str">
            <v>Wage and salaried workers, total (% of total employment) (modeled ILO estimate)</v>
          </cell>
          <cell r="D25" t="str">
            <v>SL.EMP.WORK.ZS</v>
          </cell>
          <cell r="AJ25">
            <v>94.471000671386705</v>
          </cell>
          <cell r="AK25">
            <v>94.761001586914105</v>
          </cell>
          <cell r="AL25">
            <v>95.083999633789105</v>
          </cell>
          <cell r="AM25">
            <v>95.242996215820298</v>
          </cell>
          <cell r="AN25">
            <v>95.427001953125</v>
          </cell>
          <cell r="AO25">
            <v>95.610000610351605</v>
          </cell>
          <cell r="AP25">
            <v>95.765998840332003</v>
          </cell>
          <cell r="AQ25">
            <v>95.957000732421903</v>
          </cell>
          <cell r="AR25">
            <v>96.082000732421903</v>
          </cell>
          <cell r="AS25">
            <v>96.172996520996094</v>
          </cell>
          <cell r="AT25">
            <v>96.286003112792997</v>
          </cell>
          <cell r="AU25">
            <v>95.7760009765625</v>
          </cell>
          <cell r="AV25">
            <v>95.877998352050795</v>
          </cell>
          <cell r="AW25">
            <v>95.677001953125</v>
          </cell>
          <cell r="AX25">
            <v>95.950996398925795</v>
          </cell>
          <cell r="AY25">
            <v>95.913002014160199</v>
          </cell>
          <cell r="AZ25">
            <v>96.107002258300795</v>
          </cell>
          <cell r="BA25">
            <v>96.180999755859403</v>
          </cell>
          <cell r="BB25">
            <v>96.271003723144503</v>
          </cell>
          <cell r="BC25">
            <v>97.356002807617202</v>
          </cell>
          <cell r="BD25">
            <v>97.295997619628906</v>
          </cell>
          <cell r="BE25">
            <v>97.294998168945298</v>
          </cell>
          <cell r="BF25">
            <v>97.306999206542997</v>
          </cell>
          <cell r="BG25">
            <v>97.309997558593807</v>
          </cell>
          <cell r="BH25">
            <v>97.305000305175795</v>
          </cell>
          <cell r="BI25">
            <v>97.302001953125</v>
          </cell>
          <cell r="BJ25">
            <v>97.279998779296903</v>
          </cell>
          <cell r="BK25">
            <v>97.244003295898395</v>
          </cell>
        </row>
        <row r="26">
          <cell r="B26" t="str">
            <v>BHS</v>
          </cell>
          <cell r="C26" t="str">
            <v>Wage and salaried workers, total (% of total employment) (modeled ILO estimate)</v>
          </cell>
          <cell r="D26" t="str">
            <v>SL.EMP.WORK.ZS</v>
          </cell>
          <cell r="AJ26">
            <v>87.572998046875</v>
          </cell>
          <cell r="AK26">
            <v>86.762001037597699</v>
          </cell>
          <cell r="AL26">
            <v>86.759002685546903</v>
          </cell>
          <cell r="AM26">
            <v>87.870002746582003</v>
          </cell>
          <cell r="AN26">
            <v>87.804000854492202</v>
          </cell>
          <cell r="AO26">
            <v>87.445999145507798</v>
          </cell>
          <cell r="AP26">
            <v>88.150001525878906</v>
          </cell>
          <cell r="AQ26">
            <v>85.166999816894503</v>
          </cell>
          <cell r="AR26">
            <v>83.991996765136705</v>
          </cell>
          <cell r="AS26">
            <v>85.150001525878906</v>
          </cell>
          <cell r="AT26">
            <v>85.939002990722699</v>
          </cell>
          <cell r="AU26">
            <v>84.522003173828097</v>
          </cell>
          <cell r="AV26">
            <v>85.582000732421903</v>
          </cell>
          <cell r="AW26">
            <v>84.887001037597699</v>
          </cell>
          <cell r="AX26">
            <v>85.351997375488295</v>
          </cell>
          <cell r="AY26">
            <v>85.877998352050795</v>
          </cell>
          <cell r="AZ26">
            <v>86.075996398925795</v>
          </cell>
          <cell r="BA26">
            <v>86.572998046875</v>
          </cell>
          <cell r="BB26">
            <v>86.561996459960895</v>
          </cell>
          <cell r="BC26">
            <v>86.1719970703125</v>
          </cell>
          <cell r="BD26">
            <v>85.704002380371094</v>
          </cell>
          <cell r="BE26">
            <v>85.831001281738295</v>
          </cell>
          <cell r="BF26">
            <v>85.773002624511705</v>
          </cell>
          <cell r="BG26">
            <v>85.949996948242202</v>
          </cell>
          <cell r="BH26">
            <v>85.660003662109403</v>
          </cell>
          <cell r="BI26">
            <v>85.808998107910199</v>
          </cell>
          <cell r="BJ26">
            <v>85.858001708984403</v>
          </cell>
          <cell r="BK26">
            <v>85.902000427246094</v>
          </cell>
        </row>
        <row r="27">
          <cell r="B27" t="str">
            <v>BIH</v>
          </cell>
          <cell r="C27" t="str">
            <v>Wage and salaried workers, total (% of total employment) (modeled ILO estimate)</v>
          </cell>
          <cell r="D27" t="str">
            <v>SL.EMP.WORK.ZS</v>
          </cell>
          <cell r="AJ27">
            <v>60.548000335693402</v>
          </cell>
          <cell r="AK27">
            <v>61.667999267578097</v>
          </cell>
          <cell r="AL27">
            <v>62.666999816894503</v>
          </cell>
          <cell r="AM27">
            <v>63.384998321533203</v>
          </cell>
          <cell r="AN27">
            <v>64.061996459960895</v>
          </cell>
          <cell r="AO27">
            <v>64.240997314453097</v>
          </cell>
          <cell r="AP27">
            <v>65.858001708984403</v>
          </cell>
          <cell r="AQ27">
            <v>66.913002014160199</v>
          </cell>
          <cell r="AR27">
            <v>67.830001831054702</v>
          </cell>
          <cell r="AS27">
            <v>68.679000854492202</v>
          </cell>
          <cell r="AT27">
            <v>69.435997009277301</v>
          </cell>
          <cell r="AU27">
            <v>70.119003295898395</v>
          </cell>
          <cell r="AV27">
            <v>70.768997192382798</v>
          </cell>
          <cell r="AW27">
            <v>71.372001647949205</v>
          </cell>
          <cell r="AX27">
            <v>71.988998413085895</v>
          </cell>
          <cell r="AY27">
            <v>72.513999938964801</v>
          </cell>
          <cell r="AZ27">
            <v>73.005996704101605</v>
          </cell>
          <cell r="BA27">
            <v>72.485000610351605</v>
          </cell>
          <cell r="BB27">
            <v>72.791999816894503</v>
          </cell>
          <cell r="BC27">
            <v>73.441001892089801</v>
          </cell>
          <cell r="BD27">
            <v>74.748001098632798</v>
          </cell>
          <cell r="BE27">
            <v>72.608001708984403</v>
          </cell>
          <cell r="BF27">
            <v>74.858001708984403</v>
          </cell>
          <cell r="BG27">
            <v>76.955001831054702</v>
          </cell>
          <cell r="BH27">
            <v>76.459999084472699</v>
          </cell>
          <cell r="BI27">
            <v>75.958000183105497</v>
          </cell>
          <cell r="BJ27">
            <v>75.444000244140597</v>
          </cell>
          <cell r="BK27">
            <v>78.642997741699205</v>
          </cell>
        </row>
        <row r="28">
          <cell r="B28" t="str">
            <v>BLR</v>
          </cell>
          <cell r="C28" t="str">
            <v>Wage and salaried workers, total (% of total employment) (modeled ILO estimate)</v>
          </cell>
          <cell r="D28" t="str">
            <v>SL.EMP.WORK.ZS</v>
          </cell>
          <cell r="AJ28">
            <v>95.558998107910199</v>
          </cell>
          <cell r="AK28">
            <v>95.568000793457003</v>
          </cell>
          <cell r="AL28">
            <v>95.577003479003906</v>
          </cell>
          <cell r="AM28">
            <v>95.582000732421903</v>
          </cell>
          <cell r="AN28">
            <v>95.586997985839801</v>
          </cell>
          <cell r="AO28">
            <v>95.605003356933594</v>
          </cell>
          <cell r="AP28">
            <v>95.628997802734403</v>
          </cell>
          <cell r="AQ28">
            <v>95.650001525878906</v>
          </cell>
          <cell r="AR28">
            <v>95.668998718261705</v>
          </cell>
          <cell r="AS28">
            <v>95.690002441406307</v>
          </cell>
          <cell r="AT28">
            <v>95.709999084472699</v>
          </cell>
          <cell r="AU28">
            <v>95.730003356933594</v>
          </cell>
          <cell r="AV28">
            <v>95.750999450683594</v>
          </cell>
          <cell r="AW28">
            <v>95.772003173828097</v>
          </cell>
          <cell r="AX28">
            <v>95.791000366210895</v>
          </cell>
          <cell r="AY28">
            <v>95.808998107910199</v>
          </cell>
          <cell r="AZ28">
            <v>95.824996948242202</v>
          </cell>
          <cell r="BA28">
            <v>95.839996337890597</v>
          </cell>
          <cell r="BB28">
            <v>95.856002807617202</v>
          </cell>
          <cell r="BC28">
            <v>95.869003295898395</v>
          </cell>
          <cell r="BD28">
            <v>95.880996704101605</v>
          </cell>
          <cell r="BE28">
            <v>95.893997192382798</v>
          </cell>
          <cell r="BF28">
            <v>95.906997680664105</v>
          </cell>
          <cell r="BG28">
            <v>95.917999267578097</v>
          </cell>
          <cell r="BH28">
            <v>95.930999755859403</v>
          </cell>
          <cell r="BI28">
            <v>95.943000793457003</v>
          </cell>
          <cell r="BJ28">
            <v>95.630996704101605</v>
          </cell>
          <cell r="BK28">
            <v>95.821998596191406</v>
          </cell>
        </row>
        <row r="29">
          <cell r="B29" t="str">
            <v>BLZ</v>
          </cell>
          <cell r="C29" t="str">
            <v>Wage and salaried workers, total (% of total employment) (modeled ILO estimate)</v>
          </cell>
          <cell r="D29" t="str">
            <v>SL.EMP.WORK.ZS</v>
          </cell>
          <cell r="AJ29">
            <v>69.219001770019503</v>
          </cell>
          <cell r="AK29">
            <v>69.208000183105497</v>
          </cell>
          <cell r="AL29">
            <v>69.033996582031307</v>
          </cell>
          <cell r="AM29">
            <v>68.629997253417997</v>
          </cell>
          <cell r="AN29">
            <v>68.397003173828097</v>
          </cell>
          <cell r="AO29">
            <v>65.913002014160199</v>
          </cell>
          <cell r="AP29">
            <v>66.238998413085895</v>
          </cell>
          <cell r="AQ29">
            <v>66.557998657226605</v>
          </cell>
          <cell r="AR29">
            <v>67.058998107910199</v>
          </cell>
          <cell r="AS29">
            <v>67.791999816894503</v>
          </cell>
          <cell r="AT29">
            <v>67.970001220703097</v>
          </cell>
          <cell r="AU29">
            <v>68.318000793457003</v>
          </cell>
          <cell r="AV29">
            <v>68.805999755859403</v>
          </cell>
          <cell r="AW29">
            <v>69.103996276855497</v>
          </cell>
          <cell r="AX29">
            <v>69.388999938964801</v>
          </cell>
          <cell r="AY29">
            <v>69.563003540039105</v>
          </cell>
          <cell r="AZ29">
            <v>69.436996459960895</v>
          </cell>
          <cell r="BA29">
            <v>69.514999389648395</v>
          </cell>
          <cell r="BB29">
            <v>69.347999572753906</v>
          </cell>
          <cell r="BC29">
            <v>69.407997131347699</v>
          </cell>
          <cell r="BD29">
            <v>69.398002624511705</v>
          </cell>
          <cell r="BE29">
            <v>69.315002441406307</v>
          </cell>
          <cell r="BF29">
            <v>69.176002502441406</v>
          </cell>
          <cell r="BG29">
            <v>69.251998901367202</v>
          </cell>
          <cell r="BH29">
            <v>68.011001586914105</v>
          </cell>
          <cell r="BI29">
            <v>66.503997802734403</v>
          </cell>
          <cell r="BJ29">
            <v>66.777999877929702</v>
          </cell>
          <cell r="BK29">
            <v>66.916999816894503</v>
          </cell>
        </row>
        <row r="30">
          <cell r="B30" t="str">
            <v>BMU</v>
          </cell>
          <cell r="C30" t="str">
            <v>Wage and salaried workers, total (% of total employment) (modeled ILO estimate)</v>
          </cell>
          <cell r="D30" t="str">
            <v>SL.EMP.WORK.ZS</v>
          </cell>
        </row>
        <row r="31">
          <cell r="B31" t="str">
            <v>BOL</v>
          </cell>
          <cell r="C31" t="str">
            <v>Wage and salaried workers, total (% of total employment) (modeled ILO estimate)</v>
          </cell>
          <cell r="D31" t="str">
            <v>SL.EMP.WORK.ZS</v>
          </cell>
          <cell r="AJ31">
            <v>28.69700050354</v>
          </cell>
          <cell r="AK31">
            <v>29.058000564575199</v>
          </cell>
          <cell r="AL31">
            <v>29.354000091552699</v>
          </cell>
          <cell r="AM31">
            <v>29.631999969482401</v>
          </cell>
          <cell r="AN31">
            <v>29.893999099731399</v>
          </cell>
          <cell r="AO31">
            <v>30.1809997558594</v>
          </cell>
          <cell r="AP31">
            <v>30.468999862670898</v>
          </cell>
          <cell r="AQ31">
            <v>30.743000030517599</v>
          </cell>
          <cell r="AR31">
            <v>31.097999572753899</v>
          </cell>
          <cell r="AS31">
            <v>31.941999435424801</v>
          </cell>
          <cell r="AT31">
            <v>33.608001708984403</v>
          </cell>
          <cell r="AU31">
            <v>32.323001861572301</v>
          </cell>
          <cell r="AV31">
            <v>34.504001617431598</v>
          </cell>
          <cell r="AW31">
            <v>36.665000915527301</v>
          </cell>
          <cell r="AX31">
            <v>35.333999633789098</v>
          </cell>
          <cell r="AY31">
            <v>35.192001342773402</v>
          </cell>
          <cell r="AZ31">
            <v>38.349998474121101</v>
          </cell>
          <cell r="BA31">
            <v>37.484001159667997</v>
          </cell>
          <cell r="BB31">
            <v>36.666000366210902</v>
          </cell>
          <cell r="BC31">
            <v>35.7960014343262</v>
          </cell>
          <cell r="BD31">
            <v>34.8950004577637</v>
          </cell>
          <cell r="BE31">
            <v>34.000999450683601</v>
          </cell>
          <cell r="BF31">
            <v>33.083000183105497</v>
          </cell>
          <cell r="BG31">
            <v>32.175998687744098</v>
          </cell>
          <cell r="BH31">
            <v>31.2959995269775</v>
          </cell>
          <cell r="BI31">
            <v>30.396999359130898</v>
          </cell>
          <cell r="BJ31">
            <v>31.1380004882813</v>
          </cell>
          <cell r="BK31">
            <v>31.468000411987301</v>
          </cell>
        </row>
        <row r="32">
          <cell r="B32" t="str">
            <v>BRA</v>
          </cell>
          <cell r="C32" t="str">
            <v>Wage and salaried workers, total (% of total employment) (modeled ILO estimate)</v>
          </cell>
          <cell r="D32" t="str">
            <v>SL.EMP.WORK.ZS</v>
          </cell>
          <cell r="AJ32">
            <v>61.891998291015597</v>
          </cell>
          <cell r="AK32">
            <v>62.050998687744098</v>
          </cell>
          <cell r="AL32">
            <v>62.2299995422363</v>
          </cell>
          <cell r="AM32">
            <v>62.409999847412102</v>
          </cell>
          <cell r="AN32">
            <v>62.581001281738303</v>
          </cell>
          <cell r="AO32">
            <v>63.979000091552699</v>
          </cell>
          <cell r="AP32">
            <v>63.215999603271499</v>
          </cell>
          <cell r="AQ32">
            <v>63.0789985656738</v>
          </cell>
          <cell r="AR32">
            <v>62.452999114990199</v>
          </cell>
          <cell r="AS32">
            <v>62.858001708984403</v>
          </cell>
          <cell r="AT32">
            <v>63.196998596191399</v>
          </cell>
          <cell r="AU32">
            <v>63.060001373291001</v>
          </cell>
          <cell r="AV32">
            <v>62.997001647949197</v>
          </cell>
          <cell r="AW32">
            <v>63.563999176025398</v>
          </cell>
          <cell r="AX32">
            <v>63.472000122070298</v>
          </cell>
          <cell r="AY32">
            <v>64.259002685546903</v>
          </cell>
          <cell r="AZ32">
            <v>65.424003601074205</v>
          </cell>
          <cell r="BA32">
            <v>66.446998596191406</v>
          </cell>
          <cell r="BB32">
            <v>66.946998596191406</v>
          </cell>
          <cell r="BC32">
            <v>67.809997558593807</v>
          </cell>
          <cell r="BD32">
            <v>68.511001586914105</v>
          </cell>
          <cell r="BE32">
            <v>70.123001098632798</v>
          </cell>
          <cell r="BF32">
            <v>69.865997314453097</v>
          </cell>
          <cell r="BG32">
            <v>69.987998962402301</v>
          </cell>
          <cell r="BH32">
            <v>68.695999145507798</v>
          </cell>
          <cell r="BI32">
            <v>68.246002197265597</v>
          </cell>
          <cell r="BJ32">
            <v>67.695999145507798</v>
          </cell>
          <cell r="BK32">
            <v>67.248001098632798</v>
          </cell>
        </row>
        <row r="33">
          <cell r="B33" t="str">
            <v>BRB</v>
          </cell>
          <cell r="C33" t="str">
            <v>Wage and salaried workers, total (% of total employment) (modeled ILO estimate)</v>
          </cell>
          <cell r="D33" t="str">
            <v>SL.EMP.WORK.ZS</v>
          </cell>
          <cell r="AJ33">
            <v>87.291000366210895</v>
          </cell>
          <cell r="AK33">
            <v>86.992996215820298</v>
          </cell>
          <cell r="AL33">
            <v>85.833999633789105</v>
          </cell>
          <cell r="AM33">
            <v>87.008003234863295</v>
          </cell>
          <cell r="AN33">
            <v>87.115997314453097</v>
          </cell>
          <cell r="AO33">
            <v>87.287002563476605</v>
          </cell>
          <cell r="AP33">
            <v>87.846000671386705</v>
          </cell>
          <cell r="AQ33">
            <v>87.394996643066406</v>
          </cell>
          <cell r="AR33">
            <v>86.011001586914105</v>
          </cell>
          <cell r="AS33">
            <v>87.299003601074205</v>
          </cell>
          <cell r="AT33">
            <v>85.935997009277301</v>
          </cell>
          <cell r="AU33">
            <v>85.929000854492202</v>
          </cell>
          <cell r="AV33">
            <v>85.565002441406307</v>
          </cell>
          <cell r="AW33">
            <v>84.763999938964801</v>
          </cell>
          <cell r="AX33">
            <v>84.739997863769503</v>
          </cell>
          <cell r="AY33">
            <v>84.736000061035199</v>
          </cell>
          <cell r="AZ33">
            <v>84.538002014160199</v>
          </cell>
          <cell r="BA33">
            <v>84.324996948242202</v>
          </cell>
          <cell r="BB33">
            <v>83.899002075195298</v>
          </cell>
          <cell r="BC33">
            <v>83.750999450683594</v>
          </cell>
          <cell r="BD33">
            <v>83.617996215820298</v>
          </cell>
          <cell r="BE33">
            <v>83.431999206542997</v>
          </cell>
          <cell r="BF33">
            <v>83.213996887207003</v>
          </cell>
          <cell r="BG33">
            <v>83.241996765136705</v>
          </cell>
          <cell r="BH33">
            <v>83.318000793457003</v>
          </cell>
          <cell r="BI33">
            <v>83.386001586914105</v>
          </cell>
          <cell r="BJ33">
            <v>83.374000549316406</v>
          </cell>
          <cell r="BK33">
            <v>83.318000793457003</v>
          </cell>
        </row>
        <row r="34">
          <cell r="B34" t="str">
            <v>BRN</v>
          </cell>
          <cell r="C34" t="str">
            <v>Wage and salaried workers, total (% of total employment) (modeled ILO estimate)</v>
          </cell>
          <cell r="D34" t="str">
            <v>SL.EMP.WORK.ZS</v>
          </cell>
          <cell r="AJ34">
            <v>94.932998657226605</v>
          </cell>
          <cell r="AK34">
            <v>94.858001708984403</v>
          </cell>
          <cell r="AL34">
            <v>94.790000915527301</v>
          </cell>
          <cell r="AM34">
            <v>94.725997924804702</v>
          </cell>
          <cell r="AN34">
            <v>94.647003173828097</v>
          </cell>
          <cell r="AO34">
            <v>94.544998168945298</v>
          </cell>
          <cell r="AP34">
            <v>94.433998107910199</v>
          </cell>
          <cell r="AQ34">
            <v>94.353996276855497</v>
          </cell>
          <cell r="AR34">
            <v>94.2239990234375</v>
          </cell>
          <cell r="AS34">
            <v>94.059997558593807</v>
          </cell>
          <cell r="AT34">
            <v>93.969001770019503</v>
          </cell>
          <cell r="AU34">
            <v>93.8489990234375</v>
          </cell>
          <cell r="AV34">
            <v>93.699996948242202</v>
          </cell>
          <cell r="AW34">
            <v>93.529998779296903</v>
          </cell>
          <cell r="AX34">
            <v>93.350997924804702</v>
          </cell>
          <cell r="AY34">
            <v>93.206001281738295</v>
          </cell>
          <cell r="AZ34">
            <v>93.053001403808594</v>
          </cell>
          <cell r="BA34">
            <v>92.837997436523395</v>
          </cell>
          <cell r="BB34">
            <v>92.719001770019503</v>
          </cell>
          <cell r="BC34">
            <v>92.535003662109403</v>
          </cell>
          <cell r="BD34">
            <v>92.311996459960895</v>
          </cell>
          <cell r="BE34">
            <v>92.115997314453097</v>
          </cell>
          <cell r="BF34">
            <v>91.902999877929702</v>
          </cell>
          <cell r="BG34">
            <v>91.665000915527301</v>
          </cell>
          <cell r="BH34">
            <v>91.5989990234375</v>
          </cell>
          <cell r="BI34">
            <v>91.402000427246094</v>
          </cell>
          <cell r="BJ34">
            <v>91.088996887207003</v>
          </cell>
          <cell r="BK34">
            <v>91.119003295898395</v>
          </cell>
        </row>
        <row r="35">
          <cell r="B35" t="str">
            <v>BTN</v>
          </cell>
          <cell r="C35" t="str">
            <v>Wage and salaried workers, total (% of total employment) (modeled ILO estimate)</v>
          </cell>
          <cell r="D35" t="str">
            <v>SL.EMP.WORK.ZS</v>
          </cell>
          <cell r="AJ35">
            <v>20.5890007019043</v>
          </cell>
          <cell r="AK35">
            <v>20.993000030517599</v>
          </cell>
          <cell r="AL35">
            <v>21.375</v>
          </cell>
          <cell r="AM35">
            <v>21.818000793456999</v>
          </cell>
          <cell r="AN35">
            <v>22.315000534057599</v>
          </cell>
          <cell r="AO35">
            <v>22.7730007171631</v>
          </cell>
          <cell r="AP35">
            <v>23.229000091552699</v>
          </cell>
          <cell r="AQ35">
            <v>23.705999374389599</v>
          </cell>
          <cell r="AR35">
            <v>24.2399997711182</v>
          </cell>
          <cell r="AS35">
            <v>24.7700004577637</v>
          </cell>
          <cell r="AT35">
            <v>25.343999862670898</v>
          </cell>
          <cell r="AU35">
            <v>25.9939994812012</v>
          </cell>
          <cell r="AV35">
            <v>26.597999572753899</v>
          </cell>
          <cell r="AW35">
            <v>27.183000564575199</v>
          </cell>
          <cell r="AX35">
            <v>27.811000823974599</v>
          </cell>
          <cell r="AY35">
            <v>28.3619995117188</v>
          </cell>
          <cell r="AZ35">
            <v>29.136999130248999</v>
          </cell>
          <cell r="BA35">
            <v>29.6609992980957</v>
          </cell>
          <cell r="BB35">
            <v>30.211999893188501</v>
          </cell>
          <cell r="BC35">
            <v>30.8910007476807</v>
          </cell>
          <cell r="BD35">
            <v>28.8850002288818</v>
          </cell>
          <cell r="BE35">
            <v>29.1079998016357</v>
          </cell>
          <cell r="BF35">
            <v>28.9640007019043</v>
          </cell>
          <cell r="BG35">
            <v>28.906000137329102</v>
          </cell>
          <cell r="BH35">
            <v>27.072999954223601</v>
          </cell>
          <cell r="BI35">
            <v>27.478000640869102</v>
          </cell>
          <cell r="BJ35">
            <v>27.808000564575199</v>
          </cell>
          <cell r="BK35">
            <v>28.083999633789102</v>
          </cell>
        </row>
        <row r="36">
          <cell r="B36" t="str">
            <v>BWA</v>
          </cell>
          <cell r="C36" t="str">
            <v>Wage and salaried workers, total (% of total employment) (modeled ILO estimate)</v>
          </cell>
          <cell r="D36" t="str">
            <v>SL.EMP.WORK.ZS</v>
          </cell>
          <cell r="AJ36">
            <v>65.624000549316406</v>
          </cell>
          <cell r="AK36">
            <v>65.830001831054702</v>
          </cell>
          <cell r="AL36">
            <v>66.000999450683594</v>
          </cell>
          <cell r="AM36">
            <v>66.169998168945298</v>
          </cell>
          <cell r="AN36">
            <v>66.444000244140597</v>
          </cell>
          <cell r="AO36">
            <v>66.712997436523395</v>
          </cell>
          <cell r="AP36">
            <v>66.976997375488295</v>
          </cell>
          <cell r="AQ36">
            <v>67.234001159667997</v>
          </cell>
          <cell r="AR36">
            <v>67.486999511718807</v>
          </cell>
          <cell r="AS36">
            <v>67.733001708984403</v>
          </cell>
          <cell r="AT36">
            <v>67.972999572753906</v>
          </cell>
          <cell r="AU36">
            <v>68.1719970703125</v>
          </cell>
          <cell r="AV36">
            <v>68.358001708984403</v>
          </cell>
          <cell r="AW36">
            <v>68.536003112792997</v>
          </cell>
          <cell r="AX36">
            <v>68.707000732421903</v>
          </cell>
          <cell r="AY36">
            <v>68.869003295898395</v>
          </cell>
          <cell r="AZ36">
            <v>69.148002624511705</v>
          </cell>
          <cell r="BA36">
            <v>69.419998168945298</v>
          </cell>
          <cell r="BB36">
            <v>69.688003540039105</v>
          </cell>
          <cell r="BC36">
            <v>69.950996398925795</v>
          </cell>
          <cell r="BD36">
            <v>70.205001831054702</v>
          </cell>
          <cell r="BE36">
            <v>70.390998840332003</v>
          </cell>
          <cell r="BF36">
            <v>70.557998657226605</v>
          </cell>
          <cell r="BG36">
            <v>70.7239990234375</v>
          </cell>
          <cell r="BH36">
            <v>70.889999389648395</v>
          </cell>
          <cell r="BI36">
            <v>71.0469970703125</v>
          </cell>
          <cell r="BJ36">
            <v>71.199996948242202</v>
          </cell>
          <cell r="BK36">
            <v>71.347000122070298</v>
          </cell>
        </row>
        <row r="37">
          <cell r="B37" t="str">
            <v>CAF</v>
          </cell>
          <cell r="C37" t="str">
            <v>Wage and salaried workers, total (% of total employment) (modeled ILO estimate)</v>
          </cell>
          <cell r="D37" t="str">
            <v>SL.EMP.WORK.ZS</v>
          </cell>
          <cell r="AJ37">
            <v>6.8319997787475604</v>
          </cell>
          <cell r="AK37">
            <v>6.7849998474121103</v>
          </cell>
          <cell r="AL37">
            <v>6.7849998474121103</v>
          </cell>
          <cell r="AM37">
            <v>6.8150000572204599</v>
          </cell>
          <cell r="AN37">
            <v>6.86199998855591</v>
          </cell>
          <cell r="AO37">
            <v>6.8379998207092303</v>
          </cell>
          <cell r="AP37">
            <v>6.8759999275207502</v>
          </cell>
          <cell r="AQ37">
            <v>6.9109997749328604</v>
          </cell>
          <cell r="AR37">
            <v>6.9400000572204599</v>
          </cell>
          <cell r="AS37">
            <v>6.92799997329712</v>
          </cell>
          <cell r="AT37">
            <v>6.9650001525878897</v>
          </cell>
          <cell r="AU37">
            <v>6.9970002174377397</v>
          </cell>
          <cell r="AV37">
            <v>6.9689998626709002</v>
          </cell>
          <cell r="AW37">
            <v>7.0170001983642596</v>
          </cell>
          <cell r="AX37">
            <v>7.03200006484985</v>
          </cell>
          <cell r="AY37">
            <v>7.0749998092651403</v>
          </cell>
          <cell r="AZ37">
            <v>7.1180000305175799</v>
          </cell>
          <cell r="BA37">
            <v>7.1449999809265101</v>
          </cell>
          <cell r="BB37">
            <v>7.2210001945495597</v>
          </cell>
          <cell r="BC37">
            <v>7.27600002288818</v>
          </cell>
          <cell r="BD37">
            <v>7.33500003814697</v>
          </cell>
          <cell r="BE37">
            <v>7.40700006484985</v>
          </cell>
          <cell r="BF37">
            <v>7.1329998970031703</v>
          </cell>
          <cell r="BG37">
            <v>7.1659998893737802</v>
          </cell>
          <cell r="BH37">
            <v>7.2259998321533203</v>
          </cell>
          <cell r="BI37">
            <v>7.2870001792907697</v>
          </cell>
          <cell r="BJ37">
            <v>7.3449997901916504</v>
          </cell>
          <cell r="BK37">
            <v>7.4050002098083496</v>
          </cell>
        </row>
        <row r="38">
          <cell r="B38" t="str">
            <v>CAN</v>
          </cell>
          <cell r="C38" t="str">
            <v>Wage and salaried workers, total (% of total employment) (modeled ILO estimate)</v>
          </cell>
          <cell r="D38" t="str">
            <v>SL.EMP.WORK.ZS</v>
          </cell>
          <cell r="AJ38">
            <v>85.254997253417997</v>
          </cell>
          <cell r="AK38">
            <v>84.859001159667997</v>
          </cell>
          <cell r="AL38">
            <v>84.278999328613295</v>
          </cell>
          <cell r="AM38">
            <v>84.467002868652301</v>
          </cell>
          <cell r="AN38">
            <v>84.332000732421903</v>
          </cell>
          <cell r="AO38">
            <v>83.800003051757798</v>
          </cell>
          <cell r="AP38">
            <v>82.902999877929702</v>
          </cell>
          <cell r="AQ38">
            <v>82.817001342773395</v>
          </cell>
          <cell r="AR38">
            <v>83.049003601074205</v>
          </cell>
          <cell r="AS38">
            <v>83.869003295898395</v>
          </cell>
          <cell r="AT38">
            <v>84.745002746582003</v>
          </cell>
          <cell r="AU38">
            <v>84.799003601074205</v>
          </cell>
          <cell r="AV38">
            <v>84.597999572753906</v>
          </cell>
          <cell r="AW38">
            <v>84.569999694824205</v>
          </cell>
          <cell r="AX38">
            <v>84.389999389648395</v>
          </cell>
          <cell r="AY38">
            <v>84.728996276855497</v>
          </cell>
          <cell r="AZ38">
            <v>84.503997802734403</v>
          </cell>
          <cell r="BA38">
            <v>84.4219970703125</v>
          </cell>
          <cell r="BB38">
            <v>83.9010009765625</v>
          </cell>
          <cell r="BC38">
            <v>84.193000793457003</v>
          </cell>
          <cell r="BD38">
            <v>84.540000915527301</v>
          </cell>
          <cell r="BE38">
            <v>84.642997741699205</v>
          </cell>
          <cell r="BF38">
            <v>84.566001892089801</v>
          </cell>
          <cell r="BG38">
            <v>84.691001892089801</v>
          </cell>
          <cell r="BH38">
            <v>84.622001647949205</v>
          </cell>
          <cell r="BI38">
            <v>84.680999755859403</v>
          </cell>
          <cell r="BJ38">
            <v>84.759002685546903</v>
          </cell>
          <cell r="BK38">
            <v>84.667999267578097</v>
          </cell>
        </row>
        <row r="39">
          <cell r="B39" t="str">
            <v>CEB</v>
          </cell>
          <cell r="C39" t="str">
            <v>Wage and salaried workers, total (% of total employment) (modeled ILO estimate)</v>
          </cell>
          <cell r="D39" t="str">
            <v>SL.EMP.WORK.ZS</v>
          </cell>
          <cell r="AJ39">
            <v>75.752294621951464</v>
          </cell>
          <cell r="AK39">
            <v>74.266427197350978</v>
          </cell>
          <cell r="AL39">
            <v>74.087048339862136</v>
          </cell>
          <cell r="AM39">
            <v>74.462638186064993</v>
          </cell>
          <cell r="AN39">
            <v>74.121592622694862</v>
          </cell>
          <cell r="AO39">
            <v>74.586407032404693</v>
          </cell>
          <cell r="AP39">
            <v>73.978635144917433</v>
          </cell>
          <cell r="AQ39">
            <v>74.116402731965806</v>
          </cell>
          <cell r="AR39">
            <v>73.662984663164607</v>
          </cell>
          <cell r="AS39">
            <v>73.132854176611033</v>
          </cell>
          <cell r="AT39">
            <v>73.098527750869465</v>
          </cell>
          <cell r="AU39">
            <v>75.07540541624742</v>
          </cell>
          <cell r="AV39">
            <v>75.432446119650606</v>
          </cell>
          <cell r="AW39">
            <v>76.548667834094886</v>
          </cell>
          <cell r="AX39">
            <v>77.073098511730663</v>
          </cell>
          <cell r="AY39">
            <v>78.03908606550533</v>
          </cell>
          <cell r="AZ39">
            <v>78.676123093863723</v>
          </cell>
          <cell r="BA39">
            <v>79.271094691963171</v>
          </cell>
          <cell r="BB39">
            <v>78.921317574326125</v>
          </cell>
          <cell r="BC39">
            <v>78.11471103563629</v>
          </cell>
          <cell r="BD39">
            <v>78.627056959446904</v>
          </cell>
          <cell r="BE39">
            <v>78.889763152429708</v>
          </cell>
          <cell r="BF39">
            <v>79.319405785445966</v>
          </cell>
          <cell r="BG39">
            <v>79.725709242060049</v>
          </cell>
          <cell r="BH39">
            <v>80.560261946515297</v>
          </cell>
          <cell r="BI39">
            <v>81.361049818381161</v>
          </cell>
          <cell r="BJ39">
            <v>81.614065415183902</v>
          </cell>
          <cell r="BK39">
            <v>81.951529171024731</v>
          </cell>
        </row>
        <row r="40">
          <cell r="B40" t="str">
            <v>CHE</v>
          </cell>
          <cell r="C40" t="str">
            <v>Wage and salaried workers, total (% of total employment) (modeled ILO estimate)</v>
          </cell>
          <cell r="D40" t="str">
            <v>SL.EMP.WORK.ZS</v>
          </cell>
          <cell r="AJ40">
            <v>82.039001464843807</v>
          </cell>
          <cell r="AK40">
            <v>82.038002014160199</v>
          </cell>
          <cell r="AL40">
            <v>82.041000366210895</v>
          </cell>
          <cell r="AM40">
            <v>82.108001708984403</v>
          </cell>
          <cell r="AN40">
            <v>82.146003723144503</v>
          </cell>
          <cell r="AO40">
            <v>82.196998596191406</v>
          </cell>
          <cell r="AP40">
            <v>81.617996215820298</v>
          </cell>
          <cell r="AQ40">
            <v>82.166999816894503</v>
          </cell>
          <cell r="AR40">
            <v>82.013000488281307</v>
          </cell>
          <cell r="AS40">
            <v>81.984001159667997</v>
          </cell>
          <cell r="AT40">
            <v>82.841003417968807</v>
          </cell>
          <cell r="AU40">
            <v>83.053001403808594</v>
          </cell>
          <cell r="AV40">
            <v>82.489997863769503</v>
          </cell>
          <cell r="AW40">
            <v>83.773002624511705</v>
          </cell>
          <cell r="AX40">
            <v>83.978996276855497</v>
          </cell>
          <cell r="AY40">
            <v>84.079002380371094</v>
          </cell>
          <cell r="AZ40">
            <v>83.850997924804702</v>
          </cell>
          <cell r="BA40">
            <v>84.122001647949205</v>
          </cell>
          <cell r="BB40">
            <v>84.75</v>
          </cell>
          <cell r="BC40">
            <v>84.275001525878906</v>
          </cell>
          <cell r="BD40">
            <v>84.597999572753906</v>
          </cell>
          <cell r="BE40">
            <v>84.694999694824205</v>
          </cell>
          <cell r="BF40">
            <v>84.668998718261705</v>
          </cell>
          <cell r="BG40">
            <v>84.732002258300795</v>
          </cell>
          <cell r="BH40">
            <v>85.133003234863295</v>
          </cell>
          <cell r="BI40">
            <v>84.942001342773395</v>
          </cell>
          <cell r="BJ40">
            <v>85.143997192382798</v>
          </cell>
          <cell r="BK40">
            <v>85.253997802734403</v>
          </cell>
        </row>
        <row r="41">
          <cell r="B41" t="str">
            <v>CHI</v>
          </cell>
          <cell r="C41" t="str">
            <v>Wage and salaried workers, total (% of total employment) (modeled ILO estimate)</v>
          </cell>
          <cell r="D41" t="str">
            <v>SL.EMP.WORK.ZS</v>
          </cell>
          <cell r="AJ41">
            <v>83.040000915527301</v>
          </cell>
          <cell r="AK41">
            <v>83.147003173828097</v>
          </cell>
          <cell r="AL41">
            <v>83.282997131347699</v>
          </cell>
          <cell r="AM41">
            <v>83.443000793457003</v>
          </cell>
          <cell r="AN41">
            <v>83.597000122070298</v>
          </cell>
          <cell r="AO41">
            <v>83.739997863769503</v>
          </cell>
          <cell r="AP41">
            <v>83.890998840332003</v>
          </cell>
          <cell r="AQ41">
            <v>83.990997314453097</v>
          </cell>
          <cell r="AR41">
            <v>84.127998352050795</v>
          </cell>
          <cell r="AS41">
            <v>84.297996520996094</v>
          </cell>
          <cell r="AT41">
            <v>84.349998474121094</v>
          </cell>
          <cell r="AU41">
            <v>84.410003662109403</v>
          </cell>
          <cell r="AV41">
            <v>84.471000671386705</v>
          </cell>
          <cell r="AW41">
            <v>84.553001403808594</v>
          </cell>
          <cell r="AX41">
            <v>84.641998291015597</v>
          </cell>
          <cell r="AY41">
            <v>84.747001647949205</v>
          </cell>
          <cell r="AZ41">
            <v>84.823997497558594</v>
          </cell>
          <cell r="BA41">
            <v>84.875999450683594</v>
          </cell>
          <cell r="BB41">
            <v>84.821998596191406</v>
          </cell>
          <cell r="BC41">
            <v>84.899002075195298</v>
          </cell>
          <cell r="BD41">
            <v>84.980003356933594</v>
          </cell>
          <cell r="BE41">
            <v>85.028999328613295</v>
          </cell>
          <cell r="BF41">
            <v>85.073997497558594</v>
          </cell>
          <cell r="BG41">
            <v>85.135002136230497</v>
          </cell>
          <cell r="BH41">
            <v>85.161003112792997</v>
          </cell>
          <cell r="BI41">
            <v>85.200996398925795</v>
          </cell>
          <cell r="BJ41">
            <v>85.269996643066406</v>
          </cell>
          <cell r="BK41">
            <v>85.320999145507798</v>
          </cell>
        </row>
        <row r="42">
          <cell r="B42" t="str">
            <v>CHL</v>
          </cell>
          <cell r="C42" t="str">
            <v>Wage and salaried workers, total (% of total employment) (modeled ILO estimate)</v>
          </cell>
          <cell r="D42" t="str">
            <v>SL.EMP.WORK.ZS</v>
          </cell>
          <cell r="AJ42">
            <v>68.140998840332003</v>
          </cell>
          <cell r="AK42">
            <v>68.663002014160199</v>
          </cell>
          <cell r="AL42">
            <v>69.007003784179702</v>
          </cell>
          <cell r="AM42">
            <v>69.283996582031307</v>
          </cell>
          <cell r="AN42">
            <v>69.676002502441406</v>
          </cell>
          <cell r="AO42">
            <v>70.075996398925795</v>
          </cell>
          <cell r="AP42">
            <v>70.399002075195298</v>
          </cell>
          <cell r="AQ42">
            <v>69.189002990722699</v>
          </cell>
          <cell r="AR42">
            <v>69.204002380371094</v>
          </cell>
          <cell r="AS42">
            <v>69.4219970703125</v>
          </cell>
          <cell r="AT42">
            <v>68.608001708984403</v>
          </cell>
          <cell r="AU42">
            <v>68.471000671386705</v>
          </cell>
          <cell r="AV42">
            <v>68.237998962402301</v>
          </cell>
          <cell r="AW42">
            <v>68.158996582031307</v>
          </cell>
          <cell r="AX42">
            <v>70.155998229980497</v>
          </cell>
          <cell r="AY42">
            <v>71.077003479003906</v>
          </cell>
          <cell r="AZ42">
            <v>72.127998352050795</v>
          </cell>
          <cell r="BA42">
            <v>72.753997802734403</v>
          </cell>
          <cell r="BB42">
            <v>73.069000244140597</v>
          </cell>
          <cell r="BC42">
            <v>73.510002136230497</v>
          </cell>
          <cell r="BD42">
            <v>73.623001098632798</v>
          </cell>
          <cell r="BE42">
            <v>74.922996520996094</v>
          </cell>
          <cell r="BF42">
            <v>74.577003479003906</v>
          </cell>
          <cell r="BG42">
            <v>74.127998352050795</v>
          </cell>
          <cell r="BH42">
            <v>74.350997924804702</v>
          </cell>
          <cell r="BI42">
            <v>73.5260009765625</v>
          </cell>
          <cell r="BJ42">
            <v>72.568000793457003</v>
          </cell>
          <cell r="BK42">
            <v>72.886001586914105</v>
          </cell>
        </row>
        <row r="43">
          <cell r="B43" t="str">
            <v>CHN</v>
          </cell>
          <cell r="C43" t="str">
            <v>Wage and salaried workers, total (% of total employment) (modeled ILO estimate)</v>
          </cell>
          <cell r="D43" t="str">
            <v>SL.EMP.WORK.ZS</v>
          </cell>
          <cell r="AJ43">
            <v>31</v>
          </cell>
          <cell r="AK43">
            <v>31.715000152587901</v>
          </cell>
          <cell r="AL43">
            <v>32.441001892089801</v>
          </cell>
          <cell r="AM43">
            <v>33.176998138427699</v>
          </cell>
          <cell r="AN43">
            <v>33.922000885009801</v>
          </cell>
          <cell r="AO43">
            <v>34.676998138427699</v>
          </cell>
          <cell r="AP43">
            <v>35.441001892089801</v>
          </cell>
          <cell r="AQ43">
            <v>36.214000701904297</v>
          </cell>
          <cell r="AR43">
            <v>36.9939994812012</v>
          </cell>
          <cell r="AS43">
            <v>37.783000946044901</v>
          </cell>
          <cell r="AT43">
            <v>38.599998474121101</v>
          </cell>
          <cell r="AU43">
            <v>39.436000823974602</v>
          </cell>
          <cell r="AV43">
            <v>40.279998779296903</v>
          </cell>
          <cell r="AW43">
            <v>41.130001068115199</v>
          </cell>
          <cell r="AX43">
            <v>41.986000061035199</v>
          </cell>
          <cell r="AY43">
            <v>42.841999053955099</v>
          </cell>
          <cell r="AZ43">
            <v>43.699001312255902</v>
          </cell>
          <cell r="BA43">
            <v>44.557998657226598</v>
          </cell>
          <cell r="BB43">
            <v>45.418998718261697</v>
          </cell>
          <cell r="BC43">
            <v>46.279998779296903</v>
          </cell>
          <cell r="BD43">
            <v>47.132999420166001</v>
          </cell>
          <cell r="BE43">
            <v>47.981998443603501</v>
          </cell>
          <cell r="BF43">
            <v>48.827999114990199</v>
          </cell>
          <cell r="BG43">
            <v>49.6710014343262</v>
          </cell>
          <cell r="BH43">
            <v>50.511001586914098</v>
          </cell>
          <cell r="BI43">
            <v>51.346000671386697</v>
          </cell>
          <cell r="BJ43">
            <v>52.176998138427699</v>
          </cell>
          <cell r="BK43">
            <v>53</v>
          </cell>
        </row>
        <row r="44">
          <cell r="B44" t="str">
            <v>CIV</v>
          </cell>
          <cell r="C44" t="str">
            <v>Wage and salaried workers, total (% of total employment) (modeled ILO estimate)</v>
          </cell>
          <cell r="D44" t="str">
            <v>SL.EMP.WORK.ZS</v>
          </cell>
          <cell r="AJ44">
            <v>21.216999053955099</v>
          </cell>
          <cell r="AK44">
            <v>21.1350002288818</v>
          </cell>
          <cell r="AL44">
            <v>21.058000564575199</v>
          </cell>
          <cell r="AM44">
            <v>21.0160007476807</v>
          </cell>
          <cell r="AN44">
            <v>21.152999877929702</v>
          </cell>
          <cell r="AO44">
            <v>21.316999435424801</v>
          </cell>
          <cell r="AP44">
            <v>21.3719997406006</v>
          </cell>
          <cell r="AQ44">
            <v>21.471000671386701</v>
          </cell>
          <cell r="AR44">
            <v>21.481000900268601</v>
          </cell>
          <cell r="AS44">
            <v>21.3910007476807</v>
          </cell>
          <cell r="AT44">
            <v>21.3850002288818</v>
          </cell>
          <cell r="AU44">
            <v>21.333000183105501</v>
          </cell>
          <cell r="AV44">
            <v>21.299999237060501</v>
          </cell>
          <cell r="AW44">
            <v>21.346000671386701</v>
          </cell>
          <cell r="AX44">
            <v>21.412000656127901</v>
          </cell>
          <cell r="AY44">
            <v>21.4769992828369</v>
          </cell>
          <cell r="AZ44">
            <v>21.555000305175799</v>
          </cell>
          <cell r="BA44">
            <v>21.6609992980957</v>
          </cell>
          <cell r="BB44">
            <v>21.7929992675781</v>
          </cell>
          <cell r="BC44">
            <v>21.900999069213899</v>
          </cell>
          <cell r="BD44">
            <v>21.830999374389599</v>
          </cell>
          <cell r="BE44">
            <v>22.1809997558594</v>
          </cell>
          <cell r="BF44">
            <v>23.42799949646</v>
          </cell>
          <cell r="BG44">
            <v>23.974000930786101</v>
          </cell>
          <cell r="BH44">
            <v>24.517999649047901</v>
          </cell>
          <cell r="BI44">
            <v>25.021999359130898</v>
          </cell>
          <cell r="BJ44">
            <v>26.6019992828369</v>
          </cell>
          <cell r="BK44">
            <v>26.926000595092798</v>
          </cell>
        </row>
        <row r="45">
          <cell r="B45" t="str">
            <v>CMR</v>
          </cell>
          <cell r="C45" t="str">
            <v>Wage and salaried workers, total (% of total employment) (modeled ILO estimate)</v>
          </cell>
          <cell r="D45" t="str">
            <v>SL.EMP.WORK.ZS</v>
          </cell>
          <cell r="AJ45">
            <v>14.9540004730225</v>
          </cell>
          <cell r="AK45">
            <v>14.8649997711182</v>
          </cell>
          <cell r="AL45">
            <v>14.677000045776399</v>
          </cell>
          <cell r="AM45">
            <v>14.703000068664601</v>
          </cell>
          <cell r="AN45">
            <v>14.755999565124499</v>
          </cell>
          <cell r="AO45">
            <v>14.831999778747599</v>
          </cell>
          <cell r="AP45">
            <v>15.8730001449585</v>
          </cell>
          <cell r="AQ45">
            <v>16.944999694824201</v>
          </cell>
          <cell r="AR45">
            <v>18.048999786376999</v>
          </cell>
          <cell r="AS45">
            <v>19.172000885009801</v>
          </cell>
          <cell r="AT45">
            <v>20.3589992523193</v>
          </cell>
          <cell r="AU45">
            <v>20.027000427246101</v>
          </cell>
          <cell r="AV45">
            <v>19.700000762939499</v>
          </cell>
          <cell r="AW45">
            <v>19.424999237060501</v>
          </cell>
          <cell r="AX45">
            <v>19.024999618530298</v>
          </cell>
          <cell r="AY45">
            <v>18.659000396728501</v>
          </cell>
          <cell r="AZ45">
            <v>18.3320007324219</v>
          </cell>
          <cell r="BA45">
            <v>18.9209995269775</v>
          </cell>
          <cell r="BB45">
            <v>19.4799995422363</v>
          </cell>
          <cell r="BC45">
            <v>20.065000534057599</v>
          </cell>
          <cell r="BD45">
            <v>20.666000366210898</v>
          </cell>
          <cell r="BE45">
            <v>21.271999359130898</v>
          </cell>
          <cell r="BF45">
            <v>21.896999359130898</v>
          </cell>
          <cell r="BG45">
            <v>22.527000427246101</v>
          </cell>
          <cell r="BH45">
            <v>22.7269992828369</v>
          </cell>
          <cell r="BI45">
            <v>22.899999618530298</v>
          </cell>
          <cell r="BJ45">
            <v>23.041999816894499</v>
          </cell>
          <cell r="BK45">
            <v>23.195999145507798</v>
          </cell>
        </row>
        <row r="46">
          <cell r="B46" t="str">
            <v>COD</v>
          </cell>
          <cell r="C46" t="str">
            <v>Wage and salaried workers, total (% of total employment) (modeled ILO estimate)</v>
          </cell>
          <cell r="D46" t="str">
            <v>SL.EMP.WORK.ZS</v>
          </cell>
          <cell r="AJ46">
            <v>11.461000442504901</v>
          </cell>
          <cell r="AK46">
            <v>11.2189998626709</v>
          </cell>
          <cell r="AL46">
            <v>10.9619998931885</v>
          </cell>
          <cell r="AM46">
            <v>10.833000183105501</v>
          </cell>
          <cell r="AN46">
            <v>10.7580003738403</v>
          </cell>
          <cell r="AO46">
            <v>10.675000190734901</v>
          </cell>
          <cell r="AP46">
            <v>10.572999954223601</v>
          </cell>
          <cell r="AQ46">
            <v>10.510999679565399</v>
          </cell>
          <cell r="AR46">
            <v>10.435000419616699</v>
          </cell>
          <cell r="AS46">
            <v>10.3450002670288</v>
          </cell>
          <cell r="AT46">
            <v>10.296999931335399</v>
          </cell>
          <cell r="AU46">
            <v>10.291999816894499</v>
          </cell>
          <cell r="AV46">
            <v>10.3129997253418</v>
          </cell>
          <cell r="AW46">
            <v>10.3470001220703</v>
          </cell>
          <cell r="AX46">
            <v>10.385999679565399</v>
          </cell>
          <cell r="AY46">
            <v>11.229000091552701</v>
          </cell>
          <cell r="AZ46">
            <v>12.1330003738403</v>
          </cell>
          <cell r="BA46">
            <v>13.0909996032715</v>
          </cell>
          <cell r="BB46">
            <v>14.076000213623001</v>
          </cell>
          <cell r="BC46">
            <v>15.1479997634888</v>
          </cell>
          <cell r="BD46">
            <v>16.274999618530298</v>
          </cell>
          <cell r="BE46">
            <v>17.4570007324219</v>
          </cell>
          <cell r="BF46">
            <v>17.604000091552699</v>
          </cell>
          <cell r="BG46">
            <v>17.767999649047901</v>
          </cell>
          <cell r="BH46">
            <v>17.909000396728501</v>
          </cell>
          <cell r="BI46">
            <v>17.9909992218018</v>
          </cell>
          <cell r="BJ46">
            <v>18.090000152587901</v>
          </cell>
          <cell r="BK46">
            <v>18.216999053955099</v>
          </cell>
        </row>
        <row r="47">
          <cell r="B47" t="str">
            <v>COG</v>
          </cell>
          <cell r="C47" t="str">
            <v>Wage and salaried workers, total (% of total employment) (modeled ILO estimate)</v>
          </cell>
          <cell r="D47" t="str">
            <v>SL.EMP.WORK.ZS</v>
          </cell>
          <cell r="AJ47">
            <v>21.131999969482401</v>
          </cell>
          <cell r="AK47">
            <v>21.184999465942401</v>
          </cell>
          <cell r="AL47">
            <v>21.149999618530298</v>
          </cell>
          <cell r="AM47">
            <v>20.999000549316399</v>
          </cell>
          <cell r="AN47">
            <v>21.080999374389599</v>
          </cell>
          <cell r="AO47">
            <v>21.170000076293899</v>
          </cell>
          <cell r="AP47">
            <v>21.145999908447301</v>
          </cell>
          <cell r="AQ47">
            <v>21.2329998016357</v>
          </cell>
          <cell r="AR47">
            <v>21.159999847412099</v>
          </cell>
          <cell r="AS47">
            <v>21.325000762939499</v>
          </cell>
          <cell r="AT47">
            <v>21.422000885009801</v>
          </cell>
          <cell r="AU47">
            <v>21.537000656127901</v>
          </cell>
          <cell r="AV47">
            <v>21.563999176025401</v>
          </cell>
          <cell r="AW47">
            <v>21.646999359130898</v>
          </cell>
          <cell r="AX47">
            <v>21.822999954223601</v>
          </cell>
          <cell r="AY47">
            <v>21.9640007019043</v>
          </cell>
          <cell r="AZ47">
            <v>21.926000595092798</v>
          </cell>
          <cell r="BA47">
            <v>22.0459995269775</v>
          </cell>
          <cell r="BB47">
            <v>22.225999832153299</v>
          </cell>
          <cell r="BC47">
            <v>22.423000335693398</v>
          </cell>
          <cell r="BD47">
            <v>22.5160007476807</v>
          </cell>
          <cell r="BE47">
            <v>22.621000289916999</v>
          </cell>
          <cell r="BF47">
            <v>22.722000122070298</v>
          </cell>
          <cell r="BG47">
            <v>22.895999908447301</v>
          </cell>
          <cell r="BH47">
            <v>22.978000640869102</v>
          </cell>
          <cell r="BI47">
            <v>22.9179992675781</v>
          </cell>
          <cell r="BJ47">
            <v>22.840999603271499</v>
          </cell>
          <cell r="BK47">
            <v>22.864000320434599</v>
          </cell>
        </row>
        <row r="48">
          <cell r="B48" t="str">
            <v>COL</v>
          </cell>
          <cell r="C48" t="str">
            <v>Wage and salaried workers, total (% of total employment) (modeled ILO estimate)</v>
          </cell>
          <cell r="D48" t="str">
            <v>SL.EMP.WORK.ZS</v>
          </cell>
          <cell r="AJ48">
            <v>46.389999389648402</v>
          </cell>
          <cell r="AK48">
            <v>46.568000793457003</v>
          </cell>
          <cell r="AL48">
            <v>46.744998931884801</v>
          </cell>
          <cell r="AM48">
            <v>46.922000885009801</v>
          </cell>
          <cell r="AN48">
            <v>47.0989990234375</v>
          </cell>
          <cell r="AO48">
            <v>47.2760009765625</v>
          </cell>
          <cell r="AP48">
            <v>47.451999664306598</v>
          </cell>
          <cell r="AQ48">
            <v>47.629001617431598</v>
          </cell>
          <cell r="AR48">
            <v>47.805999755859403</v>
          </cell>
          <cell r="AS48">
            <v>47.984001159667997</v>
          </cell>
          <cell r="AT48">
            <v>48.162998199462898</v>
          </cell>
          <cell r="AU48">
            <v>49.808998107910199</v>
          </cell>
          <cell r="AV48">
            <v>49.701000213622997</v>
          </cell>
          <cell r="AW48">
            <v>49.055000305175803</v>
          </cell>
          <cell r="AX48">
            <v>49.122001647949197</v>
          </cell>
          <cell r="AY48">
            <v>49.188999176025398</v>
          </cell>
          <cell r="AZ48">
            <v>49.257999420166001</v>
          </cell>
          <cell r="BA48">
            <v>49.326000213622997</v>
          </cell>
          <cell r="BB48">
            <v>47.187999725341797</v>
          </cell>
          <cell r="BC48">
            <v>46.602001190185497</v>
          </cell>
          <cell r="BD48">
            <v>46.457000732421903</v>
          </cell>
          <cell r="BE48">
            <v>46.821998596191399</v>
          </cell>
          <cell r="BF48">
            <v>47.665000915527301</v>
          </cell>
          <cell r="BG48">
            <v>48.487998962402301</v>
          </cell>
          <cell r="BH48">
            <v>48.945999145507798</v>
          </cell>
          <cell r="BI48">
            <v>48.873001098632798</v>
          </cell>
          <cell r="BJ48">
            <v>48.904998779296903</v>
          </cell>
          <cell r="BK48">
            <v>48.6119995117188</v>
          </cell>
        </row>
        <row r="49">
          <cell r="B49" t="str">
            <v>COM</v>
          </cell>
          <cell r="C49" t="str">
            <v>Wage and salaried workers, total (% of total employment) (modeled ILO estimate)</v>
          </cell>
          <cell r="D49" t="str">
            <v>SL.EMP.WORK.ZS</v>
          </cell>
          <cell r="AJ49">
            <v>29.208000183105501</v>
          </cell>
          <cell r="AK49">
            <v>29.396999359130898</v>
          </cell>
          <cell r="AL49">
            <v>29.452999114990199</v>
          </cell>
          <cell r="AM49">
            <v>29.268999099731399</v>
          </cell>
          <cell r="AN49">
            <v>29.330999374389599</v>
          </cell>
          <cell r="AO49">
            <v>29.274999618530298</v>
          </cell>
          <cell r="AP49">
            <v>29.3589992523193</v>
          </cell>
          <cell r="AQ49">
            <v>29.379999160766602</v>
          </cell>
          <cell r="AR49">
            <v>29.415000915527301</v>
          </cell>
          <cell r="AS49">
            <v>29.7040004730225</v>
          </cell>
          <cell r="AT49">
            <v>29.753999710083001</v>
          </cell>
          <cell r="AU49">
            <v>29.8159999847412</v>
          </cell>
          <cell r="AV49">
            <v>29.875</v>
          </cell>
          <cell r="AW49">
            <v>29.927000045776399</v>
          </cell>
          <cell r="AX49">
            <v>30.004999160766602</v>
          </cell>
          <cell r="AY49">
            <v>30.093999862670898</v>
          </cell>
          <cell r="AZ49">
            <v>30.1079998016357</v>
          </cell>
          <cell r="BA49">
            <v>30.2269992828369</v>
          </cell>
          <cell r="BB49">
            <v>30.327999114990199</v>
          </cell>
          <cell r="BC49">
            <v>30.447999954223601</v>
          </cell>
          <cell r="BD49">
            <v>30.577999114990199</v>
          </cell>
          <cell r="BE49">
            <v>30.6870002746582</v>
          </cell>
          <cell r="BF49">
            <v>30.829999923706101</v>
          </cell>
          <cell r="BG49">
            <v>30.9109992980957</v>
          </cell>
          <cell r="BH49">
            <v>30.965000152587901</v>
          </cell>
          <cell r="BI49">
            <v>31.048999786376999</v>
          </cell>
          <cell r="BJ49">
            <v>31.152000427246101</v>
          </cell>
          <cell r="BK49">
            <v>31.261999130248999</v>
          </cell>
        </row>
        <row r="50">
          <cell r="B50" t="str">
            <v>CPV</v>
          </cell>
          <cell r="C50" t="str">
            <v>Wage and salaried workers, total (% of total employment) (modeled ILO estimate)</v>
          </cell>
          <cell r="D50" t="str">
            <v>SL.EMP.WORK.ZS</v>
          </cell>
          <cell r="AJ50">
            <v>46.499000549316399</v>
          </cell>
          <cell r="AK50">
            <v>47.159000396728501</v>
          </cell>
          <cell r="AL50">
            <v>47.777999877929702</v>
          </cell>
          <cell r="AM50">
            <v>48.666000366210902</v>
          </cell>
          <cell r="AN50">
            <v>49.457000732421903</v>
          </cell>
          <cell r="AO50">
            <v>50.173999786377003</v>
          </cell>
          <cell r="AP50">
            <v>50.898998260497997</v>
          </cell>
          <cell r="AQ50">
            <v>51.669998168945298</v>
          </cell>
          <cell r="AR50">
            <v>52.4070014953613</v>
          </cell>
          <cell r="AS50">
            <v>53.244998931884801</v>
          </cell>
          <cell r="AT50">
            <v>53.7239990234375</v>
          </cell>
          <cell r="AU50">
            <v>54.299999237060497</v>
          </cell>
          <cell r="AV50">
            <v>54.798000335693402</v>
          </cell>
          <cell r="AW50">
            <v>55.528999328613303</v>
          </cell>
          <cell r="AX50">
            <v>56.126998901367202</v>
          </cell>
          <cell r="AY50">
            <v>56.757999420166001</v>
          </cell>
          <cell r="AZ50">
            <v>57.6640014648438</v>
          </cell>
          <cell r="BA50">
            <v>58.207000732421903</v>
          </cell>
          <cell r="BB50">
            <v>58.403999328613303</v>
          </cell>
          <cell r="BC50">
            <v>58.696998596191399</v>
          </cell>
          <cell r="BD50">
            <v>59.048000335693402</v>
          </cell>
          <cell r="BE50">
            <v>59.2700004577637</v>
          </cell>
          <cell r="BF50">
            <v>59.450000762939503</v>
          </cell>
          <cell r="BG50">
            <v>59.602001190185497</v>
          </cell>
          <cell r="BH50">
            <v>59.7700004577637</v>
          </cell>
          <cell r="BI50">
            <v>60.118000030517599</v>
          </cell>
          <cell r="BJ50">
            <v>60.423000335693402</v>
          </cell>
          <cell r="BK50">
            <v>60.797000885009801</v>
          </cell>
        </row>
        <row r="51">
          <cell r="B51" t="str">
            <v>CRI</v>
          </cell>
          <cell r="C51" t="str">
            <v>Wage and salaried workers, total (% of total employment) (modeled ILO estimate)</v>
          </cell>
          <cell r="D51" t="str">
            <v>SL.EMP.WORK.ZS</v>
          </cell>
          <cell r="AJ51">
            <v>69.646003723144503</v>
          </cell>
          <cell r="AK51">
            <v>71.924003601074205</v>
          </cell>
          <cell r="AL51">
            <v>71.898002624511705</v>
          </cell>
          <cell r="AM51">
            <v>71.862998962402301</v>
          </cell>
          <cell r="AN51">
            <v>71.382003784179702</v>
          </cell>
          <cell r="AO51">
            <v>71.219001770019503</v>
          </cell>
          <cell r="AP51">
            <v>69.915000915527301</v>
          </cell>
          <cell r="AQ51">
            <v>70.940002441406307</v>
          </cell>
          <cell r="AR51">
            <v>70.962997436523395</v>
          </cell>
          <cell r="AS51">
            <v>70.761001586914105</v>
          </cell>
          <cell r="AT51">
            <v>68.831001281738295</v>
          </cell>
          <cell r="AU51">
            <v>68.300003051757798</v>
          </cell>
          <cell r="AV51">
            <v>69.470001220703097</v>
          </cell>
          <cell r="AW51">
            <v>68.766998291015597</v>
          </cell>
          <cell r="AX51">
            <v>71.411003112792997</v>
          </cell>
          <cell r="AY51">
            <v>70.694000244140597</v>
          </cell>
          <cell r="AZ51">
            <v>73.043998718261705</v>
          </cell>
          <cell r="BA51">
            <v>72.870002746582003</v>
          </cell>
          <cell r="BB51">
            <v>72.681999206542997</v>
          </cell>
          <cell r="BC51">
            <v>75.190002441406307</v>
          </cell>
          <cell r="BD51">
            <v>77.834999084472699</v>
          </cell>
          <cell r="BE51">
            <v>77.257003784179702</v>
          </cell>
          <cell r="BF51">
            <v>74.499000549316406</v>
          </cell>
          <cell r="BG51">
            <v>75.5989990234375</v>
          </cell>
          <cell r="BH51">
            <v>75.686996459960895</v>
          </cell>
          <cell r="BI51">
            <v>76.558998107910199</v>
          </cell>
          <cell r="BJ51">
            <v>75.688003540039105</v>
          </cell>
          <cell r="BK51">
            <v>74.871002197265597</v>
          </cell>
        </row>
        <row r="52">
          <cell r="B52" t="str">
            <v>CSS</v>
          </cell>
          <cell r="C52" t="str">
            <v>Wage and salaried workers, total (% of total employment) (modeled ILO estimate)</v>
          </cell>
          <cell r="D52" t="str">
            <v>SL.EMP.WORK.ZS</v>
          </cell>
          <cell r="AJ52">
            <v>66.859106927417784</v>
          </cell>
          <cell r="AK52">
            <v>66.718033376761454</v>
          </cell>
          <cell r="AL52">
            <v>67.388654206483139</v>
          </cell>
          <cell r="AM52">
            <v>67.688540014117351</v>
          </cell>
          <cell r="AN52">
            <v>68.644465326243818</v>
          </cell>
          <cell r="AO52">
            <v>68.677422416198795</v>
          </cell>
          <cell r="AP52">
            <v>69.048560794700592</v>
          </cell>
          <cell r="AQ52">
            <v>69.107018559406228</v>
          </cell>
          <cell r="AR52">
            <v>68.877265502176755</v>
          </cell>
          <cell r="AS52">
            <v>69.151348276815426</v>
          </cell>
          <cell r="AT52">
            <v>69.303467426068096</v>
          </cell>
          <cell r="AU52">
            <v>70.261292877777151</v>
          </cell>
          <cell r="AV52">
            <v>70.360201312873613</v>
          </cell>
          <cell r="AW52">
            <v>70.58016154530182</v>
          </cell>
          <cell r="AX52">
            <v>71.199448671623244</v>
          </cell>
          <cell r="AY52">
            <v>71.014804777546018</v>
          </cell>
          <cell r="AZ52">
            <v>71.741292440958205</v>
          </cell>
          <cell r="BA52">
            <v>70.533137398686776</v>
          </cell>
          <cell r="BB52">
            <v>70.110453262522356</v>
          </cell>
          <cell r="BC52">
            <v>69.939165659296762</v>
          </cell>
          <cell r="BD52">
            <v>69.904211088179792</v>
          </cell>
          <cell r="BE52">
            <v>70.070498461542869</v>
          </cell>
          <cell r="BF52">
            <v>69.885749847224901</v>
          </cell>
          <cell r="BG52">
            <v>69.961778069575487</v>
          </cell>
          <cell r="BH52">
            <v>69.826804066449498</v>
          </cell>
          <cell r="BI52">
            <v>69.461778212983376</v>
          </cell>
          <cell r="BJ52">
            <v>69.514221928740454</v>
          </cell>
          <cell r="BK52">
            <v>69.515960844752684</v>
          </cell>
        </row>
        <row r="53">
          <cell r="B53" t="str">
            <v>CUB</v>
          </cell>
          <cell r="C53" t="str">
            <v>Wage and salaried workers, total (% of total employment) (modeled ILO estimate)</v>
          </cell>
          <cell r="D53" t="str">
            <v>SL.EMP.WORK.ZS</v>
          </cell>
          <cell r="AJ53">
            <v>91.934997558593807</v>
          </cell>
          <cell r="AK53">
            <v>92.005996704101605</v>
          </cell>
          <cell r="AL53">
            <v>92.010002136230497</v>
          </cell>
          <cell r="AM53">
            <v>92.177001953125</v>
          </cell>
          <cell r="AN53">
            <v>92.304000854492202</v>
          </cell>
          <cell r="AO53">
            <v>92.605003356933594</v>
          </cell>
          <cell r="AP53">
            <v>91.579002380371094</v>
          </cell>
          <cell r="AQ53">
            <v>90.404998779296903</v>
          </cell>
          <cell r="AR53">
            <v>88.938003540039105</v>
          </cell>
          <cell r="AS53">
            <v>88.407997131347699</v>
          </cell>
          <cell r="AT53">
            <v>87.194999694824205</v>
          </cell>
          <cell r="AU53">
            <v>87.147003173828097</v>
          </cell>
          <cell r="AV53">
            <v>86.100997924804702</v>
          </cell>
          <cell r="AW53">
            <v>85.804000854492202</v>
          </cell>
          <cell r="AX53">
            <v>86.114997863769503</v>
          </cell>
          <cell r="AY53">
            <v>87.397003173828097</v>
          </cell>
          <cell r="AZ53">
            <v>88.091003417968807</v>
          </cell>
          <cell r="BA53">
            <v>87.832000732421903</v>
          </cell>
          <cell r="BB53">
            <v>88.343002319335895</v>
          </cell>
          <cell r="BC53">
            <v>88.175003051757798</v>
          </cell>
          <cell r="BD53">
            <v>81.467002868652301</v>
          </cell>
          <cell r="BE53">
            <v>79.492996215820298</v>
          </cell>
          <cell r="BF53">
            <v>78.369003295898395</v>
          </cell>
          <cell r="BG53">
            <v>76.915000915527301</v>
          </cell>
          <cell r="BH53">
            <v>75.617996215820298</v>
          </cell>
          <cell r="BI53">
            <v>74.325996398925795</v>
          </cell>
          <cell r="BJ53">
            <v>73.099998474121094</v>
          </cell>
          <cell r="BK53">
            <v>73.200996398925795</v>
          </cell>
        </row>
        <row r="54">
          <cell r="B54" t="str">
            <v>CUW</v>
          </cell>
          <cell r="C54" t="str">
            <v>Wage and salaried workers, total (% of total employment) (modeled ILO estimate)</v>
          </cell>
          <cell r="D54" t="str">
            <v>SL.EMP.WORK.ZS</v>
          </cell>
        </row>
        <row r="55">
          <cell r="B55" t="str">
            <v>CYM</v>
          </cell>
          <cell r="C55" t="str">
            <v>Wage and salaried workers, total (% of total employment) (modeled ILO estimate)</v>
          </cell>
          <cell r="D55" t="str">
            <v>SL.EMP.WORK.ZS</v>
          </cell>
        </row>
        <row r="56">
          <cell r="B56" t="str">
            <v>CYP</v>
          </cell>
          <cell r="C56" t="str">
            <v>Wage and salaried workers, total (% of total employment) (modeled ILO estimate)</v>
          </cell>
          <cell r="D56" t="str">
            <v>SL.EMP.WORK.ZS</v>
          </cell>
          <cell r="AJ56">
            <v>72.911003112792997</v>
          </cell>
          <cell r="AK56">
            <v>73.358001708984403</v>
          </cell>
          <cell r="AL56">
            <v>73.5780029296875</v>
          </cell>
          <cell r="AM56">
            <v>73.930999755859403</v>
          </cell>
          <cell r="AN56">
            <v>74.344001770019503</v>
          </cell>
          <cell r="AO56">
            <v>74.597000122070298</v>
          </cell>
          <cell r="AP56">
            <v>74.853996276855497</v>
          </cell>
          <cell r="AQ56">
            <v>75.183998107910199</v>
          </cell>
          <cell r="AR56">
            <v>75.467002868652301</v>
          </cell>
          <cell r="AS56">
            <v>75.757003784179702</v>
          </cell>
          <cell r="AT56">
            <v>76.337997436523395</v>
          </cell>
          <cell r="AU56">
            <v>76.963996887207003</v>
          </cell>
          <cell r="AV56">
            <v>76.318000793457003</v>
          </cell>
          <cell r="AW56">
            <v>76.314002990722699</v>
          </cell>
          <cell r="AX56">
            <v>76.779998779296903</v>
          </cell>
          <cell r="AY56">
            <v>78.511001586914105</v>
          </cell>
          <cell r="AZ56">
            <v>79.655998229980497</v>
          </cell>
          <cell r="BA56">
            <v>80.054000854492202</v>
          </cell>
          <cell r="BB56">
            <v>80.224998474121094</v>
          </cell>
          <cell r="BC56">
            <v>81.447998046875</v>
          </cell>
          <cell r="BD56">
            <v>82.054000854492202</v>
          </cell>
          <cell r="BE56">
            <v>83.397003173828097</v>
          </cell>
          <cell r="BF56">
            <v>82.442001342773395</v>
          </cell>
          <cell r="BG56">
            <v>82.111999511718807</v>
          </cell>
          <cell r="BH56">
            <v>85.070999145507798</v>
          </cell>
          <cell r="BI56">
            <v>85.718002319335895</v>
          </cell>
          <cell r="BJ56">
            <v>86.811996459960895</v>
          </cell>
          <cell r="BK56">
            <v>86.721000671386705</v>
          </cell>
        </row>
        <row r="57">
          <cell r="B57" t="str">
            <v>CZE</v>
          </cell>
          <cell r="C57" t="str">
            <v>Wage and salaried workers, total (% of total employment) (modeled ILO estimate)</v>
          </cell>
          <cell r="D57" t="str">
            <v>SL.EMP.WORK.ZS</v>
          </cell>
          <cell r="AJ57">
            <v>87.387001037597699</v>
          </cell>
          <cell r="AK57">
            <v>87.4739990234375</v>
          </cell>
          <cell r="AL57">
            <v>87.573997497558594</v>
          </cell>
          <cell r="AM57">
            <v>87.636001586914105</v>
          </cell>
          <cell r="AN57">
            <v>87.693000793457003</v>
          </cell>
          <cell r="AO57">
            <v>87.747001647949205</v>
          </cell>
          <cell r="AP57">
            <v>87.827003479003906</v>
          </cell>
          <cell r="AQ57">
            <v>86.567001342773395</v>
          </cell>
          <cell r="AR57">
            <v>85.516998291015597</v>
          </cell>
          <cell r="AS57">
            <v>84.997001647949205</v>
          </cell>
          <cell r="AT57">
            <v>84.7030029296875</v>
          </cell>
          <cell r="AU57">
            <v>84.123001098632798</v>
          </cell>
          <cell r="AV57">
            <v>82.593002319335895</v>
          </cell>
          <cell r="AW57">
            <v>83.063003540039105</v>
          </cell>
          <cell r="AX57">
            <v>83.980003356933594</v>
          </cell>
          <cell r="AY57">
            <v>83.861999511718807</v>
          </cell>
          <cell r="AZ57">
            <v>83.8280029296875</v>
          </cell>
          <cell r="BA57">
            <v>83.877998352050795</v>
          </cell>
          <cell r="BB57">
            <v>83.233001708984403</v>
          </cell>
          <cell r="BC57">
            <v>82.275001525878906</v>
          </cell>
          <cell r="BD57">
            <v>81.949996948242202</v>
          </cell>
          <cell r="BE57">
            <v>81.585998535156307</v>
          </cell>
          <cell r="BF57">
            <v>82.137001037597699</v>
          </cell>
          <cell r="BG57">
            <v>82.007003784179702</v>
          </cell>
          <cell r="BH57">
            <v>82.661003112792997</v>
          </cell>
          <cell r="BI57">
            <v>82.839996337890597</v>
          </cell>
          <cell r="BJ57">
            <v>82.879997253417997</v>
          </cell>
          <cell r="BK57">
            <v>83.055999755859403</v>
          </cell>
        </row>
        <row r="58">
          <cell r="B58" t="str">
            <v>DEU</v>
          </cell>
          <cell r="C58" t="str">
            <v>Wage and salaried workers, total (% of total employment) (modeled ILO estimate)</v>
          </cell>
          <cell r="D58" t="str">
            <v>SL.EMP.WORK.ZS</v>
          </cell>
          <cell r="AJ58">
            <v>90.330001831054702</v>
          </cell>
          <cell r="AK58">
            <v>89.966003417968807</v>
          </cell>
          <cell r="AL58">
            <v>89.666999816894503</v>
          </cell>
          <cell r="AM58">
            <v>89.366996765136705</v>
          </cell>
          <cell r="AN58">
            <v>89.277999877929702</v>
          </cell>
          <cell r="AO58">
            <v>89.361000061035199</v>
          </cell>
          <cell r="AP58">
            <v>89.088996887207003</v>
          </cell>
          <cell r="AQ58">
            <v>89.021003723144503</v>
          </cell>
          <cell r="AR58">
            <v>89.2030029296875</v>
          </cell>
          <cell r="AS58">
            <v>89.125999450683594</v>
          </cell>
          <cell r="AT58">
            <v>88.866996765136705</v>
          </cell>
          <cell r="AU58">
            <v>88.908996582031307</v>
          </cell>
          <cell r="AV58">
            <v>88.633003234863295</v>
          </cell>
          <cell r="AW58">
            <v>87.930000305175795</v>
          </cell>
          <cell r="AX58">
            <v>87.635002136230497</v>
          </cell>
          <cell r="AY58">
            <v>87.861000061035199</v>
          </cell>
          <cell r="AZ58">
            <v>88.008003234863295</v>
          </cell>
          <cell r="BA58">
            <v>88.345001220703097</v>
          </cell>
          <cell r="BB58">
            <v>88.408996582031307</v>
          </cell>
          <cell r="BC58">
            <v>88.429000854492202</v>
          </cell>
          <cell r="BD58">
            <v>88.333999633789105</v>
          </cell>
          <cell r="BE58">
            <v>88.427001953125</v>
          </cell>
          <cell r="BF58">
            <v>88.804000854492202</v>
          </cell>
          <cell r="BG58">
            <v>89.043998718261705</v>
          </cell>
          <cell r="BH58">
            <v>89.247001647949205</v>
          </cell>
          <cell r="BI58">
            <v>89.574996948242202</v>
          </cell>
          <cell r="BJ58">
            <v>89.800003051757798</v>
          </cell>
          <cell r="BK58">
            <v>90.099998474121094</v>
          </cell>
        </row>
        <row r="59">
          <cell r="B59" t="str">
            <v>DJI</v>
          </cell>
          <cell r="C59" t="str">
            <v>Wage and salaried workers, total (% of total employment) (modeled ILO estimate)</v>
          </cell>
          <cell r="D59" t="str">
            <v>SL.EMP.WORK.ZS</v>
          </cell>
          <cell r="AJ59">
            <v>50.7700004577637</v>
          </cell>
          <cell r="AK59">
            <v>50.7109985351563</v>
          </cell>
          <cell r="AL59">
            <v>50.423999786377003</v>
          </cell>
          <cell r="AM59">
            <v>50.310001373291001</v>
          </cell>
          <cell r="AN59">
            <v>50.118000030517599</v>
          </cell>
          <cell r="AO59">
            <v>49.883998870849602</v>
          </cell>
          <cell r="AP59">
            <v>49.728000640869098</v>
          </cell>
          <cell r="AQ59">
            <v>49.620998382568402</v>
          </cell>
          <cell r="AR59">
            <v>49.597000122070298</v>
          </cell>
          <cell r="AS59">
            <v>49.520999908447301</v>
          </cell>
          <cell r="AT59">
            <v>49.511001586914098</v>
          </cell>
          <cell r="AU59">
            <v>49.550998687744098</v>
          </cell>
          <cell r="AV59">
            <v>49.604000091552699</v>
          </cell>
          <cell r="AW59">
            <v>49.659999847412102</v>
          </cell>
          <cell r="AX59">
            <v>49.738998413085902</v>
          </cell>
          <cell r="AY59">
            <v>49.853000640869098</v>
          </cell>
          <cell r="AZ59">
            <v>49.987998962402301</v>
          </cell>
          <cell r="BA59">
            <v>50.1570014953613</v>
          </cell>
          <cell r="BB59">
            <v>50.226001739502003</v>
          </cell>
          <cell r="BC59">
            <v>50.374000549316399</v>
          </cell>
          <cell r="BD59">
            <v>50.646999359130902</v>
          </cell>
          <cell r="BE59">
            <v>50.863998413085902</v>
          </cell>
          <cell r="BF59">
            <v>51.0859985351563</v>
          </cell>
          <cell r="BG59">
            <v>51.383998870849602</v>
          </cell>
          <cell r="BH59">
            <v>51.708999633789098</v>
          </cell>
          <cell r="BI59">
            <v>52.036998748779297</v>
          </cell>
          <cell r="BJ59">
            <v>52.307998657226598</v>
          </cell>
          <cell r="BK59">
            <v>52.590000152587898</v>
          </cell>
        </row>
        <row r="60">
          <cell r="B60" t="str">
            <v>DMA</v>
          </cell>
          <cell r="C60" t="str">
            <v>Wage and salaried workers, total (% of total employment) (modeled ILO estimate)</v>
          </cell>
          <cell r="D60" t="str">
            <v>SL.EMP.WORK.ZS</v>
          </cell>
        </row>
        <row r="61">
          <cell r="B61" t="str">
            <v>DNK</v>
          </cell>
          <cell r="C61" t="str">
            <v>Wage and salaried workers, total (% of total employment) (modeled ILO estimate)</v>
          </cell>
          <cell r="D61" t="str">
            <v>SL.EMP.WORK.ZS</v>
          </cell>
          <cell r="AJ61">
            <v>89.1719970703125</v>
          </cell>
          <cell r="AK61">
            <v>89.263000488281307</v>
          </cell>
          <cell r="AL61">
            <v>89.245002746582003</v>
          </cell>
          <cell r="AM61">
            <v>90.176002502441406</v>
          </cell>
          <cell r="AN61">
            <v>90.457000732421903</v>
          </cell>
          <cell r="AO61">
            <v>90.669998168945298</v>
          </cell>
          <cell r="AP61">
            <v>90.565002441406307</v>
          </cell>
          <cell r="AQ61">
            <v>90.303001403808594</v>
          </cell>
          <cell r="AR61">
            <v>90.717002868652301</v>
          </cell>
          <cell r="AS61">
            <v>90.877998352050795</v>
          </cell>
          <cell r="AT61">
            <v>91.121002197265597</v>
          </cell>
          <cell r="AU61">
            <v>91.125999450683594</v>
          </cell>
          <cell r="AV61">
            <v>90.866996765136705</v>
          </cell>
          <cell r="AW61">
            <v>91.225997924804702</v>
          </cell>
          <cell r="AX61">
            <v>91.115997314453097</v>
          </cell>
          <cell r="AY61">
            <v>90.944999694824205</v>
          </cell>
          <cell r="AZ61">
            <v>90.987998962402301</v>
          </cell>
          <cell r="BA61">
            <v>91.154998779296903</v>
          </cell>
          <cell r="BB61">
            <v>90.652999877929702</v>
          </cell>
          <cell r="BC61">
            <v>90.896003723144503</v>
          </cell>
          <cell r="BD61">
            <v>90.887001037597699</v>
          </cell>
          <cell r="BE61">
            <v>90.875</v>
          </cell>
          <cell r="BF61">
            <v>90.996002197265597</v>
          </cell>
          <cell r="BG61">
            <v>91.123001098632798</v>
          </cell>
          <cell r="BH61">
            <v>91.3489990234375</v>
          </cell>
          <cell r="BI61">
            <v>90.938003540039105</v>
          </cell>
          <cell r="BJ61">
            <v>91.763000488281307</v>
          </cell>
          <cell r="BK61">
            <v>91.924003601074205</v>
          </cell>
        </row>
        <row r="62">
          <cell r="B62" t="str">
            <v>DOM</v>
          </cell>
          <cell r="C62" t="str">
            <v>Wage and salaried workers, total (% of total employment) (modeled ILO estimate)</v>
          </cell>
          <cell r="D62" t="str">
            <v>SL.EMP.WORK.ZS</v>
          </cell>
          <cell r="AJ62">
            <v>57.441001892089801</v>
          </cell>
          <cell r="AK62">
            <v>55.726001739502003</v>
          </cell>
          <cell r="AL62">
            <v>57.722000122070298</v>
          </cell>
          <cell r="AM62">
            <v>60.2299995422363</v>
          </cell>
          <cell r="AN62">
            <v>58.310001373291001</v>
          </cell>
          <cell r="AO62">
            <v>58.270999908447301</v>
          </cell>
          <cell r="AP62">
            <v>58.146999359130902</v>
          </cell>
          <cell r="AQ62">
            <v>57.926998138427699</v>
          </cell>
          <cell r="AR62">
            <v>57.597000122070298</v>
          </cell>
          <cell r="AS62">
            <v>57.074001312255902</v>
          </cell>
          <cell r="AT62">
            <v>55.505001068115199</v>
          </cell>
          <cell r="AU62">
            <v>54.700000762939503</v>
          </cell>
          <cell r="AV62">
            <v>54.974998474121101</v>
          </cell>
          <cell r="AW62">
            <v>55.880001068115199</v>
          </cell>
          <cell r="AX62">
            <v>53.762001037597699</v>
          </cell>
          <cell r="AY62">
            <v>54.377998352050803</v>
          </cell>
          <cell r="AZ62">
            <v>55.102001190185497</v>
          </cell>
          <cell r="BA62">
            <v>52.875</v>
          </cell>
          <cell r="BB62">
            <v>52.643001556396499</v>
          </cell>
          <cell r="BC62">
            <v>52.4939994812012</v>
          </cell>
          <cell r="BD62">
            <v>53.051998138427699</v>
          </cell>
          <cell r="BE62">
            <v>54.112998962402301</v>
          </cell>
          <cell r="BF62">
            <v>55.187000274658203</v>
          </cell>
          <cell r="BG62">
            <v>55.173000335693402</v>
          </cell>
          <cell r="BH62">
            <v>55.602001190185497</v>
          </cell>
          <cell r="BI62">
            <v>56.925998687744098</v>
          </cell>
          <cell r="BJ62">
            <v>56.034999847412102</v>
          </cell>
          <cell r="BK62">
            <v>56.2299995422363</v>
          </cell>
        </row>
        <row r="63">
          <cell r="B63" t="str">
            <v>DZA</v>
          </cell>
          <cell r="C63" t="str">
            <v>Wage and salaried workers, total (% of total employment) (modeled ILO estimate)</v>
          </cell>
          <cell r="D63" t="str">
            <v>SL.EMP.WORK.ZS</v>
          </cell>
          <cell r="AJ63">
            <v>60.442001342773402</v>
          </cell>
          <cell r="AK63">
            <v>60.611000061035199</v>
          </cell>
          <cell r="AL63">
            <v>60.772998809814503</v>
          </cell>
          <cell r="AM63">
            <v>60.933998107910199</v>
          </cell>
          <cell r="AN63">
            <v>61.097999572753899</v>
          </cell>
          <cell r="AO63">
            <v>61.261001586914098</v>
          </cell>
          <cell r="AP63">
            <v>61.416000366210902</v>
          </cell>
          <cell r="AQ63">
            <v>61.574001312255902</v>
          </cell>
          <cell r="AR63">
            <v>61.736000061035199</v>
          </cell>
          <cell r="AS63">
            <v>61.8950004577637</v>
          </cell>
          <cell r="AT63">
            <v>62.049999237060497</v>
          </cell>
          <cell r="AU63">
            <v>63.547000885009801</v>
          </cell>
          <cell r="AV63">
            <v>64.972000122070298</v>
          </cell>
          <cell r="AW63">
            <v>65.559997558593807</v>
          </cell>
          <cell r="AX63">
            <v>66.037002563476605</v>
          </cell>
          <cell r="AY63">
            <v>66.411003112792997</v>
          </cell>
          <cell r="AZ63">
            <v>66.690002441406307</v>
          </cell>
          <cell r="BA63">
            <v>66.884002685546903</v>
          </cell>
          <cell r="BB63">
            <v>67</v>
          </cell>
          <cell r="BC63">
            <v>67.044998168945298</v>
          </cell>
          <cell r="BD63">
            <v>67.027999877929702</v>
          </cell>
          <cell r="BE63">
            <v>68.025001525878906</v>
          </cell>
          <cell r="BF63">
            <v>68.966003417968807</v>
          </cell>
          <cell r="BG63">
            <v>68.800003051757798</v>
          </cell>
          <cell r="BH63">
            <v>68.627998352050795</v>
          </cell>
          <cell r="BI63">
            <v>68.450996398925795</v>
          </cell>
          <cell r="BJ63">
            <v>68.268997192382798</v>
          </cell>
          <cell r="BK63">
            <v>68.331001281738295</v>
          </cell>
        </row>
        <row r="64">
          <cell r="B64" t="str">
            <v>EAP</v>
          </cell>
          <cell r="C64" t="str">
            <v>Wage and salaried workers, total (% of total employment) (modeled ILO estimate)</v>
          </cell>
          <cell r="D64" t="str">
            <v>SL.EMP.WORK.ZS</v>
          </cell>
          <cell r="AJ64">
            <v>30.63546720209435</v>
          </cell>
          <cell r="AK64">
            <v>31.269142365394121</v>
          </cell>
          <cell r="AL64">
            <v>31.995907517301944</v>
          </cell>
          <cell r="AM64">
            <v>32.640250462609394</v>
          </cell>
          <cell r="AN64">
            <v>33.316598762722961</v>
          </cell>
          <cell r="AO64">
            <v>34.040318082299905</v>
          </cell>
          <cell r="AP64">
            <v>34.764013466646539</v>
          </cell>
          <cell r="AQ64">
            <v>35.152950839220821</v>
          </cell>
          <cell r="AR64">
            <v>35.707149562883693</v>
          </cell>
          <cell r="AS64">
            <v>36.383759906190029</v>
          </cell>
          <cell r="AT64">
            <v>37.378248307241009</v>
          </cell>
          <cell r="AU64">
            <v>37.991287869653839</v>
          </cell>
          <cell r="AV64">
            <v>38.588004057959054</v>
          </cell>
          <cell r="AW64">
            <v>39.691297247012336</v>
          </cell>
          <cell r="AX64">
            <v>40.605108251896489</v>
          </cell>
          <cell r="AY64">
            <v>41.39680024464905</v>
          </cell>
          <cell r="AZ64">
            <v>42.121196850136066</v>
          </cell>
          <cell r="BA64">
            <v>42.8276054599745</v>
          </cell>
          <cell r="BB64">
            <v>43.621956219915269</v>
          </cell>
          <cell r="BC64">
            <v>44.414214544365592</v>
          </cell>
          <cell r="BD64">
            <v>45.337704457788618</v>
          </cell>
          <cell r="BE64">
            <v>46.30416050365622</v>
          </cell>
          <cell r="BF64">
            <v>47.229852780898703</v>
          </cell>
          <cell r="BG64">
            <v>48.045964259769448</v>
          </cell>
          <cell r="BH64">
            <v>49.195977327568286</v>
          </cell>
          <cell r="BI64">
            <v>50.016035837824226</v>
          </cell>
          <cell r="BJ64">
            <v>50.72005849473296</v>
          </cell>
          <cell r="BK64">
            <v>51.267730821212858</v>
          </cell>
        </row>
        <row r="65">
          <cell r="B65" t="str">
            <v>EAR</v>
          </cell>
          <cell r="C65" t="str">
            <v>Wage and salaried workers, total (% of total employment) (modeled ILO estimate)</v>
          </cell>
          <cell r="D65" t="str">
            <v>SL.EMP.WORK.ZS</v>
          </cell>
          <cell r="AJ65">
            <v>29.068229030348931</v>
          </cell>
          <cell r="AK65">
            <v>29.329755996465472</v>
          </cell>
          <cell r="AL65">
            <v>29.497225456348993</v>
          </cell>
          <cell r="AM65">
            <v>29.850360906978988</v>
          </cell>
          <cell r="AN65">
            <v>30.029892695701292</v>
          </cell>
          <cell r="AO65">
            <v>30.358051664946228</v>
          </cell>
          <cell r="AP65">
            <v>30.728991442769193</v>
          </cell>
          <cell r="AQ65">
            <v>30.590618236070707</v>
          </cell>
          <cell r="AR65">
            <v>30.749102232042901</v>
          </cell>
          <cell r="AS65">
            <v>30.878791535603746</v>
          </cell>
          <cell r="AT65">
            <v>31.140336444032361</v>
          </cell>
          <cell r="AU65">
            <v>31.277171075859204</v>
          </cell>
          <cell r="AV65">
            <v>31.277102780494459</v>
          </cell>
          <cell r="AW65">
            <v>31.650447693236739</v>
          </cell>
          <cell r="AX65">
            <v>32.134601293760923</v>
          </cell>
          <cell r="AY65">
            <v>32.773265076836658</v>
          </cell>
          <cell r="AZ65">
            <v>33.189223474945528</v>
          </cell>
          <cell r="BA65">
            <v>33.605098238158618</v>
          </cell>
          <cell r="BB65">
            <v>33.83646923387861</v>
          </cell>
          <cell r="BC65">
            <v>34.399709830739681</v>
          </cell>
          <cell r="BD65">
            <v>35.518024604505968</v>
          </cell>
          <cell r="BE65">
            <v>36.889164814982053</v>
          </cell>
          <cell r="BF65">
            <v>37.615799026326911</v>
          </cell>
          <cell r="BG65">
            <v>38.14146745966292</v>
          </cell>
          <cell r="BH65">
            <v>38.879092573955738</v>
          </cell>
          <cell r="BI65">
            <v>39.405819760559645</v>
          </cell>
          <cell r="BJ65">
            <v>39.785039723719102</v>
          </cell>
          <cell r="BK65">
            <v>40.268776289731889</v>
          </cell>
        </row>
        <row r="66">
          <cell r="B66" t="str">
            <v>EAS</v>
          </cell>
          <cell r="C66" t="str">
            <v>Wage and salaried workers, total (% of total employment) (modeled ILO estimate)</v>
          </cell>
          <cell r="D66" t="str">
            <v>SL.EMP.WORK.ZS</v>
          </cell>
          <cell r="AJ66">
            <v>35.616995812646394</v>
          </cell>
          <cell r="AK66">
            <v>36.214022303754973</v>
          </cell>
          <cell r="AL66">
            <v>36.879021224817109</v>
          </cell>
          <cell r="AM66">
            <v>37.480945890209043</v>
          </cell>
          <cell r="AN66">
            <v>38.104094354611377</v>
          </cell>
          <cell r="AO66">
            <v>38.750441014827942</v>
          </cell>
          <cell r="AP66">
            <v>39.404472262142342</v>
          </cell>
          <cell r="AQ66">
            <v>39.657693431784679</v>
          </cell>
          <cell r="AR66">
            <v>40.115618105901184</v>
          </cell>
          <cell r="AS66">
            <v>40.750948548951577</v>
          </cell>
          <cell r="AT66">
            <v>41.67925085977275</v>
          </cell>
          <cell r="AU66">
            <v>42.238663023403909</v>
          </cell>
          <cell r="AV66">
            <v>42.797285122236772</v>
          </cell>
          <cell r="AW66">
            <v>43.812657795341828</v>
          </cell>
          <cell r="AX66">
            <v>44.673751079312254</v>
          </cell>
          <cell r="AY66">
            <v>45.467707623738384</v>
          </cell>
          <cell r="AZ66">
            <v>46.176289620729555</v>
          </cell>
          <cell r="BA66">
            <v>46.849388734620241</v>
          </cell>
          <cell r="BB66">
            <v>47.561563820187509</v>
          </cell>
          <cell r="BC66">
            <v>48.315992373889024</v>
          </cell>
          <cell r="BD66">
            <v>49.176096184130728</v>
          </cell>
          <cell r="BE66">
            <v>50.067807378880069</v>
          </cell>
          <cell r="BF66">
            <v>50.960438852508013</v>
          </cell>
          <cell r="BG66">
            <v>51.735233659651904</v>
          </cell>
          <cell r="BH66">
            <v>52.829924885894265</v>
          </cell>
          <cell r="BI66">
            <v>53.616528087492505</v>
          </cell>
          <cell r="BJ66">
            <v>54.279659043746094</v>
          </cell>
          <cell r="BK66">
            <v>54.826198081997916</v>
          </cell>
        </row>
        <row r="67">
          <cell r="B67" t="str">
            <v>ECA</v>
          </cell>
          <cell r="C67" t="str">
            <v>Wage and salaried workers, total (% of total employment) (modeled ILO estimate)</v>
          </cell>
          <cell r="D67" t="str">
            <v>SL.EMP.WORK.ZS</v>
          </cell>
          <cell r="AJ67">
            <v>78.909223412494825</v>
          </cell>
          <cell r="AK67">
            <v>78.532716195259738</v>
          </cell>
          <cell r="AL67">
            <v>78.326380644461622</v>
          </cell>
          <cell r="AM67">
            <v>77.567989251560363</v>
          </cell>
          <cell r="AN67">
            <v>77.064681916394605</v>
          </cell>
          <cell r="AO67">
            <v>77.077466118415188</v>
          </cell>
          <cell r="AP67">
            <v>76.060990878917494</v>
          </cell>
          <cell r="AQ67">
            <v>75.824649631647659</v>
          </cell>
          <cell r="AR67">
            <v>72.911851667745907</v>
          </cell>
          <cell r="AS67">
            <v>73.407641799395662</v>
          </cell>
          <cell r="AT67">
            <v>74.144381689627522</v>
          </cell>
          <cell r="AU67">
            <v>75.216214616207452</v>
          </cell>
          <cell r="AV67">
            <v>75.511132073788374</v>
          </cell>
          <cell r="AW67">
            <v>76.094922023020388</v>
          </cell>
          <cell r="AX67">
            <v>76.19529322912598</v>
          </cell>
          <cell r="AY67">
            <v>76.528220563111262</v>
          </cell>
          <cell r="AZ67">
            <v>77.006209788870748</v>
          </cell>
          <cell r="BA67">
            <v>77.184117394346273</v>
          </cell>
          <cell r="BB67">
            <v>76.93474139535455</v>
          </cell>
          <cell r="BC67">
            <v>77.50600571785543</v>
          </cell>
          <cell r="BD67">
            <v>77.455845047164573</v>
          </cell>
          <cell r="BE67">
            <v>77.784211734340445</v>
          </cell>
          <cell r="BF67">
            <v>77.612500544285098</v>
          </cell>
          <cell r="BG67">
            <v>78.327423950927681</v>
          </cell>
          <cell r="BH67">
            <v>78.604505677904626</v>
          </cell>
          <cell r="BI67">
            <v>78.691951112011949</v>
          </cell>
          <cell r="BJ67">
            <v>78.987558650289301</v>
          </cell>
          <cell r="BK67">
            <v>79.037173468532202</v>
          </cell>
        </row>
        <row r="68">
          <cell r="B68" t="str">
            <v>ECS</v>
          </cell>
          <cell r="C68" t="str">
            <v>Wage and salaried workers, total (% of total employment) (modeled ILO estimate)</v>
          </cell>
          <cell r="D68" t="str">
            <v>SL.EMP.WORK.ZS</v>
          </cell>
          <cell r="AJ68">
            <v>80.431107929900364</v>
          </cell>
          <cell r="AK68">
            <v>80.241558795779966</v>
          </cell>
          <cell r="AL68">
            <v>80.164434084220801</v>
          </cell>
          <cell r="AM68">
            <v>79.787435617034305</v>
          </cell>
          <cell r="AN68">
            <v>79.716420291038887</v>
          </cell>
          <cell r="AO68">
            <v>79.853057709177975</v>
          </cell>
          <cell r="AP68">
            <v>79.533202591935805</v>
          </cell>
          <cell r="AQ68">
            <v>79.680378469982458</v>
          </cell>
          <cell r="AR68">
            <v>78.559181729750264</v>
          </cell>
          <cell r="AS68">
            <v>78.968266614918406</v>
          </cell>
          <cell r="AT68">
            <v>79.346843134338897</v>
          </cell>
          <cell r="AU68">
            <v>79.886484444018393</v>
          </cell>
          <cell r="AV68">
            <v>79.982041418042314</v>
          </cell>
          <cell r="AW68">
            <v>80.201952620947893</v>
          </cell>
          <cell r="AX68">
            <v>80.341215200664536</v>
          </cell>
          <cell r="AY68">
            <v>80.569878515365119</v>
          </cell>
          <cell r="AZ68">
            <v>80.903117907830548</v>
          </cell>
          <cell r="BA68">
            <v>81.144011967839248</v>
          </cell>
          <cell r="BB68">
            <v>81.002894328506827</v>
          </cell>
          <cell r="BC68">
            <v>81.143874515463537</v>
          </cell>
          <cell r="BD68">
            <v>81.153760200744316</v>
          </cell>
          <cell r="BE68">
            <v>81.284409592822627</v>
          </cell>
          <cell r="BF68">
            <v>81.26447644539391</v>
          </cell>
          <cell r="BG68">
            <v>81.619656584199859</v>
          </cell>
          <cell r="BH68">
            <v>81.868168775331029</v>
          </cell>
          <cell r="BI68">
            <v>82.002982358010385</v>
          </cell>
          <cell r="BJ68">
            <v>82.30931633796493</v>
          </cell>
          <cell r="BK68">
            <v>82.467186501012989</v>
          </cell>
        </row>
        <row r="69">
          <cell r="B69" t="str">
            <v>ECU</v>
          </cell>
          <cell r="C69" t="str">
            <v>Wage and salaried workers, total (% of total employment) (modeled ILO estimate)</v>
          </cell>
          <cell r="D69" t="str">
            <v>SL.EMP.WORK.ZS</v>
          </cell>
          <cell r="AJ69">
            <v>54.477001190185497</v>
          </cell>
          <cell r="AK69">
            <v>51.685001373291001</v>
          </cell>
          <cell r="AL69">
            <v>52.240001678466797</v>
          </cell>
          <cell r="AM69">
            <v>53.298999786377003</v>
          </cell>
          <cell r="AN69">
            <v>53.355998992919901</v>
          </cell>
          <cell r="AO69">
            <v>52.478000640869098</v>
          </cell>
          <cell r="AP69">
            <v>54.152999877929702</v>
          </cell>
          <cell r="AQ69">
            <v>53.067001342773402</v>
          </cell>
          <cell r="AR69">
            <v>52.734001159667997</v>
          </cell>
          <cell r="AS69">
            <v>52.314998626708999</v>
          </cell>
          <cell r="AT69">
            <v>51.823001861572301</v>
          </cell>
          <cell r="AU69">
            <v>53.542999267578097</v>
          </cell>
          <cell r="AV69">
            <v>55.083999633789098</v>
          </cell>
          <cell r="AW69">
            <v>51.284000396728501</v>
          </cell>
          <cell r="AX69">
            <v>53.408000946044901</v>
          </cell>
          <cell r="AY69">
            <v>53.381999969482401</v>
          </cell>
          <cell r="AZ69">
            <v>54.379001617431598</v>
          </cell>
          <cell r="BA69">
            <v>55.021999359130902</v>
          </cell>
          <cell r="BB69">
            <v>54.444000244140597</v>
          </cell>
          <cell r="BC69">
            <v>55.145999908447301</v>
          </cell>
          <cell r="BD69">
            <v>53.506999969482401</v>
          </cell>
          <cell r="BE69">
            <v>53.4869995117188</v>
          </cell>
          <cell r="BF69">
            <v>54.826000213622997</v>
          </cell>
          <cell r="BG69">
            <v>57.105998992919901</v>
          </cell>
          <cell r="BH69">
            <v>55.154998779296903</v>
          </cell>
          <cell r="BI69">
            <v>51.4739990234375</v>
          </cell>
          <cell r="BJ69">
            <v>50.707000732421903</v>
          </cell>
          <cell r="BK69">
            <v>50.087001800537102</v>
          </cell>
        </row>
        <row r="70">
          <cell r="B70" t="str">
            <v>EGY</v>
          </cell>
          <cell r="C70" t="str">
            <v>Wage and salaried workers, total (% of total employment) (modeled ILO estimate)</v>
          </cell>
          <cell r="D70" t="str">
            <v>SL.EMP.WORK.ZS</v>
          </cell>
          <cell r="AJ70">
            <v>54.852001190185497</v>
          </cell>
          <cell r="AK70">
            <v>55.346000671386697</v>
          </cell>
          <cell r="AL70">
            <v>55.769001007080099</v>
          </cell>
          <cell r="AM70">
            <v>56.390998840332003</v>
          </cell>
          <cell r="AN70">
            <v>57.124000549316399</v>
          </cell>
          <cell r="AO70">
            <v>58.562999725341797</v>
          </cell>
          <cell r="AP70">
            <v>59.965999603271499</v>
          </cell>
          <cell r="AQ70">
            <v>59.759998321533203</v>
          </cell>
          <cell r="AR70">
            <v>61.1189994812012</v>
          </cell>
          <cell r="AS70">
            <v>59.942001342773402</v>
          </cell>
          <cell r="AT70">
            <v>61.502998352050803</v>
          </cell>
          <cell r="AU70">
            <v>60.187999725341797</v>
          </cell>
          <cell r="AV70">
            <v>57.873001098632798</v>
          </cell>
          <cell r="AW70">
            <v>56.486000061035199</v>
          </cell>
          <cell r="AX70">
            <v>60</v>
          </cell>
          <cell r="AY70">
            <v>61.805000305175803</v>
          </cell>
          <cell r="AZ70">
            <v>58.530998229980497</v>
          </cell>
          <cell r="BA70">
            <v>60.013999938964801</v>
          </cell>
          <cell r="BB70">
            <v>60.5859985351563</v>
          </cell>
          <cell r="BC70">
            <v>62.205001831054702</v>
          </cell>
          <cell r="BD70">
            <v>61.173999786377003</v>
          </cell>
          <cell r="BE70">
            <v>62.488998413085902</v>
          </cell>
          <cell r="BF70">
            <v>61.140998840332003</v>
          </cell>
          <cell r="BG70">
            <v>60.8289985656738</v>
          </cell>
          <cell r="BH70">
            <v>62.601001739502003</v>
          </cell>
          <cell r="BI70">
            <v>69.863998413085895</v>
          </cell>
          <cell r="BJ70">
            <v>68.095001220703097</v>
          </cell>
          <cell r="BK70">
            <v>68.420997619628906</v>
          </cell>
        </row>
        <row r="71">
          <cell r="B71" t="str">
            <v>EMU</v>
          </cell>
          <cell r="C71" t="str">
            <v>Wage and salaried workers, total (% of total employment) (modeled ILO estimate)</v>
          </cell>
          <cell r="D71" t="str">
            <v>SL.EMP.WORK.ZS</v>
          </cell>
          <cell r="AJ71">
            <v>81.764923734017614</v>
          </cell>
          <cell r="AK71">
            <v>81.690779204054934</v>
          </cell>
          <cell r="AL71">
            <v>81.747441361632951</v>
          </cell>
          <cell r="AM71">
            <v>81.602970501415797</v>
          </cell>
          <cell r="AN71">
            <v>81.793266920635645</v>
          </cell>
          <cell r="AO71">
            <v>81.94441913359384</v>
          </cell>
          <cell r="AP71">
            <v>82.034065673686385</v>
          </cell>
          <cell r="AQ71">
            <v>82.311988505740047</v>
          </cell>
          <cell r="AR71">
            <v>82.697170561318657</v>
          </cell>
          <cell r="AS71">
            <v>83.132561336765946</v>
          </cell>
          <cell r="AT71">
            <v>83.192265663797272</v>
          </cell>
          <cell r="AU71">
            <v>83.363620590678011</v>
          </cell>
          <cell r="AV71">
            <v>83.270439216745274</v>
          </cell>
          <cell r="AW71">
            <v>83.173452202138421</v>
          </cell>
          <cell r="AX71">
            <v>83.308772340092617</v>
          </cell>
          <cell r="AY71">
            <v>83.402467117887241</v>
          </cell>
          <cell r="AZ71">
            <v>83.651989210779519</v>
          </cell>
          <cell r="BA71">
            <v>83.99703339819871</v>
          </cell>
          <cell r="BB71">
            <v>84.01873490538577</v>
          </cell>
          <cell r="BC71">
            <v>83.966279838417961</v>
          </cell>
          <cell r="BD71">
            <v>84.112075663295656</v>
          </cell>
          <cell r="BE71">
            <v>84.128662859272524</v>
          </cell>
          <cell r="BF71">
            <v>84.188034000702061</v>
          </cell>
          <cell r="BG71">
            <v>84.286717649081837</v>
          </cell>
          <cell r="BH71">
            <v>84.482083457365945</v>
          </cell>
          <cell r="BI71">
            <v>84.714740993698754</v>
          </cell>
          <cell r="BJ71">
            <v>85.050629909137285</v>
          </cell>
          <cell r="BK71">
            <v>85.294871398426494</v>
          </cell>
        </row>
        <row r="72">
          <cell r="B72" t="str">
            <v>ERI</v>
          </cell>
          <cell r="C72" t="str">
            <v>Wage and salaried workers, total (% of total employment) (modeled ILO estimate)</v>
          </cell>
          <cell r="D72" t="str">
            <v>SL.EMP.WORK.ZS</v>
          </cell>
          <cell r="AJ72">
            <v>9.8389997482299805</v>
          </cell>
          <cell r="AK72">
            <v>10.1300001144409</v>
          </cell>
          <cell r="AL72">
            <v>10.4589996337891</v>
          </cell>
          <cell r="AM72">
            <v>10.9209995269775</v>
          </cell>
          <cell r="AN72">
            <v>11.126000404357899</v>
          </cell>
          <cell r="AO72">
            <v>11.423999786376999</v>
          </cell>
          <cell r="AP72">
            <v>11.6990003585815</v>
          </cell>
          <cell r="AQ72">
            <v>11.8470001220703</v>
          </cell>
          <cell r="AR72">
            <v>11.932000160217299</v>
          </cell>
          <cell r="AS72">
            <v>11.9230003356934</v>
          </cell>
          <cell r="AT72">
            <v>12.1000003814697</v>
          </cell>
          <cell r="AU72">
            <v>12.1450004577637</v>
          </cell>
          <cell r="AV72">
            <v>12.0670003890991</v>
          </cell>
          <cell r="AW72">
            <v>12.076000213623001</v>
          </cell>
          <cell r="AX72">
            <v>12.1199998855591</v>
          </cell>
          <cell r="AY72">
            <v>12.123999595642101</v>
          </cell>
          <cell r="AZ72">
            <v>12.1840000152588</v>
          </cell>
          <cell r="BA72">
            <v>12.045000076293899</v>
          </cell>
          <cell r="BB72">
            <v>12.1450004577637</v>
          </cell>
          <cell r="BC72">
            <v>12.2250003814697</v>
          </cell>
          <cell r="BD72">
            <v>12.4259996414185</v>
          </cell>
          <cell r="BE72">
            <v>12.5410003662109</v>
          </cell>
          <cell r="BF72">
            <v>12.420000076293899</v>
          </cell>
          <cell r="BG72">
            <v>13.0260000228882</v>
          </cell>
          <cell r="BH72">
            <v>12.6549997329712</v>
          </cell>
          <cell r="BI72">
            <v>12.8450002670288</v>
          </cell>
          <cell r="BJ72">
            <v>12.7200002670288</v>
          </cell>
          <cell r="BK72">
            <v>13</v>
          </cell>
        </row>
        <row r="73">
          <cell r="B73" t="str">
            <v>ESP</v>
          </cell>
          <cell r="C73" t="str">
            <v>Wage and salaried workers, total (% of total employment) (modeled ILO estimate)</v>
          </cell>
          <cell r="D73" t="str">
            <v>SL.EMP.WORK.ZS</v>
          </cell>
          <cell r="AJ73">
            <v>74.638000488281307</v>
          </cell>
          <cell r="AK73">
            <v>74.638999938964801</v>
          </cell>
          <cell r="AL73">
            <v>74.222000122070298</v>
          </cell>
          <cell r="AM73">
            <v>74.111999511718807</v>
          </cell>
          <cell r="AN73">
            <v>74.907997131347699</v>
          </cell>
          <cell r="AO73">
            <v>75.295997619628906</v>
          </cell>
          <cell r="AP73">
            <v>76.377998352050795</v>
          </cell>
          <cell r="AQ73">
            <v>77.322998046875</v>
          </cell>
          <cell r="AR73">
            <v>78.597999572753906</v>
          </cell>
          <cell r="AS73">
            <v>79.916999816894503</v>
          </cell>
          <cell r="AT73">
            <v>80.081001281738295</v>
          </cell>
          <cell r="AU73">
            <v>81.165000915527301</v>
          </cell>
          <cell r="AV73">
            <v>81.894996643066406</v>
          </cell>
          <cell r="AW73">
            <v>81.949996948242202</v>
          </cell>
          <cell r="AX73">
            <v>81.997001647949205</v>
          </cell>
          <cell r="AY73">
            <v>82.290000915527301</v>
          </cell>
          <cell r="AZ73">
            <v>82.492996215820298</v>
          </cell>
          <cell r="BA73">
            <v>82.430000305175795</v>
          </cell>
          <cell r="BB73">
            <v>83.1719970703125</v>
          </cell>
          <cell r="BC73">
            <v>83.319999694824205</v>
          </cell>
          <cell r="BD73">
            <v>83.609001159667997</v>
          </cell>
          <cell r="BE73">
            <v>82.695999145507798</v>
          </cell>
          <cell r="BF73">
            <v>82.140998840332003</v>
          </cell>
          <cell r="BG73">
            <v>82.406997680664105</v>
          </cell>
          <cell r="BH73">
            <v>82.719001770019503</v>
          </cell>
          <cell r="BI73">
            <v>83.058998107910199</v>
          </cell>
          <cell r="BJ73">
            <v>83.513999938964801</v>
          </cell>
          <cell r="BK73">
            <v>84.029998779296903</v>
          </cell>
        </row>
        <row r="74">
          <cell r="B74" t="str">
            <v>EST</v>
          </cell>
          <cell r="C74" t="str">
            <v>Wage and salaried workers, total (% of total employment) (modeled ILO estimate)</v>
          </cell>
          <cell r="D74" t="str">
            <v>SL.EMP.WORK.ZS</v>
          </cell>
          <cell r="AJ74">
            <v>91.676002502441406</v>
          </cell>
          <cell r="AK74">
            <v>91.762001037597699</v>
          </cell>
          <cell r="AL74">
            <v>91.833000183105497</v>
          </cell>
          <cell r="AM74">
            <v>91.905998229980497</v>
          </cell>
          <cell r="AN74">
            <v>91.985000610351605</v>
          </cell>
          <cell r="AO74">
            <v>92.069999694824205</v>
          </cell>
          <cell r="AP74">
            <v>92.157997131347699</v>
          </cell>
          <cell r="AQ74">
            <v>91.179000854492202</v>
          </cell>
          <cell r="AR74">
            <v>91.133003234863295</v>
          </cell>
          <cell r="AS74">
            <v>91.718002319335895</v>
          </cell>
          <cell r="AT74">
            <v>92.605003356933594</v>
          </cell>
          <cell r="AU74">
            <v>93.120002746582003</v>
          </cell>
          <cell r="AV74">
            <v>91.456001281738295</v>
          </cell>
          <cell r="AW74">
            <v>90.330001831054702</v>
          </cell>
          <cell r="AX74">
            <v>92.013999938964801</v>
          </cell>
          <cell r="AY74">
            <v>91.783996582031307</v>
          </cell>
          <cell r="AZ74">
            <v>90.847000122070298</v>
          </cell>
          <cell r="BA74">
            <v>92.060997009277301</v>
          </cell>
          <cell r="BB74">
            <v>91.588996887207003</v>
          </cell>
          <cell r="BC74">
            <v>91.460998535156307</v>
          </cell>
          <cell r="BD74">
            <v>91.2760009765625</v>
          </cell>
          <cell r="BE74">
            <v>91.140998840332003</v>
          </cell>
          <cell r="BF74">
            <v>90.861999511718807</v>
          </cell>
          <cell r="BG74">
            <v>90.889999389648395</v>
          </cell>
          <cell r="BH74">
            <v>90.577003479003906</v>
          </cell>
          <cell r="BI74">
            <v>90.432998657226605</v>
          </cell>
          <cell r="BJ74">
            <v>89.800003051757798</v>
          </cell>
          <cell r="BK74">
            <v>89.285003662109403</v>
          </cell>
        </row>
        <row r="75">
          <cell r="B75" t="str">
            <v>ETH</v>
          </cell>
          <cell r="C75" t="str">
            <v>Wage and salaried workers, total (% of total employment) (modeled ILO estimate)</v>
          </cell>
          <cell r="D75" t="str">
            <v>SL.EMP.WORK.ZS</v>
          </cell>
          <cell r="AJ75">
            <v>9.0240001678466797</v>
          </cell>
          <cell r="AK75">
            <v>9.0450000762939506</v>
          </cell>
          <cell r="AL75">
            <v>9.1680002212524396</v>
          </cell>
          <cell r="AM75">
            <v>9.2519998550415004</v>
          </cell>
          <cell r="AN75">
            <v>9.3509998321533203</v>
          </cell>
          <cell r="AO75">
            <v>9.4890003204345703</v>
          </cell>
          <cell r="AP75">
            <v>9.5830001831054705</v>
          </cell>
          <cell r="AQ75">
            <v>9.6440000534057599</v>
          </cell>
          <cell r="AR75">
            <v>9.7580003738403303</v>
          </cell>
          <cell r="AS75">
            <v>9.5760002136230504</v>
          </cell>
          <cell r="AT75">
            <v>9.4160003662109393</v>
          </cell>
          <cell r="AU75">
            <v>9.22399997711182</v>
          </cell>
          <cell r="AV75">
            <v>9.0179996490478498</v>
          </cell>
          <cell r="AW75">
            <v>8.9040002822875994</v>
          </cell>
          <cell r="AX75">
            <v>8.7930002212524396</v>
          </cell>
          <cell r="AY75">
            <v>9.1070003509521502</v>
          </cell>
          <cell r="AZ75">
            <v>9.4420003890991193</v>
          </cell>
          <cell r="BA75">
            <v>9.7980003356933594</v>
          </cell>
          <cell r="BB75">
            <v>10.154000282287599</v>
          </cell>
          <cell r="BC75">
            <v>10.5609998703003</v>
          </cell>
          <cell r="BD75">
            <v>10.972999572753899</v>
          </cell>
          <cell r="BE75">
            <v>11.376000404357899</v>
          </cell>
          <cell r="BF75">
            <v>11.8170003890991</v>
          </cell>
          <cell r="BG75">
            <v>12.08899974823</v>
          </cell>
          <cell r="BH75">
            <v>12.3730001449585</v>
          </cell>
          <cell r="BI75">
            <v>12.6549997329712</v>
          </cell>
          <cell r="BJ75">
            <v>12.9469995498657</v>
          </cell>
          <cell r="BK75">
            <v>13.203000068664601</v>
          </cell>
        </row>
        <row r="76">
          <cell r="B76" t="str">
            <v>EUU</v>
          </cell>
          <cell r="C76" t="str">
            <v>Wage and salaried workers, total (% of total employment) (modeled ILO estimate)</v>
          </cell>
          <cell r="D76" t="str">
            <v>SL.EMP.WORK.ZS</v>
          </cell>
          <cell r="AJ76">
            <v>80.19232618607758</v>
          </cell>
          <cell r="AK76">
            <v>79.73585854047009</v>
          </cell>
          <cell r="AL76">
            <v>79.725753104767108</v>
          </cell>
          <cell r="AM76">
            <v>79.7598817809737</v>
          </cell>
          <cell r="AN76">
            <v>79.826996516443245</v>
          </cell>
          <cell r="AO76">
            <v>80.068780799534196</v>
          </cell>
          <cell r="AP76">
            <v>80.016796636871817</v>
          </cell>
          <cell r="AQ76">
            <v>80.277387239209787</v>
          </cell>
          <cell r="AR76">
            <v>80.529079051148798</v>
          </cell>
          <cell r="AS76">
            <v>80.786456029171347</v>
          </cell>
          <cell r="AT76">
            <v>80.900087773634851</v>
          </cell>
          <cell r="AU76">
            <v>81.568186625487087</v>
          </cell>
          <cell r="AV76">
            <v>81.594241815753207</v>
          </cell>
          <cell r="AW76">
            <v>81.816696156635984</v>
          </cell>
          <cell r="AX76">
            <v>82.010922288768555</v>
          </cell>
          <cell r="AY76">
            <v>82.301972325010553</v>
          </cell>
          <cell r="AZ76">
            <v>82.62075582887374</v>
          </cell>
          <cell r="BA76">
            <v>82.998136373075582</v>
          </cell>
          <cell r="BB76">
            <v>82.969877555366367</v>
          </cell>
          <cell r="BC76">
            <v>82.752572966442841</v>
          </cell>
          <cell r="BD76">
            <v>82.993273180632031</v>
          </cell>
          <cell r="BE76">
            <v>83.050789805324087</v>
          </cell>
          <cell r="BF76">
            <v>83.202589077667156</v>
          </cell>
          <cell r="BG76">
            <v>83.379083375511982</v>
          </cell>
          <cell r="BH76">
            <v>83.723804411216818</v>
          </cell>
          <cell r="BI76">
            <v>84.088626152583799</v>
          </cell>
          <cell r="BJ76">
            <v>84.410759718350974</v>
          </cell>
          <cell r="BK76">
            <v>84.681001935922083</v>
          </cell>
        </row>
        <row r="77">
          <cell r="B77" t="str">
            <v>FCS</v>
          </cell>
          <cell r="C77" t="str">
            <v>Wage and salaried workers, total (% of total employment) (modeled ILO estimate)</v>
          </cell>
          <cell r="D77" t="str">
            <v>SL.EMP.WORK.ZS</v>
          </cell>
          <cell r="AJ77">
            <v>22.821361054851785</v>
          </cell>
          <cell r="AK77">
            <v>23.034332668773558</v>
          </cell>
          <cell r="AL77">
            <v>23.163793477572337</v>
          </cell>
          <cell r="AM77">
            <v>23.231022038883811</v>
          </cell>
          <cell r="AN77">
            <v>23.446663845229811</v>
          </cell>
          <cell r="AO77">
            <v>23.576103692788468</v>
          </cell>
          <cell r="AP77">
            <v>23.964027264102956</v>
          </cell>
          <cell r="AQ77">
            <v>23.956036582302811</v>
          </cell>
          <cell r="AR77">
            <v>23.961221426060778</v>
          </cell>
          <cell r="AS77">
            <v>24.087305253668735</v>
          </cell>
          <cell r="AT77">
            <v>24.318949836593383</v>
          </cell>
          <cell r="AU77">
            <v>24.513697770922363</v>
          </cell>
          <cell r="AV77">
            <v>24.63241242980002</v>
          </cell>
          <cell r="AW77">
            <v>25.010517075029053</v>
          </cell>
          <cell r="AX77">
            <v>25.383046647755208</v>
          </cell>
          <cell r="AY77">
            <v>25.799078822381194</v>
          </cell>
          <cell r="AZ77">
            <v>26.114013852023195</v>
          </cell>
          <cell r="BA77">
            <v>26.613799621468118</v>
          </cell>
          <cell r="BB77">
            <v>26.953433689841923</v>
          </cell>
          <cell r="BC77">
            <v>27.219983015243663</v>
          </cell>
          <cell r="BD77">
            <v>27.579997163112726</v>
          </cell>
          <cell r="BE77">
            <v>27.883627364216828</v>
          </cell>
          <cell r="BF77">
            <v>28.039581911357359</v>
          </cell>
          <cell r="BG77">
            <v>28.259191761675428</v>
          </cell>
          <cell r="BH77">
            <v>28.365157718680145</v>
          </cell>
          <cell r="BI77">
            <v>28.414308480660726</v>
          </cell>
          <cell r="BJ77">
            <v>28.299866193722018</v>
          </cell>
          <cell r="BK77">
            <v>28.207462529520658</v>
          </cell>
        </row>
        <row r="78">
          <cell r="B78" t="str">
            <v>FIN</v>
          </cell>
          <cell r="C78" t="str">
            <v>Wage and salaried workers, total (% of total employment) (modeled ILO estimate)</v>
          </cell>
          <cell r="D78" t="str">
            <v>SL.EMP.WORK.ZS</v>
          </cell>
          <cell r="AJ78">
            <v>84.1510009765625</v>
          </cell>
          <cell r="AK78">
            <v>83.738998413085895</v>
          </cell>
          <cell r="AL78">
            <v>83.398002624511705</v>
          </cell>
          <cell r="AM78">
            <v>83.305000305175795</v>
          </cell>
          <cell r="AN78">
            <v>83.647003173828097</v>
          </cell>
          <cell r="AO78">
            <v>83.396003723144503</v>
          </cell>
          <cell r="AP78">
            <v>84.525001525878906</v>
          </cell>
          <cell r="AQ78">
            <v>85.413002014160199</v>
          </cell>
          <cell r="AR78">
            <v>86.233001708984403</v>
          </cell>
          <cell r="AS78">
            <v>86.474998474121094</v>
          </cell>
          <cell r="AT78">
            <v>87.019996643066406</v>
          </cell>
          <cell r="AU78">
            <v>87.138999938964801</v>
          </cell>
          <cell r="AV78">
            <v>87.244003295898395</v>
          </cell>
          <cell r="AW78">
            <v>87.537002563476605</v>
          </cell>
          <cell r="AX78">
            <v>87.350997924804702</v>
          </cell>
          <cell r="AY78">
            <v>87.125999450683594</v>
          </cell>
          <cell r="AZ78">
            <v>87.418998718261705</v>
          </cell>
          <cell r="BA78">
            <v>87.194999694824205</v>
          </cell>
          <cell r="BB78">
            <v>86.385002136230497</v>
          </cell>
          <cell r="BC78">
            <v>86.601997375488295</v>
          </cell>
          <cell r="BD78">
            <v>86.632003784179702</v>
          </cell>
          <cell r="BE78">
            <v>86.422996520996094</v>
          </cell>
          <cell r="BF78">
            <v>86.561996459960895</v>
          </cell>
          <cell r="BG78">
            <v>85.999000549316406</v>
          </cell>
          <cell r="BH78">
            <v>85.781997680664105</v>
          </cell>
          <cell r="BI78">
            <v>85.967002868652301</v>
          </cell>
          <cell r="BJ78">
            <v>86.821998596191406</v>
          </cell>
          <cell r="BK78">
            <v>86.791000366210895</v>
          </cell>
        </row>
        <row r="79">
          <cell r="B79" t="str">
            <v>FJI</v>
          </cell>
          <cell r="C79" t="str">
            <v>Wage and salaried workers, total (% of total employment) (modeled ILO estimate)</v>
          </cell>
          <cell r="D79" t="str">
            <v>SL.EMP.WORK.ZS</v>
          </cell>
          <cell r="AJ79">
            <v>57.575000762939503</v>
          </cell>
          <cell r="AK79">
            <v>57.949001312255902</v>
          </cell>
          <cell r="AL79">
            <v>58.305999755859403</v>
          </cell>
          <cell r="AM79">
            <v>58.673999786377003</v>
          </cell>
          <cell r="AN79">
            <v>59.040000915527301</v>
          </cell>
          <cell r="AO79">
            <v>59.404998779296903</v>
          </cell>
          <cell r="AP79">
            <v>59.647998809814503</v>
          </cell>
          <cell r="AQ79">
            <v>59.893001556396499</v>
          </cell>
          <cell r="AR79">
            <v>60.166999816894503</v>
          </cell>
          <cell r="AS79">
            <v>60.404998779296903</v>
          </cell>
          <cell r="AT79">
            <v>60.641998291015597</v>
          </cell>
          <cell r="AU79">
            <v>60.891998291015597</v>
          </cell>
          <cell r="AV79">
            <v>61.136001586914098</v>
          </cell>
          <cell r="AW79">
            <v>61.375</v>
          </cell>
          <cell r="AX79">
            <v>61.6189994812012</v>
          </cell>
          <cell r="AY79">
            <v>60.351001739502003</v>
          </cell>
          <cell r="AZ79">
            <v>58.9939994812012</v>
          </cell>
          <cell r="BA79">
            <v>57.577999114990199</v>
          </cell>
          <cell r="BB79">
            <v>56.0859985351563</v>
          </cell>
          <cell r="BC79">
            <v>54.530998229980497</v>
          </cell>
          <cell r="BD79">
            <v>52.912998199462898</v>
          </cell>
          <cell r="BE79">
            <v>53.268001556396499</v>
          </cell>
          <cell r="BF79">
            <v>53.623001098632798</v>
          </cell>
          <cell r="BG79">
            <v>53.984001159667997</v>
          </cell>
          <cell r="BH79">
            <v>54.333999633789098</v>
          </cell>
          <cell r="BI79">
            <v>54.676998138427699</v>
          </cell>
          <cell r="BJ79">
            <v>55.0200004577637</v>
          </cell>
          <cell r="BK79">
            <v>55.360000610351598</v>
          </cell>
        </row>
        <row r="80">
          <cell r="B80" t="str">
            <v>FRA</v>
          </cell>
          <cell r="C80" t="str">
            <v>Wage and salaried workers, total (% of total employment) (modeled ILO estimate)</v>
          </cell>
          <cell r="D80" t="str">
            <v>SL.EMP.WORK.ZS</v>
          </cell>
          <cell r="AJ80">
            <v>84.738998413085895</v>
          </cell>
          <cell r="AK80">
            <v>84.920997619628906</v>
          </cell>
          <cell r="AL80">
            <v>85.847000122070298</v>
          </cell>
          <cell r="AM80">
            <v>85.891998291015597</v>
          </cell>
          <cell r="AN80">
            <v>86.349998474121094</v>
          </cell>
          <cell r="AO80">
            <v>86.787002563476605</v>
          </cell>
          <cell r="AP80">
            <v>87.0469970703125</v>
          </cell>
          <cell r="AQ80">
            <v>87.514999389648395</v>
          </cell>
          <cell r="AR80">
            <v>87.818000793457003</v>
          </cell>
          <cell r="AS80">
            <v>88.587997436523395</v>
          </cell>
          <cell r="AT80">
            <v>89.100997924804702</v>
          </cell>
          <cell r="AU80">
            <v>89.227996826171903</v>
          </cell>
          <cell r="AV80">
            <v>88.505996704101605</v>
          </cell>
          <cell r="AW80">
            <v>88.962997436523395</v>
          </cell>
          <cell r="AX80">
            <v>89.119003295898395</v>
          </cell>
          <cell r="AY80">
            <v>88.637001037597699</v>
          </cell>
          <cell r="AZ80">
            <v>89.015998840332003</v>
          </cell>
          <cell r="BA80">
            <v>89.439002990722699</v>
          </cell>
          <cell r="BB80">
            <v>89.052001953125</v>
          </cell>
          <cell r="BC80">
            <v>88.508003234863295</v>
          </cell>
          <cell r="BD80">
            <v>88.371002197265597</v>
          </cell>
          <cell r="BE80">
            <v>88.555999755859403</v>
          </cell>
          <cell r="BF80">
            <v>88.727996826171903</v>
          </cell>
          <cell r="BG80">
            <v>88.389999389648395</v>
          </cell>
          <cell r="BH80">
            <v>88.410003662109403</v>
          </cell>
          <cell r="BI80">
            <v>88.186996459960895</v>
          </cell>
          <cell r="BJ80">
            <v>88.359001159667997</v>
          </cell>
          <cell r="BK80">
            <v>88.319000244140597</v>
          </cell>
        </row>
        <row r="81">
          <cell r="B81" t="str">
            <v>FRO</v>
          </cell>
          <cell r="C81" t="str">
            <v>Wage and salaried workers, total (% of total employment) (modeled ILO estimate)</v>
          </cell>
          <cell r="D81" t="str">
            <v>SL.EMP.WORK.ZS</v>
          </cell>
        </row>
        <row r="82">
          <cell r="B82" t="str">
            <v>FSM</v>
          </cell>
          <cell r="C82" t="str">
            <v>Wage and salaried workers, total (% of total employment) (modeled ILO estimate)</v>
          </cell>
          <cell r="D82" t="str">
            <v>SL.EMP.WORK.ZS</v>
          </cell>
        </row>
        <row r="83">
          <cell r="B83" t="str">
            <v>GAB</v>
          </cell>
          <cell r="C83" t="str">
            <v>Wage and salaried workers, total (% of total employment) (modeled ILO estimate)</v>
          </cell>
          <cell r="D83" t="str">
            <v>SL.EMP.WORK.ZS</v>
          </cell>
          <cell r="AJ83">
            <v>49.410999298095703</v>
          </cell>
          <cell r="AK83">
            <v>49.504001617431598</v>
          </cell>
          <cell r="AL83">
            <v>49.588001251220703</v>
          </cell>
          <cell r="AM83">
            <v>50.715000152587898</v>
          </cell>
          <cell r="AN83">
            <v>51.825000762939503</v>
          </cell>
          <cell r="AO83">
            <v>52.919998168945298</v>
          </cell>
          <cell r="AP83">
            <v>53.997001647949197</v>
          </cell>
          <cell r="AQ83">
            <v>55.055999755859403</v>
          </cell>
          <cell r="AR83">
            <v>56.103000640869098</v>
          </cell>
          <cell r="AS83">
            <v>57.126998901367202</v>
          </cell>
          <cell r="AT83">
            <v>58.127998352050803</v>
          </cell>
          <cell r="AU83">
            <v>59.110000610351598</v>
          </cell>
          <cell r="AV83">
            <v>60.068000793457003</v>
          </cell>
          <cell r="AW83">
            <v>61.004001617431598</v>
          </cell>
          <cell r="AX83">
            <v>61.9140014648438</v>
          </cell>
          <cell r="AY83">
            <v>62.804000854492202</v>
          </cell>
          <cell r="AZ83">
            <v>63.661998748779297</v>
          </cell>
          <cell r="BA83">
            <v>64.5</v>
          </cell>
          <cell r="BB83">
            <v>65.306999206542997</v>
          </cell>
          <cell r="BC83">
            <v>66.082000732421903</v>
          </cell>
          <cell r="BD83">
            <v>66.083999633789105</v>
          </cell>
          <cell r="BE83">
            <v>66.087997436523395</v>
          </cell>
          <cell r="BF83">
            <v>66.094001770019503</v>
          </cell>
          <cell r="BG83">
            <v>66.101997375488295</v>
          </cell>
          <cell r="BH83">
            <v>66.110000610351605</v>
          </cell>
          <cell r="BI83">
            <v>66.120002746582003</v>
          </cell>
          <cell r="BJ83">
            <v>66.132003784179702</v>
          </cell>
          <cell r="BK83">
            <v>66.144996643066406</v>
          </cell>
        </row>
        <row r="84">
          <cell r="B84" t="str">
            <v>GBR</v>
          </cell>
          <cell r="C84" t="str">
            <v>Wage and salaried workers, total (% of total employment) (modeled ILO estimate)</v>
          </cell>
          <cell r="D84" t="str">
            <v>SL.EMP.WORK.ZS</v>
          </cell>
          <cell r="AJ84">
            <v>86.361999511718807</v>
          </cell>
          <cell r="AK84">
            <v>86.769996643066406</v>
          </cell>
          <cell r="AL84">
            <v>86.905998229980497</v>
          </cell>
          <cell r="AM84">
            <v>86.575996398925795</v>
          </cell>
          <cell r="AN84">
            <v>86.524002075195298</v>
          </cell>
          <cell r="AO84">
            <v>86.958000183105497</v>
          </cell>
          <cell r="AP84">
            <v>87.030998229980497</v>
          </cell>
          <cell r="AQ84">
            <v>87.503997802734403</v>
          </cell>
          <cell r="AR84">
            <v>87.388999938964801</v>
          </cell>
          <cell r="AS84">
            <v>87.728996276855497</v>
          </cell>
          <cell r="AT84">
            <v>87.803001403808594</v>
          </cell>
          <cell r="AU84">
            <v>87.684997558593807</v>
          </cell>
          <cell r="AV84">
            <v>87.178001403808594</v>
          </cell>
          <cell r="AW84">
            <v>86.910003662109403</v>
          </cell>
          <cell r="AX84">
            <v>87.004997253417997</v>
          </cell>
          <cell r="AY84">
            <v>86.771003723144503</v>
          </cell>
          <cell r="AZ84">
            <v>86.611999511718807</v>
          </cell>
          <cell r="BA84">
            <v>86.657997131347699</v>
          </cell>
          <cell r="BB84">
            <v>86.402000427246094</v>
          </cell>
          <cell r="BC84">
            <v>86.011001586914105</v>
          </cell>
          <cell r="BD84">
            <v>85.817001342773395</v>
          </cell>
          <cell r="BE84">
            <v>85.375999450683594</v>
          </cell>
          <cell r="BF84">
            <v>85.408996582031307</v>
          </cell>
          <cell r="BG84">
            <v>84.766998291015597</v>
          </cell>
          <cell r="BH84">
            <v>85.014999389648395</v>
          </cell>
          <cell r="BI84">
            <v>84.566001892089801</v>
          </cell>
          <cell r="BJ84">
            <v>84.637001037597699</v>
          </cell>
          <cell r="BK84">
            <v>84.888999938964801</v>
          </cell>
        </row>
        <row r="85">
          <cell r="B85" t="str">
            <v>GEO</v>
          </cell>
          <cell r="C85" t="str">
            <v>Wage and salaried workers, total (% of total employment) (modeled ILO estimate)</v>
          </cell>
          <cell r="D85" t="str">
            <v>SL.EMP.WORK.ZS</v>
          </cell>
          <cell r="AJ85">
            <v>43.224998474121101</v>
          </cell>
          <cell r="AK85">
            <v>43.310001373291001</v>
          </cell>
          <cell r="AL85">
            <v>43.4010009765625</v>
          </cell>
          <cell r="AM85">
            <v>43.5320014953613</v>
          </cell>
          <cell r="AN85">
            <v>43.700000762939503</v>
          </cell>
          <cell r="AO85">
            <v>43.888999938964801</v>
          </cell>
          <cell r="AP85">
            <v>44.084999084472699</v>
          </cell>
          <cell r="AQ85">
            <v>44.279998779296903</v>
          </cell>
          <cell r="AR85">
            <v>43.465999603271499</v>
          </cell>
          <cell r="AS85">
            <v>38.337001800537102</v>
          </cell>
          <cell r="AT85">
            <v>35.8880004882813</v>
          </cell>
          <cell r="AU85">
            <v>35.669998168945298</v>
          </cell>
          <cell r="AV85">
            <v>34.125999450683601</v>
          </cell>
          <cell r="AW85">
            <v>33.768001556396499</v>
          </cell>
          <cell r="AX85">
            <v>34.571998596191399</v>
          </cell>
          <cell r="AY85">
            <v>34.620998382568402</v>
          </cell>
          <cell r="AZ85">
            <v>36.699001312255902</v>
          </cell>
          <cell r="BA85">
            <v>38.9739990234375</v>
          </cell>
          <cell r="BB85">
            <v>39.615001678466797</v>
          </cell>
          <cell r="BC85">
            <v>41.188999176025398</v>
          </cell>
          <cell r="BD85">
            <v>41.902999877929702</v>
          </cell>
          <cell r="BE85">
            <v>43.472000122070298</v>
          </cell>
          <cell r="BF85">
            <v>42.590000152587898</v>
          </cell>
          <cell r="BG85">
            <v>44.144001007080099</v>
          </cell>
          <cell r="BH85">
            <v>46.351001739502003</v>
          </cell>
          <cell r="BI85">
            <v>46.932998657226598</v>
          </cell>
          <cell r="BJ85">
            <v>48.362998962402301</v>
          </cell>
          <cell r="BK85">
            <v>48.648998260497997</v>
          </cell>
        </row>
        <row r="86">
          <cell r="B86" t="str">
            <v>GHA</v>
          </cell>
          <cell r="C86" t="str">
            <v>Wage and salaried workers, total (% of total employment) (modeled ILO estimate)</v>
          </cell>
          <cell r="D86" t="str">
            <v>SL.EMP.WORK.ZS</v>
          </cell>
          <cell r="AJ86">
            <v>16.305000305175799</v>
          </cell>
          <cell r="AK86">
            <v>16.4409999847412</v>
          </cell>
          <cell r="AL86">
            <v>16.577999114990199</v>
          </cell>
          <cell r="AM86">
            <v>16.708999633789102</v>
          </cell>
          <cell r="AN86">
            <v>16.860000610351602</v>
          </cell>
          <cell r="AO86">
            <v>17.025999069213899</v>
          </cell>
          <cell r="AP86">
            <v>17.181999206543001</v>
          </cell>
          <cell r="AQ86">
            <v>17.3579998016357</v>
          </cell>
          <cell r="AR86">
            <v>17.528999328613299</v>
          </cell>
          <cell r="AS86">
            <v>17.6870002746582</v>
          </cell>
          <cell r="AT86">
            <v>17.850999832153299</v>
          </cell>
          <cell r="AU86">
            <v>18.027999877929702</v>
          </cell>
          <cell r="AV86">
            <v>18.224000930786101</v>
          </cell>
          <cell r="AW86">
            <v>18.433000564575199</v>
          </cell>
          <cell r="AX86">
            <v>18.649999618530298</v>
          </cell>
          <cell r="AY86">
            <v>18.879999160766602</v>
          </cell>
          <cell r="AZ86">
            <v>19.07200050354</v>
          </cell>
          <cell r="BA86">
            <v>19.375</v>
          </cell>
          <cell r="BB86">
            <v>19.590999603271499</v>
          </cell>
          <cell r="BC86">
            <v>19.870000839233398</v>
          </cell>
          <cell r="BD86">
            <v>20.8980007171631</v>
          </cell>
          <cell r="BE86">
            <v>21.878999710083001</v>
          </cell>
          <cell r="BF86">
            <v>22.833999633789102</v>
          </cell>
          <cell r="BG86">
            <v>23.686000823974599</v>
          </cell>
          <cell r="BH86">
            <v>24.545000076293899</v>
          </cell>
          <cell r="BI86">
            <v>24.7590007781982</v>
          </cell>
          <cell r="BJ86">
            <v>25.0690002441406</v>
          </cell>
          <cell r="BK86">
            <v>25.346000671386701</v>
          </cell>
        </row>
        <row r="87">
          <cell r="B87" t="str">
            <v>GIB</v>
          </cell>
          <cell r="C87" t="str">
            <v>Wage and salaried workers, total (% of total employment) (modeled ILO estimate)</v>
          </cell>
          <cell r="D87" t="str">
            <v>SL.EMP.WORK.ZS</v>
          </cell>
        </row>
        <row r="88">
          <cell r="B88" t="str">
            <v>GIN</v>
          </cell>
          <cell r="C88" t="str">
            <v>Wage and salaried workers, total (% of total employment) (modeled ILO estimate)</v>
          </cell>
          <cell r="D88" t="str">
            <v>SL.EMP.WORK.ZS</v>
          </cell>
          <cell r="AJ88">
            <v>6.5240001678466797</v>
          </cell>
          <cell r="AK88">
            <v>6.56599998474121</v>
          </cell>
          <cell r="AL88">
            <v>6.6259999275207502</v>
          </cell>
          <cell r="AM88">
            <v>6.6770000457763699</v>
          </cell>
          <cell r="AN88">
            <v>6.7350001335143999</v>
          </cell>
          <cell r="AO88">
            <v>6.7909998893737802</v>
          </cell>
          <cell r="AP88">
            <v>6.8559999465942401</v>
          </cell>
          <cell r="AQ88">
            <v>6.9060001373290998</v>
          </cell>
          <cell r="AR88">
            <v>6.9590001106262198</v>
          </cell>
          <cell r="AS88">
            <v>7.0009999275207502</v>
          </cell>
          <cell r="AT88">
            <v>7.0570001602172896</v>
          </cell>
          <cell r="AU88">
            <v>7.1319999694824201</v>
          </cell>
          <cell r="AV88">
            <v>7.16499996185303</v>
          </cell>
          <cell r="AW88">
            <v>7.2119998931884801</v>
          </cell>
          <cell r="AX88">
            <v>7.2649998664856001</v>
          </cell>
          <cell r="AY88">
            <v>7.2989997863769496</v>
          </cell>
          <cell r="AZ88">
            <v>7.3940000534057599</v>
          </cell>
          <cell r="BA88">
            <v>7.4609999656677202</v>
          </cell>
          <cell r="BB88">
            <v>7.4699997901916504</v>
          </cell>
          <cell r="BC88">
            <v>7.5479998588562003</v>
          </cell>
          <cell r="BD88">
            <v>7.6370000839233398</v>
          </cell>
          <cell r="BE88">
            <v>7.7319998741149902</v>
          </cell>
          <cell r="BF88">
            <v>7.8049998283386204</v>
          </cell>
          <cell r="BG88">
            <v>7.8769998550415004</v>
          </cell>
          <cell r="BH88">
            <v>7.9489998817443803</v>
          </cell>
          <cell r="BI88">
            <v>8.09899997711182</v>
          </cell>
          <cell r="BJ88">
            <v>8.2770004272460902</v>
          </cell>
          <cell r="BK88">
            <v>8.4049997329711896</v>
          </cell>
        </row>
        <row r="89">
          <cell r="B89" t="str">
            <v>GMB</v>
          </cell>
          <cell r="C89" t="str">
            <v>Wage and salaried workers, total (% of total employment) (modeled ILO estimate)</v>
          </cell>
          <cell r="D89" t="str">
            <v>SL.EMP.WORK.ZS</v>
          </cell>
          <cell r="AJ89">
            <v>22.9340000152588</v>
          </cell>
          <cell r="AK89">
            <v>23.056999206543001</v>
          </cell>
          <cell r="AL89">
            <v>23.173999786376999</v>
          </cell>
          <cell r="AM89">
            <v>23.225000381469702</v>
          </cell>
          <cell r="AN89">
            <v>23.288000106811499</v>
          </cell>
          <cell r="AO89">
            <v>23.378999710083001</v>
          </cell>
          <cell r="AP89">
            <v>23.537000656127901</v>
          </cell>
          <cell r="AQ89">
            <v>23.659000396728501</v>
          </cell>
          <cell r="AR89">
            <v>23.843999862670898</v>
          </cell>
          <cell r="AS89">
            <v>24.011999130248999</v>
          </cell>
          <cell r="AT89">
            <v>24.1840000152588</v>
          </cell>
          <cell r="AU89">
            <v>24.155000686645501</v>
          </cell>
          <cell r="AV89">
            <v>24.344999313354499</v>
          </cell>
          <cell r="AW89">
            <v>24.5359992980957</v>
          </cell>
          <cell r="AX89">
            <v>24.554000854492202</v>
          </cell>
          <cell r="AY89">
            <v>24.620000839233398</v>
          </cell>
          <cell r="AZ89">
            <v>24.7439994812012</v>
          </cell>
          <cell r="BA89">
            <v>24.916000366210898</v>
          </cell>
          <cell r="BB89">
            <v>25.107000350952099</v>
          </cell>
          <cell r="BC89">
            <v>25.302000045776399</v>
          </cell>
          <cell r="BD89">
            <v>25.25</v>
          </cell>
          <cell r="BE89">
            <v>25.422000885009801</v>
          </cell>
          <cell r="BF89">
            <v>25.583000183105501</v>
          </cell>
          <cell r="BG89">
            <v>25.6119995117188</v>
          </cell>
          <cell r="BH89">
            <v>25.797000885009801</v>
          </cell>
          <cell r="BI89">
            <v>25.8659992218018</v>
          </cell>
          <cell r="BJ89">
            <v>26.031999588012699</v>
          </cell>
          <cell r="BK89">
            <v>26.245000839233398</v>
          </cell>
        </row>
        <row r="90">
          <cell r="B90" t="str">
            <v>GNB</v>
          </cell>
          <cell r="C90" t="str">
            <v>Wage and salaried workers, total (% of total employment) (modeled ILO estimate)</v>
          </cell>
          <cell r="D90" t="str">
            <v>SL.EMP.WORK.ZS</v>
          </cell>
          <cell r="AJ90">
            <v>20.597000122070298</v>
          </cell>
          <cell r="AK90">
            <v>20.659000396728501</v>
          </cell>
          <cell r="AL90">
            <v>20.701000213623001</v>
          </cell>
          <cell r="AM90">
            <v>20.763999938964801</v>
          </cell>
          <cell r="AN90">
            <v>20.856000900268601</v>
          </cell>
          <cell r="AO90">
            <v>21.113000869751001</v>
          </cell>
          <cell r="AP90">
            <v>21.2600002288818</v>
          </cell>
          <cell r="AQ90">
            <v>20.538000106811499</v>
          </cell>
          <cell r="AR90">
            <v>20.559999465942401</v>
          </cell>
          <cell r="AS90">
            <v>20.679000854492202</v>
          </cell>
          <cell r="AT90">
            <v>20.731000900268601</v>
          </cell>
          <cell r="AU90">
            <v>20.722000122070298</v>
          </cell>
          <cell r="AV90">
            <v>20.7469997406006</v>
          </cell>
          <cell r="AW90">
            <v>20.819999694824201</v>
          </cell>
          <cell r="AX90">
            <v>20.924999237060501</v>
          </cell>
          <cell r="AY90">
            <v>21</v>
          </cell>
          <cell r="AZ90">
            <v>21.097999572753899</v>
          </cell>
          <cell r="BA90">
            <v>21.198999404907202</v>
          </cell>
          <cell r="BB90">
            <v>21.3090000152588</v>
          </cell>
          <cell r="BC90">
            <v>21.44700050354</v>
          </cell>
          <cell r="BD90">
            <v>21.662000656127901</v>
          </cell>
          <cell r="BE90">
            <v>21.681999206543001</v>
          </cell>
          <cell r="BF90">
            <v>21.808000564575199</v>
          </cell>
          <cell r="BG90">
            <v>21.8950004577637</v>
          </cell>
          <cell r="BH90">
            <v>22.091999053955099</v>
          </cell>
          <cell r="BI90">
            <v>22.301000595092798</v>
          </cell>
          <cell r="BJ90">
            <v>22.5100002288818</v>
          </cell>
          <cell r="BK90">
            <v>22.680000305175799</v>
          </cell>
        </row>
        <row r="91">
          <cell r="B91" t="str">
            <v>GNQ</v>
          </cell>
          <cell r="C91" t="str">
            <v>Wage and salaried workers, total (% of total employment) (modeled ILO estimate)</v>
          </cell>
          <cell r="D91" t="str">
            <v>SL.EMP.WORK.ZS</v>
          </cell>
          <cell r="AJ91">
            <v>9.4250001907348597</v>
          </cell>
          <cell r="AK91">
            <v>9.6169996261596697</v>
          </cell>
          <cell r="AL91">
            <v>9.8120002746581996</v>
          </cell>
          <cell r="AM91">
            <v>10.010999679565399</v>
          </cell>
          <cell r="AN91">
            <v>10.239000320434601</v>
          </cell>
          <cell r="AO91">
            <v>10.470999717712401</v>
          </cell>
          <cell r="AP91">
            <v>10.706000328064</v>
          </cell>
          <cell r="AQ91">
            <v>10.9420003890991</v>
          </cell>
          <cell r="AR91">
            <v>11.177000045776399</v>
          </cell>
          <cell r="AS91">
            <v>11.411999702453601</v>
          </cell>
          <cell r="AT91">
            <v>11.6429996490479</v>
          </cell>
          <cell r="AU91">
            <v>11.869000434875501</v>
          </cell>
          <cell r="AV91">
            <v>12.0900001525879</v>
          </cell>
          <cell r="AW91">
            <v>12.3030004501343</v>
          </cell>
          <cell r="AX91">
            <v>12.508999824523899</v>
          </cell>
          <cell r="AY91">
            <v>12.704999923706101</v>
          </cell>
          <cell r="AZ91">
            <v>12.8909997940063</v>
          </cell>
          <cell r="BA91">
            <v>13.0670003890991</v>
          </cell>
          <cell r="BB91">
            <v>13.2320003509521</v>
          </cell>
          <cell r="BC91">
            <v>13.385999679565399</v>
          </cell>
          <cell r="BD91">
            <v>13.5299997329712</v>
          </cell>
          <cell r="BE91">
            <v>13.6630001068115</v>
          </cell>
          <cell r="BF91">
            <v>13.736000061035201</v>
          </cell>
          <cell r="BG91">
            <v>13.8009996414185</v>
          </cell>
          <cell r="BH91">
            <v>13.8590002059937</v>
          </cell>
          <cell r="BI91">
            <v>13.91100025177</v>
          </cell>
          <cell r="BJ91">
            <v>13.958000183105501</v>
          </cell>
          <cell r="BK91">
            <v>14</v>
          </cell>
        </row>
        <row r="92">
          <cell r="B92" t="str">
            <v>GRC</v>
          </cell>
          <cell r="C92" t="str">
            <v>Wage and salaried workers, total (% of total employment) (modeled ILO estimate)</v>
          </cell>
          <cell r="D92" t="str">
            <v>SL.EMP.WORK.ZS</v>
          </cell>
          <cell r="AJ92">
            <v>53.168998718261697</v>
          </cell>
          <cell r="AK92">
            <v>52.606998443603501</v>
          </cell>
          <cell r="AL92">
            <v>53.2820014953613</v>
          </cell>
          <cell r="AM92">
            <v>53.264999389648402</v>
          </cell>
          <cell r="AN92">
            <v>53.8880004882813</v>
          </cell>
          <cell r="AO92">
            <v>54.2820014953613</v>
          </cell>
          <cell r="AP92">
            <v>54.792999267578097</v>
          </cell>
          <cell r="AQ92">
            <v>56.437000274658203</v>
          </cell>
          <cell r="AR92">
            <v>57.851001739502003</v>
          </cell>
          <cell r="AS92">
            <v>58.047000885009801</v>
          </cell>
          <cell r="AT92">
            <v>60.390998840332003</v>
          </cell>
          <cell r="AU92">
            <v>61.068000793457003</v>
          </cell>
          <cell r="AV92">
            <v>61.396999359130902</v>
          </cell>
          <cell r="AW92">
            <v>63.764999389648402</v>
          </cell>
          <cell r="AX92">
            <v>63.999000549316399</v>
          </cell>
          <cell r="AY92">
            <v>63.962001800537102</v>
          </cell>
          <cell r="AZ92">
            <v>64.662002563476605</v>
          </cell>
          <cell r="BA92">
            <v>64.986000061035199</v>
          </cell>
          <cell r="BB92">
            <v>64.726997375488295</v>
          </cell>
          <cell r="BC92">
            <v>64.398002624511705</v>
          </cell>
          <cell r="BD92">
            <v>63.793998718261697</v>
          </cell>
          <cell r="BE92">
            <v>63.355998992919901</v>
          </cell>
          <cell r="BF92">
            <v>63.011001586914098</v>
          </cell>
          <cell r="BG92">
            <v>64.032997131347699</v>
          </cell>
          <cell r="BH92">
            <v>65.043998718261705</v>
          </cell>
          <cell r="BI92">
            <v>65.910003662109403</v>
          </cell>
          <cell r="BJ92">
            <v>65.930000305175795</v>
          </cell>
          <cell r="BK92">
            <v>66.516998291015597</v>
          </cell>
        </row>
        <row r="93">
          <cell r="B93" t="str">
            <v>GRD</v>
          </cell>
          <cell r="C93" t="str">
            <v>Wage and salaried workers, total (% of total employment) (modeled ILO estimate)</v>
          </cell>
          <cell r="D93" t="str">
            <v>SL.EMP.WORK.ZS</v>
          </cell>
        </row>
        <row r="94">
          <cell r="B94" t="str">
            <v>GRL</v>
          </cell>
          <cell r="C94" t="str">
            <v>Wage and salaried workers, total (% of total employment) (modeled ILO estimate)</v>
          </cell>
          <cell r="D94" t="str">
            <v>SL.EMP.WORK.ZS</v>
          </cell>
        </row>
        <row r="95">
          <cell r="B95" t="str">
            <v>GTM</v>
          </cell>
          <cell r="C95" t="str">
            <v>Wage and salaried workers, total (% of total employment) (modeled ILO estimate)</v>
          </cell>
          <cell r="D95" t="str">
            <v>SL.EMP.WORK.ZS</v>
          </cell>
          <cell r="AJ95">
            <v>50.511001586914098</v>
          </cell>
          <cell r="AK95">
            <v>50.700000762939503</v>
          </cell>
          <cell r="AL95">
            <v>50.7369995117188</v>
          </cell>
          <cell r="AM95">
            <v>50.803001403808601</v>
          </cell>
          <cell r="AN95">
            <v>50.952999114990199</v>
          </cell>
          <cell r="AO95">
            <v>50.943000793457003</v>
          </cell>
          <cell r="AP95">
            <v>51.097000122070298</v>
          </cell>
          <cell r="AQ95">
            <v>51.25</v>
          </cell>
          <cell r="AR95">
            <v>50.778999328613303</v>
          </cell>
          <cell r="AS95">
            <v>50.136001586914098</v>
          </cell>
          <cell r="AT95">
            <v>49.643001556396499</v>
          </cell>
          <cell r="AU95">
            <v>48.602001190185497</v>
          </cell>
          <cell r="AV95">
            <v>47.356998443603501</v>
          </cell>
          <cell r="AW95">
            <v>47.958999633789098</v>
          </cell>
          <cell r="AX95">
            <v>49.699001312255902</v>
          </cell>
          <cell r="AY95">
            <v>51.639999389648402</v>
          </cell>
          <cell r="AZ95">
            <v>52.209999084472699</v>
          </cell>
          <cell r="BA95">
            <v>52.5390014648438</v>
          </cell>
          <cell r="BB95">
            <v>52.6310005187988</v>
          </cell>
          <cell r="BC95">
            <v>53.034000396728501</v>
          </cell>
          <cell r="BD95">
            <v>54.306999206542997</v>
          </cell>
          <cell r="BE95">
            <v>55.387001037597699</v>
          </cell>
          <cell r="BF95">
            <v>56.478000640869098</v>
          </cell>
          <cell r="BG95">
            <v>59.271999359130902</v>
          </cell>
          <cell r="BH95">
            <v>60.321998596191399</v>
          </cell>
          <cell r="BI95">
            <v>62.353000640869098</v>
          </cell>
          <cell r="BJ95">
            <v>59.542999267578097</v>
          </cell>
          <cell r="BK95">
            <v>59.622001647949197</v>
          </cell>
        </row>
        <row r="96">
          <cell r="B96" t="str">
            <v>GUM</v>
          </cell>
          <cell r="C96" t="str">
            <v>Wage and salaried workers, total (% of total employment) (modeled ILO estimate)</v>
          </cell>
          <cell r="D96" t="str">
            <v>SL.EMP.WORK.ZS</v>
          </cell>
          <cell r="AJ96">
            <v>86.751998901367202</v>
          </cell>
          <cell r="AK96">
            <v>86.7969970703125</v>
          </cell>
          <cell r="AL96">
            <v>86.823997497558594</v>
          </cell>
          <cell r="AM96">
            <v>86.884002685546903</v>
          </cell>
          <cell r="AN96">
            <v>86.933998107910199</v>
          </cell>
          <cell r="AO96">
            <v>86.987998962402301</v>
          </cell>
          <cell r="AP96">
            <v>87.066001892089801</v>
          </cell>
          <cell r="AQ96">
            <v>87.132003784179702</v>
          </cell>
          <cell r="AR96">
            <v>87.168998718261705</v>
          </cell>
          <cell r="AS96">
            <v>87.224998474121094</v>
          </cell>
          <cell r="AT96">
            <v>87.265998840332003</v>
          </cell>
          <cell r="AU96">
            <v>87.305999755859403</v>
          </cell>
          <cell r="AV96">
            <v>87.311996459960895</v>
          </cell>
          <cell r="AW96">
            <v>87.410003662109403</v>
          </cell>
          <cell r="AX96">
            <v>87.454002380371094</v>
          </cell>
          <cell r="AY96">
            <v>87.374000549316406</v>
          </cell>
          <cell r="AZ96">
            <v>87.388000488281307</v>
          </cell>
          <cell r="BA96">
            <v>87.407997131347699</v>
          </cell>
          <cell r="BB96">
            <v>87.443000793457003</v>
          </cell>
          <cell r="BC96">
            <v>87.461997985839801</v>
          </cell>
          <cell r="BD96">
            <v>87.445999145507798</v>
          </cell>
          <cell r="BE96">
            <v>87.476997375488295</v>
          </cell>
          <cell r="BF96">
            <v>87.507003784179702</v>
          </cell>
          <cell r="BG96">
            <v>87.528999328613295</v>
          </cell>
          <cell r="BH96">
            <v>87.543998718261705</v>
          </cell>
          <cell r="BI96">
            <v>87.542999267578097</v>
          </cell>
          <cell r="BJ96">
            <v>87.522003173828097</v>
          </cell>
          <cell r="BK96">
            <v>87.523002624511705</v>
          </cell>
        </row>
        <row r="97">
          <cell r="B97" t="str">
            <v>GUY</v>
          </cell>
          <cell r="C97" t="str">
            <v>Wage and salaried workers, total (% of total employment) (modeled ILO estimate)</v>
          </cell>
          <cell r="D97" t="str">
            <v>SL.EMP.WORK.ZS</v>
          </cell>
          <cell r="AJ97">
            <v>62.680999755859403</v>
          </cell>
          <cell r="AK97">
            <v>62.763999938964801</v>
          </cell>
          <cell r="AL97">
            <v>62.8489990234375</v>
          </cell>
          <cell r="AM97">
            <v>62.930999755859403</v>
          </cell>
          <cell r="AN97">
            <v>63.101001739502003</v>
          </cell>
          <cell r="AO97">
            <v>63.189998626708999</v>
          </cell>
          <cell r="AP97">
            <v>63.319999694824197</v>
          </cell>
          <cell r="AQ97">
            <v>63.613998413085902</v>
          </cell>
          <cell r="AR97">
            <v>63.7960014343262</v>
          </cell>
          <cell r="AS97">
            <v>64.067001342773395</v>
          </cell>
          <cell r="AT97">
            <v>64.257003784179702</v>
          </cell>
          <cell r="AU97">
            <v>64.468002319335895</v>
          </cell>
          <cell r="AV97">
            <v>64.709999084472699</v>
          </cell>
          <cell r="AW97">
            <v>64.902999877929702</v>
          </cell>
          <cell r="AX97">
            <v>65.165000915527301</v>
          </cell>
          <cell r="AY97">
            <v>65.283996582031307</v>
          </cell>
          <cell r="AZ97">
            <v>65.377998352050795</v>
          </cell>
          <cell r="BA97">
            <v>65.561996459960895</v>
          </cell>
          <cell r="BB97">
            <v>65.724998474121094</v>
          </cell>
          <cell r="BC97">
            <v>65.883003234863295</v>
          </cell>
          <cell r="BD97">
            <v>66.033996582031307</v>
          </cell>
          <cell r="BE97">
            <v>66.199996948242202</v>
          </cell>
          <cell r="BF97">
            <v>66.375</v>
          </cell>
          <cell r="BG97">
            <v>66.564002990722699</v>
          </cell>
          <cell r="BH97">
            <v>66.759002685546903</v>
          </cell>
          <cell r="BI97">
            <v>66.954002380371094</v>
          </cell>
          <cell r="BJ97">
            <v>67.154998779296903</v>
          </cell>
          <cell r="BK97">
            <v>67.349998474121094</v>
          </cell>
        </row>
        <row r="98">
          <cell r="B98" t="str">
            <v>HIC</v>
          </cell>
          <cell r="C98" t="str">
            <v>Wage and salaried workers, total (% of total employment) (modeled ILO estimate)</v>
          </cell>
          <cell r="D98" t="str">
            <v>SL.EMP.WORK.ZS</v>
          </cell>
          <cell r="AJ98">
            <v>82.781367425048415</v>
          </cell>
          <cell r="AK98">
            <v>82.9783176545087</v>
          </cell>
          <cell r="AL98">
            <v>83.135829574236581</v>
          </cell>
          <cell r="AM98">
            <v>83.270634768405742</v>
          </cell>
          <cell r="AN98">
            <v>83.55294522919651</v>
          </cell>
          <cell r="AO98">
            <v>83.746346987210174</v>
          </cell>
          <cell r="AP98">
            <v>83.903775074888074</v>
          </cell>
          <cell r="AQ98">
            <v>84.193838992292314</v>
          </cell>
          <cell r="AR98">
            <v>84.463429012200137</v>
          </cell>
          <cell r="AS98">
            <v>84.775023139295484</v>
          </cell>
          <cell r="AT98">
            <v>84.912812213019521</v>
          </cell>
          <cell r="AU98">
            <v>85.034002176519039</v>
          </cell>
          <cell r="AV98">
            <v>85.036383868369327</v>
          </cell>
          <cell r="AW98">
            <v>85.105252764213432</v>
          </cell>
          <cell r="AX98">
            <v>85.315924956170306</v>
          </cell>
          <cell r="AY98">
            <v>85.608605767220794</v>
          </cell>
          <cell r="AZ98">
            <v>85.890872918702399</v>
          </cell>
          <cell r="BA98">
            <v>86.161344733167397</v>
          </cell>
          <cell r="BB98">
            <v>86.198616401941379</v>
          </cell>
          <cell r="BC98">
            <v>86.301356548835741</v>
          </cell>
          <cell r="BD98">
            <v>86.530378400796764</v>
          </cell>
          <cell r="BE98">
            <v>86.703567105981094</v>
          </cell>
          <cell r="BF98">
            <v>86.903617758746989</v>
          </cell>
          <cell r="BG98">
            <v>87.033272713156691</v>
          </cell>
          <cell r="BH98">
            <v>87.231454536154587</v>
          </cell>
          <cell r="BI98">
            <v>87.356127807690825</v>
          </cell>
          <cell r="BJ98">
            <v>87.518492609256327</v>
          </cell>
          <cell r="BK98">
            <v>87.637891632290902</v>
          </cell>
        </row>
        <row r="99">
          <cell r="B99" t="str">
            <v>HKG</v>
          </cell>
          <cell r="C99" t="str">
            <v>Wage and salaried workers, total (% of total employment) (modeled ILO estimate)</v>
          </cell>
          <cell r="D99" t="str">
            <v>SL.EMP.WORK.ZS</v>
          </cell>
          <cell r="AJ99">
            <v>88.333000183105497</v>
          </cell>
          <cell r="AK99">
            <v>88.485000610351605</v>
          </cell>
          <cell r="AL99">
            <v>88.628997802734403</v>
          </cell>
          <cell r="AM99">
            <v>89.146003723144503</v>
          </cell>
          <cell r="AN99">
            <v>89.194999694824205</v>
          </cell>
          <cell r="AO99">
            <v>89.204002380371094</v>
          </cell>
          <cell r="AP99">
            <v>89.682998657226605</v>
          </cell>
          <cell r="AQ99">
            <v>89.648002624511705</v>
          </cell>
          <cell r="AR99">
            <v>89.158996582031307</v>
          </cell>
          <cell r="AS99">
            <v>89.483001708984403</v>
          </cell>
          <cell r="AT99">
            <v>88.081001281738295</v>
          </cell>
          <cell r="AU99">
            <v>87.129997253417997</v>
          </cell>
          <cell r="AV99">
            <v>87.341003417968807</v>
          </cell>
          <cell r="AW99">
            <v>87.514999389648395</v>
          </cell>
          <cell r="AX99">
            <v>87.772003173828097</v>
          </cell>
          <cell r="AY99">
            <v>87.788002014160199</v>
          </cell>
          <cell r="AZ99">
            <v>88.702003479003906</v>
          </cell>
          <cell r="BA99">
            <v>88.831001281738295</v>
          </cell>
          <cell r="BB99">
            <v>88.810997009277301</v>
          </cell>
          <cell r="BC99">
            <v>90.072998046875</v>
          </cell>
          <cell r="BD99">
            <v>89.879997253417997</v>
          </cell>
          <cell r="BE99">
            <v>89.783996582031307</v>
          </cell>
          <cell r="BF99">
            <v>89.865997314453097</v>
          </cell>
          <cell r="BG99">
            <v>90.873001098632798</v>
          </cell>
          <cell r="BH99">
            <v>91.043998718261705</v>
          </cell>
          <cell r="BI99">
            <v>91.2969970703125</v>
          </cell>
          <cell r="BJ99">
            <v>91.400001525878906</v>
          </cell>
          <cell r="BK99">
            <v>91.492996215820298</v>
          </cell>
        </row>
        <row r="100">
          <cell r="B100" t="str">
            <v>HND</v>
          </cell>
          <cell r="C100" t="str">
            <v>Wage and salaried workers, total (% of total employment) (modeled ILO estimate)</v>
          </cell>
          <cell r="D100" t="str">
            <v>SL.EMP.WORK.ZS</v>
          </cell>
          <cell r="AJ100">
            <v>45.623001098632798</v>
          </cell>
          <cell r="AK100">
            <v>46.070999145507798</v>
          </cell>
          <cell r="AL100">
            <v>46.375999450683601</v>
          </cell>
          <cell r="AM100">
            <v>46.116001129150398</v>
          </cell>
          <cell r="AN100">
            <v>46.530998229980497</v>
          </cell>
          <cell r="AO100">
            <v>46.576000213622997</v>
          </cell>
          <cell r="AP100">
            <v>46.702999114990199</v>
          </cell>
          <cell r="AQ100">
            <v>46.861000061035199</v>
          </cell>
          <cell r="AR100">
            <v>46.911998748779297</v>
          </cell>
          <cell r="AS100">
            <v>47.242000579833999</v>
          </cell>
          <cell r="AT100">
            <v>47.108001708984403</v>
          </cell>
          <cell r="AU100">
            <v>47.240001678466797</v>
          </cell>
          <cell r="AV100">
            <v>47.448001861572301</v>
          </cell>
          <cell r="AW100">
            <v>47.653999328613303</v>
          </cell>
          <cell r="AX100">
            <v>47.859001159667997</v>
          </cell>
          <cell r="AY100">
            <v>48.109001159667997</v>
          </cell>
          <cell r="AZ100">
            <v>49.325000762939503</v>
          </cell>
          <cell r="BA100">
            <v>49.547000885009801</v>
          </cell>
          <cell r="BB100">
            <v>47.443000793457003</v>
          </cell>
          <cell r="BC100">
            <v>44.666000366210902</v>
          </cell>
          <cell r="BD100">
            <v>47.2109985351563</v>
          </cell>
          <cell r="BE100">
            <v>43.191001892089801</v>
          </cell>
          <cell r="BF100">
            <v>44.291000366210902</v>
          </cell>
          <cell r="BG100">
            <v>49.562999725341797</v>
          </cell>
          <cell r="BH100">
            <v>48.5789985656738</v>
          </cell>
          <cell r="BI100">
            <v>51.75</v>
          </cell>
          <cell r="BJ100">
            <v>47.612998962402301</v>
          </cell>
          <cell r="BK100">
            <v>48.555999755859403</v>
          </cell>
        </row>
        <row r="101">
          <cell r="B101" t="str">
            <v>HPC</v>
          </cell>
          <cell r="C101" t="str">
            <v>Wage and salaried workers, total (% of total employment) (modeled ILO estimate)</v>
          </cell>
          <cell r="D101" t="str">
            <v>SL.EMP.WORK.ZS</v>
          </cell>
          <cell r="AJ101">
            <v>13.897934185678929</v>
          </cell>
          <cell r="AK101">
            <v>13.931664371513763</v>
          </cell>
          <cell r="AL101">
            <v>13.97253422484447</v>
          </cell>
          <cell r="AM101">
            <v>13.987599732819389</v>
          </cell>
          <cell r="AN101">
            <v>14.133321175914851</v>
          </cell>
          <cell r="AO101">
            <v>14.259614509508742</v>
          </cell>
          <cell r="AP101">
            <v>14.431845021062927</v>
          </cell>
          <cell r="AQ101">
            <v>14.578526404286036</v>
          </cell>
          <cell r="AR101">
            <v>14.72155003295998</v>
          </cell>
          <cell r="AS101">
            <v>14.818443729584779</v>
          </cell>
          <cell r="AT101">
            <v>14.941368127049127</v>
          </cell>
          <cell r="AU101">
            <v>14.958670956065562</v>
          </cell>
          <cell r="AV101">
            <v>15.042002260695245</v>
          </cell>
          <cell r="AW101">
            <v>15.16061155989166</v>
          </cell>
          <cell r="AX101">
            <v>15.230911741580973</v>
          </cell>
          <cell r="AY101">
            <v>15.49893676764113</v>
          </cell>
          <cell r="AZ101">
            <v>15.897686967390431</v>
          </cell>
          <cell r="BA101">
            <v>16.253398668797427</v>
          </cell>
          <cell r="BB101">
            <v>16.60170194785881</v>
          </cell>
          <cell r="BC101">
            <v>16.930446490629443</v>
          </cell>
          <cell r="BD101">
            <v>17.456866925504769</v>
          </cell>
          <cell r="BE101">
            <v>17.882819367063863</v>
          </cell>
          <cell r="BF101">
            <v>18.258506827166705</v>
          </cell>
          <cell r="BG101">
            <v>18.651441168096774</v>
          </cell>
          <cell r="BH101">
            <v>18.833624835167253</v>
          </cell>
          <cell r="BI101">
            <v>19.044678013771062</v>
          </cell>
          <cell r="BJ101">
            <v>19.220001870066291</v>
          </cell>
          <cell r="BK101">
            <v>19.369898534144181</v>
          </cell>
        </row>
        <row r="102">
          <cell r="B102" t="str">
            <v>HRV</v>
          </cell>
          <cell r="C102" t="str">
            <v>Wage and salaried workers, total (% of total employment) (modeled ILO estimate)</v>
          </cell>
          <cell r="D102" t="str">
            <v>SL.EMP.WORK.ZS</v>
          </cell>
          <cell r="AJ102">
            <v>70.242996215820298</v>
          </cell>
          <cell r="AK102">
            <v>70.249000549316406</v>
          </cell>
          <cell r="AL102">
            <v>70.344001770019503</v>
          </cell>
          <cell r="AM102">
            <v>70.632003784179702</v>
          </cell>
          <cell r="AN102">
            <v>71.069000244140597</v>
          </cell>
          <cell r="AO102">
            <v>71.440002441406307</v>
          </cell>
          <cell r="AP102">
            <v>74.077003479003906</v>
          </cell>
          <cell r="AQ102">
            <v>75.342002868652301</v>
          </cell>
          <cell r="AR102">
            <v>75.158996582031307</v>
          </cell>
          <cell r="AS102">
            <v>76.137001037597699</v>
          </cell>
          <cell r="AT102">
            <v>75.747001647949205</v>
          </cell>
          <cell r="AU102">
            <v>75.891998291015597</v>
          </cell>
          <cell r="AV102">
            <v>75.564002990722699</v>
          </cell>
          <cell r="AW102">
            <v>75.879997253417997</v>
          </cell>
          <cell r="AX102">
            <v>75.106002807617202</v>
          </cell>
          <cell r="AY102">
            <v>77.019996643066406</v>
          </cell>
          <cell r="AZ102">
            <v>79.219001770019503</v>
          </cell>
          <cell r="BA102">
            <v>79.125</v>
          </cell>
          <cell r="BB102">
            <v>79.143997192382798</v>
          </cell>
          <cell r="BC102">
            <v>78.163002014160199</v>
          </cell>
          <cell r="BD102">
            <v>78.217002868652301</v>
          </cell>
          <cell r="BE102">
            <v>80.251998901367202</v>
          </cell>
          <cell r="BF102">
            <v>81.9219970703125</v>
          </cell>
          <cell r="BG102">
            <v>84.385002136230497</v>
          </cell>
          <cell r="BH102">
            <v>84.330001831054702</v>
          </cell>
          <cell r="BI102">
            <v>86.092002868652301</v>
          </cell>
          <cell r="BJ102">
            <v>87.629997253417997</v>
          </cell>
          <cell r="BK102">
            <v>87.925003051757798</v>
          </cell>
        </row>
        <row r="103">
          <cell r="B103" t="str">
            <v>HTI</v>
          </cell>
          <cell r="C103" t="str">
            <v>Wage and salaried workers, total (% of total employment) (modeled ILO estimate)</v>
          </cell>
          <cell r="D103" t="str">
            <v>SL.EMP.WORK.ZS</v>
          </cell>
          <cell r="AJ103">
            <v>20.011999130248999</v>
          </cell>
          <cell r="AK103">
            <v>19.8810005187988</v>
          </cell>
          <cell r="AL103">
            <v>20.037000656127901</v>
          </cell>
          <cell r="AM103">
            <v>19.830999374389599</v>
          </cell>
          <cell r="AN103">
            <v>21.024999618530298</v>
          </cell>
          <cell r="AO103">
            <v>21.610000610351602</v>
          </cell>
          <cell r="AP103">
            <v>21.541999816894499</v>
          </cell>
          <cell r="AQ103">
            <v>21.8980007171631</v>
          </cell>
          <cell r="AR103">
            <v>21.972999572753899</v>
          </cell>
          <cell r="AS103">
            <v>21.915000915527301</v>
          </cell>
          <cell r="AT103">
            <v>22.3320007324219</v>
          </cell>
          <cell r="AU103">
            <v>22.844999313354499</v>
          </cell>
          <cell r="AV103">
            <v>23.3579998016357</v>
          </cell>
          <cell r="AW103">
            <v>23.6340007781982</v>
          </cell>
          <cell r="AX103">
            <v>24.034000396728501</v>
          </cell>
          <cell r="AY103">
            <v>24.208999633789102</v>
          </cell>
          <cell r="AZ103">
            <v>24.575000762939499</v>
          </cell>
          <cell r="BA103">
            <v>24.738000869751001</v>
          </cell>
          <cell r="BB103">
            <v>25.066999435424801</v>
          </cell>
          <cell r="BC103">
            <v>24.322999954223601</v>
          </cell>
          <cell r="BD103">
            <v>25.399999618530298</v>
          </cell>
          <cell r="BE103">
            <v>25.413000106811499</v>
          </cell>
          <cell r="BF103">
            <v>25.718999862670898</v>
          </cell>
          <cell r="BG103">
            <v>25.988000869751001</v>
          </cell>
          <cell r="BH103">
            <v>26.388999938964801</v>
          </cell>
          <cell r="BI103">
            <v>26.527999877929702</v>
          </cell>
          <cell r="BJ103">
            <v>26.6420001983643</v>
          </cell>
          <cell r="BK103">
            <v>26.881999969482401</v>
          </cell>
        </row>
        <row r="104">
          <cell r="B104" t="str">
            <v>HUN</v>
          </cell>
          <cell r="C104" t="str">
            <v>Wage and salaried workers, total (% of total employment) (modeled ILO estimate)</v>
          </cell>
          <cell r="D104" t="str">
            <v>SL.EMP.WORK.ZS</v>
          </cell>
          <cell r="AJ104">
            <v>79.511001586914105</v>
          </cell>
          <cell r="AK104">
            <v>79.464996337890597</v>
          </cell>
          <cell r="AL104">
            <v>81.889999389648395</v>
          </cell>
          <cell r="AM104">
            <v>81.926002502441406</v>
          </cell>
          <cell r="AN104">
            <v>82.025001525878906</v>
          </cell>
          <cell r="AO104">
            <v>82.156997680664105</v>
          </cell>
          <cell r="AP104">
            <v>82.527000427246094</v>
          </cell>
          <cell r="AQ104">
            <v>83.977996826171903</v>
          </cell>
          <cell r="AR104">
            <v>84.297996520996094</v>
          </cell>
          <cell r="AS104">
            <v>84.773002624511705</v>
          </cell>
          <cell r="AT104">
            <v>85.361999511718807</v>
          </cell>
          <cell r="AU104">
            <v>86.218002319335895</v>
          </cell>
          <cell r="AV104">
            <v>86.683998107910199</v>
          </cell>
          <cell r="AW104">
            <v>85.561996459960895</v>
          </cell>
          <cell r="AX104">
            <v>86.305999755859403</v>
          </cell>
          <cell r="AY104">
            <v>87.285003662109403</v>
          </cell>
          <cell r="AZ104">
            <v>87.533996582031307</v>
          </cell>
          <cell r="BA104">
            <v>87.789001464843807</v>
          </cell>
          <cell r="BB104">
            <v>87.380996704101605</v>
          </cell>
          <cell r="BC104">
            <v>87.682998657226605</v>
          </cell>
          <cell r="BD104">
            <v>87.856002807617202</v>
          </cell>
          <cell r="BE104">
            <v>88.265998840332003</v>
          </cell>
          <cell r="BF104">
            <v>88.7239990234375</v>
          </cell>
          <cell r="BG104">
            <v>89.052001953125</v>
          </cell>
          <cell r="BH104">
            <v>89.1510009765625</v>
          </cell>
          <cell r="BI104">
            <v>89.261001586914105</v>
          </cell>
          <cell r="BJ104">
            <v>89.665000915527301</v>
          </cell>
          <cell r="BK104">
            <v>89.583000183105497</v>
          </cell>
        </row>
        <row r="105">
          <cell r="B105" t="str">
            <v>IBD</v>
          </cell>
          <cell r="C105" t="str">
            <v>Wage and salaried workers, total (% of total employment) (modeled ILO estimate)</v>
          </cell>
          <cell r="D105" t="str">
            <v>SL.EMP.WORK.ZS</v>
          </cell>
          <cell r="AJ105">
            <v>37.402150334946739</v>
          </cell>
          <cell r="AK105">
            <v>37.673272701407384</v>
          </cell>
          <cell r="AL105">
            <v>37.920269051089022</v>
          </cell>
          <cell r="AM105">
            <v>38.169281898465883</v>
          </cell>
          <cell r="AN105">
            <v>38.414045863410081</v>
          </cell>
          <cell r="AO105">
            <v>38.806734646949522</v>
          </cell>
          <cell r="AP105">
            <v>39.02375335504248</v>
          </cell>
          <cell r="AQ105">
            <v>39.160809031467693</v>
          </cell>
          <cell r="AR105">
            <v>39.219418030585082</v>
          </cell>
          <cell r="AS105">
            <v>39.639256906681283</v>
          </cell>
          <cell r="AT105">
            <v>40.214667158469851</v>
          </cell>
          <cell r="AU105">
            <v>40.541639410879078</v>
          </cell>
          <cell r="AV105">
            <v>40.838031055974433</v>
          </cell>
          <cell r="AW105">
            <v>41.529172521728057</v>
          </cell>
          <cell r="AX105">
            <v>42.111031413937255</v>
          </cell>
          <cell r="AY105">
            <v>42.812661523199921</v>
          </cell>
          <cell r="AZ105">
            <v>43.466368440543228</v>
          </cell>
          <cell r="BA105">
            <v>44.068487983183928</v>
          </cell>
          <cell r="BB105">
            <v>44.46503952479619</v>
          </cell>
          <cell r="BC105">
            <v>45.100487893383139</v>
          </cell>
          <cell r="BD105">
            <v>45.964362986979999</v>
          </cell>
          <cell r="BE105">
            <v>47.029556586862874</v>
          </cell>
          <cell r="BF105">
            <v>47.661876472209002</v>
          </cell>
          <cell r="BG105">
            <v>48.324986444058766</v>
          </cell>
          <cell r="BH105">
            <v>49.052325001591662</v>
          </cell>
          <cell r="BI105">
            <v>49.658807250927858</v>
          </cell>
          <cell r="BJ105">
            <v>50.120621216015898</v>
          </cell>
          <cell r="BK105">
            <v>50.557326480816748</v>
          </cell>
        </row>
        <row r="106">
          <cell r="B106" t="str">
            <v>IBT</v>
          </cell>
          <cell r="C106" t="str">
            <v>Wage and salaried workers, total (% of total employment) (modeled ILO estimate)</v>
          </cell>
          <cell r="D106" t="str">
            <v>SL.EMP.WORK.ZS</v>
          </cell>
          <cell r="AJ106">
            <v>34.753663848345482</v>
          </cell>
          <cell r="AK106">
            <v>34.979821655476364</v>
          </cell>
          <cell r="AL106">
            <v>35.170953557358104</v>
          </cell>
          <cell r="AM106">
            <v>35.358536351707059</v>
          </cell>
          <cell r="AN106">
            <v>35.553682637859026</v>
          </cell>
          <cell r="AO106">
            <v>35.87837430255005</v>
          </cell>
          <cell r="AP106">
            <v>36.10122104528407</v>
          </cell>
          <cell r="AQ106">
            <v>36.184057296892604</v>
          </cell>
          <cell r="AR106">
            <v>36.234250066969047</v>
          </cell>
          <cell r="AS106">
            <v>36.582712825955241</v>
          </cell>
          <cell r="AT106">
            <v>37.03710274515079</v>
          </cell>
          <cell r="AU106">
            <v>37.381255898781092</v>
          </cell>
          <cell r="AV106">
            <v>37.621488097481603</v>
          </cell>
          <cell r="AW106">
            <v>38.151534887225502</v>
          </cell>
          <cell r="AX106">
            <v>38.623025047291861</v>
          </cell>
          <cell r="AY106">
            <v>39.222233434663643</v>
          </cell>
          <cell r="AZ106">
            <v>39.780343974997542</v>
          </cell>
          <cell r="BA106">
            <v>40.279513549355748</v>
          </cell>
          <cell r="BB106">
            <v>40.615740265687698</v>
          </cell>
          <cell r="BC106">
            <v>41.150838945804388</v>
          </cell>
          <cell r="BD106">
            <v>41.884256008359841</v>
          </cell>
          <cell r="BE106">
            <v>42.809226138531272</v>
          </cell>
          <cell r="BF106">
            <v>43.366700402647474</v>
          </cell>
          <cell r="BG106">
            <v>43.914165429555254</v>
          </cell>
          <cell r="BH106">
            <v>44.463967656784931</v>
          </cell>
          <cell r="BI106">
            <v>44.903782865511324</v>
          </cell>
          <cell r="BJ106">
            <v>45.269339724492077</v>
          </cell>
          <cell r="BK106">
            <v>45.615764437558667</v>
          </cell>
        </row>
        <row r="107">
          <cell r="B107" t="str">
            <v>IDA</v>
          </cell>
          <cell r="C107" t="str">
            <v>Wage and salaried workers, total (% of total employment) (modeled ILO estimate)</v>
          </cell>
          <cell r="D107" t="str">
            <v>SL.EMP.WORK.ZS</v>
          </cell>
          <cell r="AJ107">
            <v>21.641215766807523</v>
          </cell>
          <cell r="AK107">
            <v>21.748934205054791</v>
          </cell>
          <cell r="AL107">
            <v>21.808103645970689</v>
          </cell>
          <cell r="AM107">
            <v>21.879149922834529</v>
          </cell>
          <cell r="AN107">
            <v>22.019054067328852</v>
          </cell>
          <cell r="AO107">
            <v>22.167441676333734</v>
          </cell>
          <cell r="AP107">
            <v>22.597064528680619</v>
          </cell>
          <cell r="AQ107">
            <v>22.610731936285045</v>
          </cell>
          <cell r="AR107">
            <v>22.780379361339516</v>
          </cell>
          <cell r="AS107">
            <v>22.964363043610565</v>
          </cell>
          <cell r="AT107">
            <v>23.08831629254048</v>
          </cell>
          <cell r="AU107">
            <v>23.69085348856559</v>
          </cell>
          <cell r="AV107">
            <v>23.855926709576213</v>
          </cell>
          <cell r="AW107">
            <v>23.82277176703159</v>
          </cell>
          <cell r="AX107">
            <v>23.980156013885495</v>
          </cell>
          <cell r="AY107">
            <v>24.339977603560214</v>
          </cell>
          <cell r="AZ107">
            <v>24.677633981578136</v>
          </cell>
          <cell r="BA107">
            <v>24.979390655548084</v>
          </cell>
          <cell r="BB107">
            <v>25.346219098954244</v>
          </cell>
          <cell r="BC107">
            <v>25.753466428483826</v>
          </cell>
          <cell r="BD107">
            <v>26.219906096366348</v>
          </cell>
          <cell r="BE107">
            <v>26.762308232430183</v>
          </cell>
          <cell r="BF107">
            <v>27.224587616676928</v>
          </cell>
          <cell r="BG107">
            <v>27.614910331139331</v>
          </cell>
          <cell r="BH107">
            <v>27.826197033582133</v>
          </cell>
          <cell r="BI107">
            <v>27.927818794909886</v>
          </cell>
          <cell r="BJ107">
            <v>28.305321934446329</v>
          </cell>
          <cell r="BK107">
            <v>28.655975120930389</v>
          </cell>
        </row>
        <row r="108">
          <cell r="B108" t="str">
            <v>IDB</v>
          </cell>
          <cell r="C108" t="str">
            <v>Wage and salaried workers, total (% of total employment) (modeled ILO estimate)</v>
          </cell>
          <cell r="D108" t="str">
            <v>SL.EMP.WORK.ZS</v>
          </cell>
          <cell r="AJ108">
            <v>27.998729160163364</v>
          </cell>
          <cell r="AK108">
            <v>28.081789296498535</v>
          </cell>
          <cell r="AL108">
            <v>28.057372212496716</v>
          </cell>
          <cell r="AM108">
            <v>28.099578558736901</v>
          </cell>
          <cell r="AN108">
            <v>28.180527719707523</v>
          </cell>
          <cell r="AO108">
            <v>28.283076750374075</v>
          </cell>
          <cell r="AP108">
            <v>29.235951442706863</v>
          </cell>
          <cell r="AQ108">
            <v>28.901617740613858</v>
          </cell>
          <cell r="AR108">
            <v>29.001279621272623</v>
          </cell>
          <cell r="AS108">
            <v>29.233027978524447</v>
          </cell>
          <cell r="AT108">
            <v>29.357233346029016</v>
          </cell>
          <cell r="AU108">
            <v>30.934102744414165</v>
          </cell>
          <cell r="AV108">
            <v>31.022168543430681</v>
          </cell>
          <cell r="AW108">
            <v>30.405593590482002</v>
          </cell>
          <cell r="AX108">
            <v>30.395491641485151</v>
          </cell>
          <cell r="AY108">
            <v>30.698591520194029</v>
          </cell>
          <cell r="AZ108">
            <v>30.909296564073092</v>
          </cell>
          <cell r="BA108">
            <v>30.738574094755364</v>
          </cell>
          <cell r="BB108">
            <v>31.05197978799492</v>
          </cell>
          <cell r="BC108">
            <v>31.297876590638904</v>
          </cell>
          <cell r="BD108">
            <v>31.782439041712916</v>
          </cell>
          <cell r="BE108">
            <v>32.585971541178139</v>
          </cell>
          <cell r="BF108">
            <v>33.414101099845894</v>
          </cell>
          <cell r="BG108">
            <v>33.798281080675572</v>
          </cell>
          <cell r="BH108">
            <v>33.920917597312624</v>
          </cell>
          <cell r="BI108">
            <v>34.013046608356277</v>
          </cell>
          <cell r="BJ108">
            <v>34.92556866027769</v>
          </cell>
          <cell r="BK108">
            <v>35.762382222148084</v>
          </cell>
        </row>
        <row r="109">
          <cell r="B109" t="str">
            <v>IDN</v>
          </cell>
          <cell r="C109" t="str">
            <v>Wage and salaried workers, total (% of total employment) (modeled ILO estimate)</v>
          </cell>
          <cell r="D109" t="str">
            <v>SL.EMP.WORK.ZS</v>
          </cell>
          <cell r="AJ109">
            <v>32.277000427246101</v>
          </cell>
          <cell r="AK109">
            <v>32.777999877929702</v>
          </cell>
          <cell r="AL109">
            <v>33.280998229980497</v>
          </cell>
          <cell r="AM109">
            <v>33.838001251220703</v>
          </cell>
          <cell r="AN109">
            <v>34.433998107910199</v>
          </cell>
          <cell r="AO109">
            <v>35.014999389648402</v>
          </cell>
          <cell r="AP109">
            <v>35.451999664306598</v>
          </cell>
          <cell r="AQ109">
            <v>32.855998992919901</v>
          </cell>
          <cell r="AR109">
            <v>33.083000183105497</v>
          </cell>
          <cell r="AS109">
            <v>32.834999084472699</v>
          </cell>
          <cell r="AT109">
            <v>35.956001281738303</v>
          </cell>
          <cell r="AU109">
            <v>36.141998291015597</v>
          </cell>
          <cell r="AV109">
            <v>34.525001525878899</v>
          </cell>
          <cell r="AW109">
            <v>35.895999908447301</v>
          </cell>
          <cell r="AX109">
            <v>38.195999145507798</v>
          </cell>
          <cell r="AY109">
            <v>38.741001129150398</v>
          </cell>
          <cell r="AZ109">
            <v>38.444999694824197</v>
          </cell>
          <cell r="BA109">
            <v>38.569000244140597</v>
          </cell>
          <cell r="BB109">
            <v>38.726001739502003</v>
          </cell>
          <cell r="BC109">
            <v>39.793998718261697</v>
          </cell>
          <cell r="BD109">
            <v>42.515998840332003</v>
          </cell>
          <cell r="BE109">
            <v>45.152999877929702</v>
          </cell>
          <cell r="BF109">
            <v>46.346000671386697</v>
          </cell>
          <cell r="BG109">
            <v>46.701999664306598</v>
          </cell>
          <cell r="BH109">
            <v>48.995998382568402</v>
          </cell>
          <cell r="BI109">
            <v>48.874000549316399</v>
          </cell>
          <cell r="BJ109">
            <v>48.808998107910199</v>
          </cell>
          <cell r="BK109">
            <v>48.095001220703097</v>
          </cell>
        </row>
        <row r="110">
          <cell r="B110" t="str">
            <v>IDX</v>
          </cell>
          <cell r="C110" t="str">
            <v>Wage and salaried workers, total (% of total employment) (modeled ILO estimate)</v>
          </cell>
          <cell r="D110" t="str">
            <v>SL.EMP.WORK.ZS</v>
          </cell>
          <cell r="AJ110">
            <v>18.766491065411817</v>
          </cell>
          <cell r="AK110">
            <v>18.894074145477465</v>
          </cell>
          <cell r="AL110">
            <v>19.007683946467225</v>
          </cell>
          <cell r="AM110">
            <v>19.095299198845506</v>
          </cell>
          <cell r="AN110">
            <v>19.289062596495583</v>
          </cell>
          <cell r="AO110">
            <v>19.453806550343568</v>
          </cell>
          <cell r="AP110">
            <v>19.637949235659118</v>
          </cell>
          <cell r="AQ110">
            <v>19.810907079328249</v>
          </cell>
          <cell r="AR110">
            <v>20.003367290223377</v>
          </cell>
          <cell r="AS110">
            <v>20.150909687489943</v>
          </cell>
          <cell r="AT110">
            <v>20.278605643799008</v>
          </cell>
          <cell r="AU110">
            <v>20.444130836635821</v>
          </cell>
          <cell r="AV110">
            <v>20.630231581540937</v>
          </cell>
          <cell r="AW110">
            <v>20.849642301209915</v>
          </cell>
          <cell r="AX110">
            <v>21.09237724886928</v>
          </cell>
          <cell r="AY110">
            <v>21.473128416958005</v>
          </cell>
          <cell r="AZ110">
            <v>21.846775096106146</v>
          </cell>
          <cell r="BA110">
            <v>22.351975353571017</v>
          </cell>
          <cell r="BB110">
            <v>22.723180450173874</v>
          </cell>
          <cell r="BC110">
            <v>23.193765181465935</v>
          </cell>
          <cell r="BD110">
            <v>23.634228382093507</v>
          </cell>
          <cell r="BE110">
            <v>24.077082686334556</v>
          </cell>
          <cell r="BF110">
            <v>24.401883864377087</v>
          </cell>
          <cell r="BG110">
            <v>24.792269049105908</v>
          </cell>
          <cell r="BH110">
            <v>25.044629393441941</v>
          </cell>
          <cell r="BI110">
            <v>25.191047335108411</v>
          </cell>
          <cell r="BJ110">
            <v>25.368161655798865</v>
          </cell>
          <cell r="BK110">
            <v>25.516862277706419</v>
          </cell>
        </row>
        <row r="111">
          <cell r="B111" t="str">
            <v>IMN</v>
          </cell>
          <cell r="C111" t="str">
            <v>Wage and salaried workers, total (% of total employment) (modeled ILO estimate)</v>
          </cell>
          <cell r="D111" t="str">
            <v>SL.EMP.WORK.ZS</v>
          </cell>
        </row>
        <row r="112">
          <cell r="B112" t="str">
            <v>IND</v>
          </cell>
          <cell r="C112" t="str">
            <v>Wage and salaried workers, total (% of total employment) (modeled ILO estimate)</v>
          </cell>
          <cell r="D112" t="str">
            <v>SL.EMP.WORK.ZS</v>
          </cell>
          <cell r="AJ112">
            <v>14.2760000228882</v>
          </cell>
          <cell r="AK112">
            <v>14.479000091552701</v>
          </cell>
          <cell r="AL112">
            <v>14.661999702453601</v>
          </cell>
          <cell r="AM112">
            <v>14.8830003738403</v>
          </cell>
          <cell r="AN112">
            <v>14.9829998016357</v>
          </cell>
          <cell r="AO112">
            <v>15.078000068664601</v>
          </cell>
          <cell r="AP112">
            <v>15.1049995422363</v>
          </cell>
          <cell r="AQ112">
            <v>15.177000045776399</v>
          </cell>
          <cell r="AR112">
            <v>15.288999557495099</v>
          </cell>
          <cell r="AS112">
            <v>15.3039999008179</v>
          </cell>
          <cell r="AT112">
            <v>15.338000297546399</v>
          </cell>
          <cell r="AU112">
            <v>15.3570003509521</v>
          </cell>
          <cell r="AV112">
            <v>15.453000068664601</v>
          </cell>
          <cell r="AW112">
            <v>15.538999557495099</v>
          </cell>
          <cell r="AX112">
            <v>15.6300001144409</v>
          </cell>
          <cell r="AY112">
            <v>15.8549995422363</v>
          </cell>
          <cell r="AZ112">
            <v>16.076000213623001</v>
          </cell>
          <cell r="BA112">
            <v>16.211000442504901</v>
          </cell>
          <cell r="BB112">
            <v>16.443000793456999</v>
          </cell>
          <cell r="BC112">
            <v>16.677000045776399</v>
          </cell>
          <cell r="BD112">
            <v>17.961000442504901</v>
          </cell>
          <cell r="BE112">
            <v>19.318000793456999</v>
          </cell>
          <cell r="BF112">
            <v>19.965999603271499</v>
          </cell>
          <cell r="BG112">
            <v>20.642999649047901</v>
          </cell>
          <cell r="BH112">
            <v>21.340000152587901</v>
          </cell>
          <cell r="BI112">
            <v>22.049999237060501</v>
          </cell>
          <cell r="BJ112">
            <v>22.75</v>
          </cell>
          <cell r="BK112">
            <v>23.458000183105501</v>
          </cell>
        </row>
        <row r="113">
          <cell r="B113" t="str">
            <v>INX</v>
          </cell>
          <cell r="C113" t="str">
            <v>Wage and salaried workers, total (% of total employment) (modeled ILO estimate)</v>
          </cell>
          <cell r="D113" t="str">
            <v>SL.EMP.WORK.ZS</v>
          </cell>
        </row>
        <row r="114">
          <cell r="B114" t="str">
            <v>IRL</v>
          </cell>
          <cell r="C114" t="str">
            <v>Wage and salaried workers, total (% of total employment) (modeled ILO estimate)</v>
          </cell>
          <cell r="D114" t="str">
            <v>SL.EMP.WORK.ZS</v>
          </cell>
          <cell r="AJ114">
            <v>76.528999328613295</v>
          </cell>
          <cell r="AK114">
            <v>76.045997619628906</v>
          </cell>
          <cell r="AL114">
            <v>76.639999389648395</v>
          </cell>
          <cell r="AM114">
            <v>77.404998779296903</v>
          </cell>
          <cell r="AN114">
            <v>77.916999816894503</v>
          </cell>
          <cell r="AO114">
            <v>79.124000549316406</v>
          </cell>
          <cell r="AP114">
            <v>79.252998352050795</v>
          </cell>
          <cell r="AQ114">
            <v>79.682998657226605</v>
          </cell>
          <cell r="AR114">
            <v>80.716003417968807</v>
          </cell>
          <cell r="AS114">
            <v>80.888999938964801</v>
          </cell>
          <cell r="AT114">
            <v>81.649002075195298</v>
          </cell>
          <cell r="AU114">
            <v>81.972999572753906</v>
          </cell>
          <cell r="AV114">
            <v>82.321998596191406</v>
          </cell>
          <cell r="AW114">
            <v>82.0780029296875</v>
          </cell>
          <cell r="AX114">
            <v>82.959999084472699</v>
          </cell>
          <cell r="AY114">
            <v>83.768997192382798</v>
          </cell>
          <cell r="AZ114">
            <v>83.738998413085895</v>
          </cell>
          <cell r="BA114">
            <v>83.234001159667997</v>
          </cell>
          <cell r="BB114">
            <v>82.5</v>
          </cell>
          <cell r="BC114">
            <v>82.786003112792997</v>
          </cell>
          <cell r="BD114">
            <v>83.180999755859403</v>
          </cell>
          <cell r="BE114">
            <v>83.169998168945298</v>
          </cell>
          <cell r="BF114">
            <v>82.981002807617202</v>
          </cell>
          <cell r="BG114">
            <v>83.193000793457003</v>
          </cell>
          <cell r="BH114">
            <v>83.517997741699205</v>
          </cell>
          <cell r="BI114">
            <v>83.765998840332003</v>
          </cell>
          <cell r="BJ114">
            <v>84.553001403808594</v>
          </cell>
          <cell r="BK114">
            <v>84.974998474121094</v>
          </cell>
        </row>
        <row r="115">
          <cell r="B115" t="str">
            <v>IRN</v>
          </cell>
          <cell r="C115" t="str">
            <v>Wage and salaried workers, total (% of total employment) (modeled ILO estimate)</v>
          </cell>
          <cell r="D115" t="str">
            <v>SL.EMP.WORK.ZS</v>
          </cell>
          <cell r="AJ115">
            <v>53.412998199462898</v>
          </cell>
          <cell r="AK115">
            <v>53.6119995117188</v>
          </cell>
          <cell r="AL115">
            <v>53.838001251220703</v>
          </cell>
          <cell r="AM115">
            <v>54.0260009765625</v>
          </cell>
          <cell r="AN115">
            <v>54.2760009765625</v>
          </cell>
          <cell r="AO115">
            <v>54.562999725341797</v>
          </cell>
          <cell r="AP115">
            <v>54.326999664306598</v>
          </cell>
          <cell r="AQ115">
            <v>54.150001525878899</v>
          </cell>
          <cell r="AR115">
            <v>53.925998687744098</v>
          </cell>
          <cell r="AS115">
            <v>53.770999908447301</v>
          </cell>
          <cell r="AT115">
            <v>53.4939994812012</v>
          </cell>
          <cell r="AU115">
            <v>53.320999145507798</v>
          </cell>
          <cell r="AV115">
            <v>53.073001861572301</v>
          </cell>
          <cell r="AW115">
            <v>52.761001586914098</v>
          </cell>
          <cell r="AX115">
            <v>52.448001861572301</v>
          </cell>
          <cell r="AY115">
            <v>52.104000091552699</v>
          </cell>
          <cell r="AZ115">
            <v>51.731998443603501</v>
          </cell>
          <cell r="BA115">
            <v>53.160999298095703</v>
          </cell>
          <cell r="BB115">
            <v>53.858001708984403</v>
          </cell>
          <cell r="BC115">
            <v>55.423000335693402</v>
          </cell>
          <cell r="BD115">
            <v>55.658000946044901</v>
          </cell>
          <cell r="BE115">
            <v>55.777999877929702</v>
          </cell>
          <cell r="BF115">
            <v>55.938999176025398</v>
          </cell>
          <cell r="BG115">
            <v>56.028999328613303</v>
          </cell>
          <cell r="BH115">
            <v>55.9210014343262</v>
          </cell>
          <cell r="BI115">
            <v>54.930999755859403</v>
          </cell>
          <cell r="BJ115">
            <v>54.744998931884801</v>
          </cell>
          <cell r="BK115">
            <v>54.758998870849602</v>
          </cell>
        </row>
        <row r="116">
          <cell r="B116" t="str">
            <v>IRQ</v>
          </cell>
          <cell r="C116" t="str">
            <v>Wage and salaried workers, total (% of total employment) (modeled ILO estimate)</v>
          </cell>
          <cell r="D116" t="str">
            <v>SL.EMP.WORK.ZS</v>
          </cell>
          <cell r="AJ116">
            <v>67.061996459960895</v>
          </cell>
          <cell r="AK116">
            <v>67.031997680664105</v>
          </cell>
          <cell r="AL116">
            <v>67.001998901367202</v>
          </cell>
          <cell r="AM116">
            <v>66.972999572753906</v>
          </cell>
          <cell r="AN116">
            <v>66.942001342773395</v>
          </cell>
          <cell r="AO116">
            <v>66.912002563476605</v>
          </cell>
          <cell r="AP116">
            <v>66.879997253417997</v>
          </cell>
          <cell r="AQ116">
            <v>66.882003784179702</v>
          </cell>
          <cell r="AR116">
            <v>66.897003173828097</v>
          </cell>
          <cell r="AS116">
            <v>66.908996582031307</v>
          </cell>
          <cell r="AT116">
            <v>66.918998718261705</v>
          </cell>
          <cell r="AU116">
            <v>66.927001953125</v>
          </cell>
          <cell r="AV116">
            <v>66.932998657226605</v>
          </cell>
          <cell r="AW116">
            <v>66.935997009277301</v>
          </cell>
          <cell r="AX116">
            <v>66.938003540039105</v>
          </cell>
          <cell r="AY116">
            <v>66.938003540039105</v>
          </cell>
          <cell r="AZ116">
            <v>66.934997558593807</v>
          </cell>
          <cell r="BA116">
            <v>67.925003051757798</v>
          </cell>
          <cell r="BB116">
            <v>68.896003723144503</v>
          </cell>
          <cell r="BC116">
            <v>69.862998962402301</v>
          </cell>
          <cell r="BD116">
            <v>70.819000244140597</v>
          </cell>
          <cell r="BE116">
            <v>71.754997253417997</v>
          </cell>
          <cell r="BF116">
            <v>72.998001098632798</v>
          </cell>
          <cell r="BG116">
            <v>74.2030029296875</v>
          </cell>
          <cell r="BH116">
            <v>75.371002197265597</v>
          </cell>
          <cell r="BI116">
            <v>76.501998901367202</v>
          </cell>
          <cell r="BJ116">
            <v>77.597000122070298</v>
          </cell>
          <cell r="BK116">
            <v>77.596000671386705</v>
          </cell>
        </row>
        <row r="117">
          <cell r="B117" t="str">
            <v>ISL</v>
          </cell>
          <cell r="C117" t="str">
            <v>Wage and salaried workers, total (% of total employment) (modeled ILO estimate)</v>
          </cell>
          <cell r="D117" t="str">
            <v>SL.EMP.WORK.ZS</v>
          </cell>
          <cell r="AJ117">
            <v>80.689002990722699</v>
          </cell>
          <cell r="AK117">
            <v>80.734001159667997</v>
          </cell>
          <cell r="AL117">
            <v>80.864997863769503</v>
          </cell>
          <cell r="AM117">
            <v>81.010002136230497</v>
          </cell>
          <cell r="AN117">
            <v>81.124000549316406</v>
          </cell>
          <cell r="AO117">
            <v>81.169998168945298</v>
          </cell>
          <cell r="AP117">
            <v>82.061996459960895</v>
          </cell>
          <cell r="AQ117">
            <v>80.883003234863295</v>
          </cell>
          <cell r="AR117">
            <v>81.405998229980497</v>
          </cell>
          <cell r="AS117">
            <v>81.987998962402301</v>
          </cell>
          <cell r="AT117">
            <v>82.523002624511705</v>
          </cell>
          <cell r="AU117">
            <v>82.527999877929702</v>
          </cell>
          <cell r="AV117">
            <v>86.2760009765625</v>
          </cell>
          <cell r="AW117">
            <v>86.254997253417997</v>
          </cell>
          <cell r="AX117">
            <v>85.459999084472699</v>
          </cell>
          <cell r="AY117">
            <v>85.050003051757798</v>
          </cell>
          <cell r="AZ117">
            <v>85.976997375488295</v>
          </cell>
          <cell r="BA117">
            <v>87.114997863769503</v>
          </cell>
          <cell r="BB117">
            <v>87.807998657226605</v>
          </cell>
          <cell r="BC117">
            <v>87.175003051757798</v>
          </cell>
          <cell r="BD117">
            <v>87.2760009765625</v>
          </cell>
          <cell r="BE117">
            <v>87.505996704101605</v>
          </cell>
          <cell r="BF117">
            <v>87.249000549316406</v>
          </cell>
          <cell r="BG117">
            <v>87.150001525878906</v>
          </cell>
          <cell r="BH117">
            <v>87.352996826171903</v>
          </cell>
          <cell r="BI117">
            <v>87.765998840332003</v>
          </cell>
          <cell r="BJ117">
            <v>88.083000183105497</v>
          </cell>
          <cell r="BK117">
            <v>87.8489990234375</v>
          </cell>
        </row>
        <row r="118">
          <cell r="B118" t="str">
            <v>ISR</v>
          </cell>
          <cell r="C118" t="str">
            <v>Wage and salaried workers, total (% of total employment) (modeled ILO estimate)</v>
          </cell>
          <cell r="D118" t="str">
            <v>SL.EMP.WORK.ZS</v>
          </cell>
          <cell r="AJ118">
            <v>88.059997558593807</v>
          </cell>
          <cell r="AK118">
            <v>88.0989990234375</v>
          </cell>
          <cell r="AL118">
            <v>88.128997802734403</v>
          </cell>
          <cell r="AM118">
            <v>88.183998107910199</v>
          </cell>
          <cell r="AN118">
            <v>88.228996276855497</v>
          </cell>
          <cell r="AO118">
            <v>87.773002624511705</v>
          </cell>
          <cell r="AP118">
            <v>88.000999450683594</v>
          </cell>
          <cell r="AQ118">
            <v>88.075996398925795</v>
          </cell>
          <cell r="AR118">
            <v>87.940002441406307</v>
          </cell>
          <cell r="AS118">
            <v>88.362998962402301</v>
          </cell>
          <cell r="AT118">
            <v>88.643997192382798</v>
          </cell>
          <cell r="AU118">
            <v>88.574996948242202</v>
          </cell>
          <cell r="AV118">
            <v>88.141998291015597</v>
          </cell>
          <cell r="AW118">
            <v>88.5</v>
          </cell>
          <cell r="AX118">
            <v>88.169998168945298</v>
          </cell>
          <cell r="AY118">
            <v>88.009002685546903</v>
          </cell>
          <cell r="AZ118">
            <v>88.433998107910199</v>
          </cell>
          <cell r="BA118">
            <v>88.287002563476605</v>
          </cell>
          <cell r="BB118">
            <v>87.890998840332003</v>
          </cell>
          <cell r="BC118">
            <v>87.883003234863295</v>
          </cell>
          <cell r="BD118">
            <v>87.936996459960895</v>
          </cell>
          <cell r="BE118">
            <v>88.109001159667997</v>
          </cell>
          <cell r="BF118">
            <v>88.365997314453097</v>
          </cell>
          <cell r="BG118">
            <v>88.279998779296903</v>
          </cell>
          <cell r="BH118">
            <v>88.012001037597699</v>
          </cell>
          <cell r="BI118">
            <v>87.855003356933594</v>
          </cell>
          <cell r="BJ118">
            <v>87.573997497558594</v>
          </cell>
          <cell r="BK118">
            <v>87.600997924804702</v>
          </cell>
        </row>
        <row r="119">
          <cell r="B119" t="str">
            <v>ITA</v>
          </cell>
          <cell r="C119" t="str">
            <v>Wage and salaried workers, total (% of total employment) (modeled ILO estimate)</v>
          </cell>
          <cell r="D119" t="str">
            <v>SL.EMP.WORK.ZS</v>
          </cell>
          <cell r="AJ119">
            <v>70.358001708984403</v>
          </cell>
          <cell r="AK119">
            <v>70.509002685546903</v>
          </cell>
          <cell r="AL119">
            <v>70.607002258300795</v>
          </cell>
          <cell r="AM119">
            <v>70.805999755859403</v>
          </cell>
          <cell r="AN119">
            <v>71.023002624511705</v>
          </cell>
          <cell r="AO119">
            <v>71.163002014160199</v>
          </cell>
          <cell r="AP119">
            <v>71.320999145507798</v>
          </cell>
          <cell r="AQ119">
            <v>71.4739990234375</v>
          </cell>
          <cell r="AR119">
            <v>71.597000122070298</v>
          </cell>
          <cell r="AS119">
            <v>71.763999938964801</v>
          </cell>
          <cell r="AT119">
            <v>71.880996704101605</v>
          </cell>
          <cell r="AU119">
            <v>71.957000732421903</v>
          </cell>
          <cell r="AV119">
            <v>71.990997314453097</v>
          </cell>
          <cell r="AW119">
            <v>72.069999694824205</v>
          </cell>
          <cell r="AX119">
            <v>73.308998107910199</v>
          </cell>
          <cell r="AY119">
            <v>73.593002319335895</v>
          </cell>
          <cell r="AZ119">
            <v>73.874000549316406</v>
          </cell>
          <cell r="BA119">
            <v>74.547996520996094</v>
          </cell>
          <cell r="BB119">
            <v>75.027999877929702</v>
          </cell>
          <cell r="BC119">
            <v>74.722000122070298</v>
          </cell>
          <cell r="BD119">
            <v>74.960998535156307</v>
          </cell>
          <cell r="BE119">
            <v>75.092002868652301</v>
          </cell>
          <cell r="BF119">
            <v>75.178001403808594</v>
          </cell>
          <cell r="BG119">
            <v>75.319000244140597</v>
          </cell>
          <cell r="BH119">
            <v>75.619003295898395</v>
          </cell>
          <cell r="BI119">
            <v>76.064002990722699</v>
          </cell>
          <cell r="BJ119">
            <v>76.7969970703125</v>
          </cell>
          <cell r="BK119">
            <v>77.086997985839801</v>
          </cell>
        </row>
        <row r="120">
          <cell r="B120" t="str">
            <v>JAM</v>
          </cell>
          <cell r="C120" t="str">
            <v>Wage and salaried workers, total (% of total employment) (modeled ILO estimate)</v>
          </cell>
          <cell r="D120" t="str">
            <v>SL.EMP.WORK.ZS</v>
          </cell>
          <cell r="AJ120">
            <v>56.502998352050803</v>
          </cell>
          <cell r="AK120">
            <v>56.805999755859403</v>
          </cell>
          <cell r="AL120">
            <v>58.769001007080099</v>
          </cell>
          <cell r="AM120">
            <v>58.923999786377003</v>
          </cell>
          <cell r="AN120">
            <v>60.055000305175803</v>
          </cell>
          <cell r="AO120">
            <v>59.963001251220703</v>
          </cell>
          <cell r="AP120">
            <v>60.044998168945298</v>
          </cell>
          <cell r="AQ120">
            <v>59.483001708984403</v>
          </cell>
          <cell r="AR120">
            <v>59.334999084472699</v>
          </cell>
          <cell r="AS120">
            <v>59.3619995117188</v>
          </cell>
          <cell r="AT120">
            <v>59.838001251220703</v>
          </cell>
          <cell r="AU120">
            <v>61.636001586914098</v>
          </cell>
          <cell r="AV120">
            <v>61.366001129150398</v>
          </cell>
          <cell r="AW120">
            <v>61.316001892089801</v>
          </cell>
          <cell r="AX120">
            <v>62.316001892089801</v>
          </cell>
          <cell r="AY120">
            <v>61.465999603271499</v>
          </cell>
          <cell r="AZ120">
            <v>63.387001037597699</v>
          </cell>
          <cell r="BA120">
            <v>60.3689994812012</v>
          </cell>
          <cell r="BB120">
            <v>59.981998443603501</v>
          </cell>
          <cell r="BC120">
            <v>59.951999664306598</v>
          </cell>
          <cell r="BD120">
            <v>60.0460014343262</v>
          </cell>
          <cell r="BE120">
            <v>59.352001190185497</v>
          </cell>
          <cell r="BF120">
            <v>59.597999572753899</v>
          </cell>
          <cell r="BG120">
            <v>59.8429985046387</v>
          </cell>
          <cell r="BH120">
            <v>60.1310005187988</v>
          </cell>
          <cell r="BI120">
            <v>60.368000030517599</v>
          </cell>
          <cell r="BJ120">
            <v>60.604000091552699</v>
          </cell>
          <cell r="BK120">
            <v>60.695999145507798</v>
          </cell>
        </row>
        <row r="121">
          <cell r="B121" t="str">
            <v>JOR</v>
          </cell>
          <cell r="C121" t="str">
            <v>Wage and salaried workers, total (% of total employment) (modeled ILO estimate)</v>
          </cell>
          <cell r="D121" t="str">
            <v>SL.EMP.WORK.ZS</v>
          </cell>
          <cell r="AJ121">
            <v>84.133003234863295</v>
          </cell>
          <cell r="AK121">
            <v>84.245002746582003</v>
          </cell>
          <cell r="AL121">
            <v>84.277999877929702</v>
          </cell>
          <cell r="AM121">
            <v>84.323997497558594</v>
          </cell>
          <cell r="AN121">
            <v>84.376998901367202</v>
          </cell>
          <cell r="AO121">
            <v>84.410003662109403</v>
          </cell>
          <cell r="AP121">
            <v>84.455001831054702</v>
          </cell>
          <cell r="AQ121">
            <v>84.497001647949205</v>
          </cell>
          <cell r="AR121">
            <v>84.541000366210895</v>
          </cell>
          <cell r="AS121">
            <v>84.587997436523395</v>
          </cell>
          <cell r="AT121">
            <v>84.635002136230497</v>
          </cell>
          <cell r="AU121">
            <v>84.681999206542997</v>
          </cell>
          <cell r="AV121">
            <v>84.717002868652301</v>
          </cell>
          <cell r="AW121">
            <v>84.767997741699205</v>
          </cell>
          <cell r="AX121">
            <v>84.806999206542997</v>
          </cell>
          <cell r="AY121">
            <v>84.842002868652301</v>
          </cell>
          <cell r="AZ121">
            <v>84.874000549316406</v>
          </cell>
          <cell r="BA121">
            <v>84.899002075195298</v>
          </cell>
          <cell r="BB121">
            <v>84.916000366210895</v>
          </cell>
          <cell r="BC121">
            <v>84.920997619628906</v>
          </cell>
          <cell r="BD121">
            <v>84.928001403808594</v>
          </cell>
          <cell r="BE121">
            <v>84.932998657226605</v>
          </cell>
          <cell r="BF121">
            <v>84.938003540039105</v>
          </cell>
          <cell r="BG121">
            <v>84.944000244140597</v>
          </cell>
          <cell r="BH121">
            <v>84.949996948242202</v>
          </cell>
          <cell r="BI121">
            <v>84.956001281738295</v>
          </cell>
          <cell r="BJ121">
            <v>84.964996337890597</v>
          </cell>
          <cell r="BK121">
            <v>84.974998474121094</v>
          </cell>
        </row>
        <row r="122">
          <cell r="B122" t="str">
            <v>JPN</v>
          </cell>
          <cell r="C122" t="str">
            <v>Wage and salaried workers, total (% of total employment) (modeled ILO estimate)</v>
          </cell>
          <cell r="D122" t="str">
            <v>SL.EMP.WORK.ZS</v>
          </cell>
          <cell r="AJ122">
            <v>78.537002563476605</v>
          </cell>
          <cell r="AK122">
            <v>79.537002563476605</v>
          </cell>
          <cell r="AL122">
            <v>80.6510009765625</v>
          </cell>
          <cell r="AM122">
            <v>81.140998840332003</v>
          </cell>
          <cell r="AN122">
            <v>81.508003234863295</v>
          </cell>
          <cell r="AO122">
            <v>82.054000854492202</v>
          </cell>
          <cell r="AP122">
            <v>82.217002868652301</v>
          </cell>
          <cell r="AQ122">
            <v>82.406997680664105</v>
          </cell>
          <cell r="AR122">
            <v>82.498001098632798</v>
          </cell>
          <cell r="AS122">
            <v>83.089996337890597</v>
          </cell>
          <cell r="AT122">
            <v>83.734001159667997</v>
          </cell>
          <cell r="AU122">
            <v>84.218002319335895</v>
          </cell>
          <cell r="AV122">
            <v>84.468002319335895</v>
          </cell>
          <cell r="AW122">
            <v>84.611000061035199</v>
          </cell>
          <cell r="AX122">
            <v>84.8489990234375</v>
          </cell>
          <cell r="AY122">
            <v>85.740997314453097</v>
          </cell>
          <cell r="AZ122">
            <v>86.135002136230497</v>
          </cell>
          <cell r="BA122">
            <v>86.514999389648395</v>
          </cell>
          <cell r="BB122">
            <v>86.915000915527301</v>
          </cell>
          <cell r="BC122">
            <v>87.309997558593807</v>
          </cell>
          <cell r="BD122">
            <v>87.736000061035199</v>
          </cell>
          <cell r="BE122">
            <v>88.208000183105497</v>
          </cell>
          <cell r="BF122">
            <v>88.4739990234375</v>
          </cell>
          <cell r="BG122">
            <v>88.594001770019503</v>
          </cell>
          <cell r="BH122">
            <v>88.936996459960895</v>
          </cell>
          <cell r="BI122">
            <v>89.419998168945298</v>
          </cell>
          <cell r="BJ122">
            <v>89.581001281738295</v>
          </cell>
          <cell r="BK122">
            <v>89.713996887207003</v>
          </cell>
        </row>
        <row r="123">
          <cell r="B123" t="str">
            <v>KAZ</v>
          </cell>
          <cell r="C123" t="str">
            <v>Wage and salaried workers, total (% of total employment) (modeled ILO estimate)</v>
          </cell>
          <cell r="D123" t="str">
            <v>SL.EMP.WORK.ZS</v>
          </cell>
          <cell r="AJ123">
            <v>59.851001739502003</v>
          </cell>
          <cell r="AK123">
            <v>59.768001556396499</v>
          </cell>
          <cell r="AL123">
            <v>59.683998107910199</v>
          </cell>
          <cell r="AM123">
            <v>59.597000122070298</v>
          </cell>
          <cell r="AN123">
            <v>59.525001525878899</v>
          </cell>
          <cell r="AO123">
            <v>59.4539985656738</v>
          </cell>
          <cell r="AP123">
            <v>59.383998870849602</v>
          </cell>
          <cell r="AQ123">
            <v>59.312000274658203</v>
          </cell>
          <cell r="AR123">
            <v>59.243000030517599</v>
          </cell>
          <cell r="AS123">
            <v>59.179000854492202</v>
          </cell>
          <cell r="AT123">
            <v>59.112998962402301</v>
          </cell>
          <cell r="AU123">
            <v>61.0320014953613</v>
          </cell>
          <cell r="AV123">
            <v>61.623001098632798</v>
          </cell>
          <cell r="AW123">
            <v>63.055000305175803</v>
          </cell>
          <cell r="AX123">
            <v>64.361999511718807</v>
          </cell>
          <cell r="AY123">
            <v>64.938003540039105</v>
          </cell>
          <cell r="AZ123">
            <v>65.579002380371094</v>
          </cell>
          <cell r="BA123">
            <v>66.513999938964801</v>
          </cell>
          <cell r="BB123">
            <v>66.556999206542997</v>
          </cell>
          <cell r="BC123">
            <v>67.005996704101605</v>
          </cell>
          <cell r="BD123">
            <v>67.545997619628906</v>
          </cell>
          <cell r="BE123">
            <v>68.649002075195298</v>
          </cell>
          <cell r="BF123">
            <v>69.580001831054702</v>
          </cell>
          <cell r="BG123">
            <v>71.374000549316406</v>
          </cell>
          <cell r="BH123">
            <v>73.037002563476605</v>
          </cell>
          <cell r="BI123">
            <v>74.327003479003906</v>
          </cell>
          <cell r="BJ123">
            <v>75.565002441406307</v>
          </cell>
          <cell r="BK123">
            <v>75.4739990234375</v>
          </cell>
        </row>
        <row r="124">
          <cell r="B124" t="str">
            <v>KEN</v>
          </cell>
          <cell r="C124" t="str">
            <v>Wage and salaried workers, total (% of total employment) (modeled ILO estimate)</v>
          </cell>
          <cell r="D124" t="str">
            <v>SL.EMP.WORK.ZS</v>
          </cell>
          <cell r="AJ124">
            <v>33.821998596191399</v>
          </cell>
          <cell r="AK124">
            <v>33.707000732421903</v>
          </cell>
          <cell r="AL124">
            <v>33.638999938964801</v>
          </cell>
          <cell r="AM124">
            <v>33.640998840332003</v>
          </cell>
          <cell r="AN124">
            <v>33.730998992919901</v>
          </cell>
          <cell r="AO124">
            <v>33.798999786377003</v>
          </cell>
          <cell r="AP124">
            <v>33.769001007080099</v>
          </cell>
          <cell r="AQ124">
            <v>33.826000213622997</v>
          </cell>
          <cell r="AR124">
            <v>33.862998962402301</v>
          </cell>
          <cell r="AS124">
            <v>33.817001342773402</v>
          </cell>
          <cell r="AT124">
            <v>33.729000091552699</v>
          </cell>
          <cell r="AU124">
            <v>33.393001556396499</v>
          </cell>
          <cell r="AV124">
            <v>32.998001098632798</v>
          </cell>
          <cell r="AW124">
            <v>32.555999755859403</v>
          </cell>
          <cell r="AX124">
            <v>32.047000885009801</v>
          </cell>
          <cell r="AY124">
            <v>31.4829998016357</v>
          </cell>
          <cell r="AZ124">
            <v>33.444000244140597</v>
          </cell>
          <cell r="BA124">
            <v>35.168998718261697</v>
          </cell>
          <cell r="BB124">
            <v>36.948001861572301</v>
          </cell>
          <cell r="BC124">
            <v>38.826999664306598</v>
          </cell>
          <cell r="BD124">
            <v>40.562000274658203</v>
          </cell>
          <cell r="BE124">
            <v>42.159999847412102</v>
          </cell>
          <cell r="BF124">
            <v>43.702999114990199</v>
          </cell>
          <cell r="BG124">
            <v>45.1310005187988</v>
          </cell>
          <cell r="BH124">
            <v>46.469001770019503</v>
          </cell>
          <cell r="BI124">
            <v>47.708999633789098</v>
          </cell>
          <cell r="BJ124">
            <v>47.937999725341797</v>
          </cell>
          <cell r="BK124">
            <v>48.212001800537102</v>
          </cell>
        </row>
        <row r="125">
          <cell r="B125" t="str">
            <v>KGZ</v>
          </cell>
          <cell r="C125" t="str">
            <v>Wage and salaried workers, total (% of total employment) (modeled ILO estimate)</v>
          </cell>
          <cell r="D125" t="str">
            <v>SL.EMP.WORK.ZS</v>
          </cell>
          <cell r="AJ125">
            <v>47.827999114990199</v>
          </cell>
          <cell r="AK125">
            <v>47.562000274658203</v>
          </cell>
          <cell r="AL125">
            <v>47.3549995422363</v>
          </cell>
          <cell r="AM125">
            <v>47.189998626708999</v>
          </cell>
          <cell r="AN125">
            <v>47.104000091552699</v>
          </cell>
          <cell r="AO125">
            <v>47.0320014953613</v>
          </cell>
          <cell r="AP125">
            <v>46.971000671386697</v>
          </cell>
          <cell r="AQ125">
            <v>46.915000915527301</v>
          </cell>
          <cell r="AR125">
            <v>46.872001647949197</v>
          </cell>
          <cell r="AS125">
            <v>46.865001678466797</v>
          </cell>
          <cell r="AT125">
            <v>46.889999389648402</v>
          </cell>
          <cell r="AU125">
            <v>46.905998229980497</v>
          </cell>
          <cell r="AV125">
            <v>47.659000396728501</v>
          </cell>
          <cell r="AW125">
            <v>49.116001129150398</v>
          </cell>
          <cell r="AX125">
            <v>50.189998626708999</v>
          </cell>
          <cell r="AY125">
            <v>51.617000579833999</v>
          </cell>
          <cell r="AZ125">
            <v>54.824001312255902</v>
          </cell>
          <cell r="BA125">
            <v>57.959999084472699</v>
          </cell>
          <cell r="BB125">
            <v>60.935001373291001</v>
          </cell>
          <cell r="BC125">
            <v>63.097999572753899</v>
          </cell>
          <cell r="BD125">
            <v>63.071998596191399</v>
          </cell>
          <cell r="BE125">
            <v>63.021999359130902</v>
          </cell>
          <cell r="BF125">
            <v>56.249000549316399</v>
          </cell>
          <cell r="BG125">
            <v>57.166999816894503</v>
          </cell>
          <cell r="BH125">
            <v>60.138999938964801</v>
          </cell>
          <cell r="BI125">
            <v>62.0789985656738</v>
          </cell>
          <cell r="BJ125">
            <v>64.427001953125</v>
          </cell>
          <cell r="BK125">
            <v>64.515998840332003</v>
          </cell>
        </row>
        <row r="126">
          <cell r="B126" t="str">
            <v>KHM</v>
          </cell>
          <cell r="C126" t="str">
            <v>Wage and salaried workers, total (% of total employment) (modeled ILO estimate)</v>
          </cell>
          <cell r="D126" t="str">
            <v>SL.EMP.WORK.ZS</v>
          </cell>
          <cell r="AJ126">
            <v>10.621000289916999</v>
          </cell>
          <cell r="AK126">
            <v>10.6510000228882</v>
          </cell>
          <cell r="AL126">
            <v>10.6409997940063</v>
          </cell>
          <cell r="AM126">
            <v>9.9510002136230504</v>
          </cell>
          <cell r="AN126">
            <v>9.9820003509521502</v>
          </cell>
          <cell r="AO126">
            <v>9.9709997177124006</v>
          </cell>
          <cell r="AP126">
            <v>10.777000427246101</v>
          </cell>
          <cell r="AQ126">
            <v>11.6429996490479</v>
          </cell>
          <cell r="AR126">
            <v>12.671999931335399</v>
          </cell>
          <cell r="AS126">
            <v>13.7480001449585</v>
          </cell>
          <cell r="AT126">
            <v>14.8549995422363</v>
          </cell>
          <cell r="AU126">
            <v>16.013999938964801</v>
          </cell>
          <cell r="AV126">
            <v>17.287000656127901</v>
          </cell>
          <cell r="AW126">
            <v>18.672000885009801</v>
          </cell>
          <cell r="AX126">
            <v>20.204999923706101</v>
          </cell>
          <cell r="AY126">
            <v>21.742000579833999</v>
          </cell>
          <cell r="AZ126">
            <v>23.329999923706101</v>
          </cell>
          <cell r="BA126">
            <v>24.868000030517599</v>
          </cell>
          <cell r="BB126">
            <v>26.228000640869102</v>
          </cell>
          <cell r="BC126">
            <v>29.000999450683601</v>
          </cell>
          <cell r="BD126">
            <v>30.676000595092798</v>
          </cell>
          <cell r="BE126">
            <v>35.424999237060497</v>
          </cell>
          <cell r="BF126">
            <v>39.416999816894503</v>
          </cell>
          <cell r="BG126">
            <v>43.507999420166001</v>
          </cell>
          <cell r="BH126">
            <v>47.618000030517599</v>
          </cell>
          <cell r="BI126">
            <v>48.930999755859403</v>
          </cell>
          <cell r="BJ126">
            <v>49.159000396728501</v>
          </cell>
          <cell r="BK126">
            <v>49.410999298095703</v>
          </cell>
        </row>
        <row r="127">
          <cell r="B127" t="str">
            <v>KIR</v>
          </cell>
          <cell r="C127" t="str">
            <v>Wage and salaried workers, total (% of total employment) (modeled ILO estimate)</v>
          </cell>
          <cell r="D127" t="str">
            <v>SL.EMP.WORK.ZS</v>
          </cell>
        </row>
        <row r="128">
          <cell r="B128" t="str">
            <v>KNA</v>
          </cell>
          <cell r="C128" t="str">
            <v>Wage and salaried workers, total (% of total employment) (modeled ILO estimate)</v>
          </cell>
          <cell r="D128" t="str">
            <v>SL.EMP.WORK.ZS</v>
          </cell>
        </row>
        <row r="129">
          <cell r="B129" t="str">
            <v>KOR</v>
          </cell>
          <cell r="C129" t="str">
            <v>Wage and salaried workers, total (% of total employment) (modeled ILO estimate)</v>
          </cell>
          <cell r="D129" t="str">
            <v>SL.EMP.WORK.ZS</v>
          </cell>
          <cell r="AJ129">
            <v>62.729000091552699</v>
          </cell>
          <cell r="AK129">
            <v>62.654998779296903</v>
          </cell>
          <cell r="AL129">
            <v>62.095001220703097</v>
          </cell>
          <cell r="AM129">
            <v>62.869998931884801</v>
          </cell>
          <cell r="AN129">
            <v>63.187000274658203</v>
          </cell>
          <cell r="AO129">
            <v>63.299999237060497</v>
          </cell>
          <cell r="AP129">
            <v>63.188999176025398</v>
          </cell>
          <cell r="AQ129">
            <v>61.6710014343262</v>
          </cell>
          <cell r="AR129">
            <v>62.410999298095703</v>
          </cell>
          <cell r="AS129">
            <v>63.150001525878899</v>
          </cell>
          <cell r="AT129">
            <v>63.314998626708999</v>
          </cell>
          <cell r="AU129">
            <v>63.9679985046387</v>
          </cell>
          <cell r="AV129">
            <v>65.055000305175795</v>
          </cell>
          <cell r="AW129">
            <v>66.027999877929702</v>
          </cell>
          <cell r="AX129">
            <v>66.439002990722699</v>
          </cell>
          <cell r="AY129">
            <v>67.170997619628906</v>
          </cell>
          <cell r="AZ129">
            <v>68.152999877929702</v>
          </cell>
          <cell r="BA129">
            <v>68.736999511718807</v>
          </cell>
          <cell r="BB129">
            <v>69.999000549316406</v>
          </cell>
          <cell r="BC129">
            <v>71.219001770019503</v>
          </cell>
          <cell r="BD129">
            <v>71.757003784179702</v>
          </cell>
          <cell r="BE129">
            <v>71.764999389648395</v>
          </cell>
          <cell r="BF129">
            <v>72.585998535156307</v>
          </cell>
          <cell r="BG129">
            <v>73.214996337890597</v>
          </cell>
          <cell r="BH129">
            <v>74.142997741699205</v>
          </cell>
          <cell r="BI129">
            <v>74.503997802734403</v>
          </cell>
          <cell r="BJ129">
            <v>74.595001220703097</v>
          </cell>
          <cell r="BK129">
            <v>74.876998901367202</v>
          </cell>
        </row>
        <row r="130">
          <cell r="B130" t="str">
            <v>KWT</v>
          </cell>
          <cell r="C130" t="str">
            <v>Wage and salaried workers, total (% of total employment) (modeled ILO estimate)</v>
          </cell>
          <cell r="D130" t="str">
            <v>SL.EMP.WORK.ZS</v>
          </cell>
          <cell r="AJ130">
            <v>96.639999389648395</v>
          </cell>
          <cell r="AK130">
            <v>97.115997314453097</v>
          </cell>
          <cell r="AL130">
            <v>97.316001892089801</v>
          </cell>
          <cell r="AM130">
            <v>97.364997863769503</v>
          </cell>
          <cell r="AN130">
            <v>97.355003356933594</v>
          </cell>
          <cell r="AO130">
            <v>97.321998596191406</v>
          </cell>
          <cell r="AP130">
            <v>97.302001953125</v>
          </cell>
          <cell r="AQ130">
            <v>97.292999267578097</v>
          </cell>
          <cell r="AR130">
            <v>97.222000122070298</v>
          </cell>
          <cell r="AS130">
            <v>97.202003479003906</v>
          </cell>
          <cell r="AT130">
            <v>97.184997558593807</v>
          </cell>
          <cell r="AU130">
            <v>97.179000854492202</v>
          </cell>
          <cell r="AV130">
            <v>97.265998840332003</v>
          </cell>
          <cell r="AW130">
            <v>97.303001403808594</v>
          </cell>
          <cell r="AX130">
            <v>97.3280029296875</v>
          </cell>
          <cell r="AY130">
            <v>97.962997436523395</v>
          </cell>
          <cell r="AZ130">
            <v>98.397003173828097</v>
          </cell>
          <cell r="BA130">
            <v>98.656997680664105</v>
          </cell>
          <cell r="BB130">
            <v>98.174003601074205</v>
          </cell>
          <cell r="BC130">
            <v>97.518997192382798</v>
          </cell>
          <cell r="BD130">
            <v>96.773002624511705</v>
          </cell>
          <cell r="BE130">
            <v>97.759002685546903</v>
          </cell>
          <cell r="BF130">
            <v>98.285003662109403</v>
          </cell>
          <cell r="BG130">
            <v>98.652000427246094</v>
          </cell>
          <cell r="BH130">
            <v>98.943000793457003</v>
          </cell>
          <cell r="BI130">
            <v>98.265998840332003</v>
          </cell>
          <cell r="BJ130">
            <v>98.234001159667997</v>
          </cell>
          <cell r="BK130">
            <v>98.230003356933594</v>
          </cell>
        </row>
        <row r="131">
          <cell r="B131" t="str">
            <v>LAC</v>
          </cell>
          <cell r="C131" t="str">
            <v>Wage and salaried workers, total (% of total employment) (modeled ILO estimate)</v>
          </cell>
          <cell r="D131" t="str">
            <v>SL.EMP.WORK.ZS</v>
          </cell>
          <cell r="AJ131">
            <v>57.337362185589377</v>
          </cell>
          <cell r="AK131">
            <v>57.358609390547628</v>
          </cell>
          <cell r="AL131">
            <v>57.276967592503532</v>
          </cell>
          <cell r="AM131">
            <v>57.851888048643971</v>
          </cell>
          <cell r="AN131">
            <v>58.145932167719202</v>
          </cell>
          <cell r="AO131">
            <v>58.848536347675534</v>
          </cell>
          <cell r="AP131">
            <v>58.628599448184232</v>
          </cell>
          <cell r="AQ131">
            <v>58.924905864752063</v>
          </cell>
          <cell r="AR131">
            <v>58.758556173678414</v>
          </cell>
          <cell r="AS131">
            <v>59.297778778195877</v>
          </cell>
          <cell r="AT131">
            <v>59.175548664507154</v>
          </cell>
          <cell r="AU131">
            <v>59.122521428627905</v>
          </cell>
          <cell r="AV131">
            <v>59.143672806641575</v>
          </cell>
          <cell r="AW131">
            <v>59.614935004499969</v>
          </cell>
          <cell r="AX131">
            <v>60.074146830166967</v>
          </cell>
          <cell r="AY131">
            <v>60.870256894226522</v>
          </cell>
          <cell r="AZ131">
            <v>61.73273451426607</v>
          </cell>
          <cell r="BA131">
            <v>62.225373518915042</v>
          </cell>
          <cell r="BB131">
            <v>61.894261684138066</v>
          </cell>
          <cell r="BC131">
            <v>62.202878547369458</v>
          </cell>
          <cell r="BD131">
            <v>62.343153036855981</v>
          </cell>
          <cell r="BE131">
            <v>63.104278348938955</v>
          </cell>
          <cell r="BF131">
            <v>63.160632000013528</v>
          </cell>
          <cell r="BG131">
            <v>63.512885294777227</v>
          </cell>
          <cell r="BH131">
            <v>63.008704500215394</v>
          </cell>
          <cell r="BI131">
            <v>62.687698382932986</v>
          </cell>
          <cell r="BJ131">
            <v>62.176262773732674</v>
          </cell>
          <cell r="BK131">
            <v>61.935255297870427</v>
          </cell>
        </row>
        <row r="132">
          <cell r="B132" t="str">
            <v>LAO</v>
          </cell>
          <cell r="C132" t="str">
            <v>Wage and salaried workers, total (% of total employment) (modeled ILO estimate)</v>
          </cell>
          <cell r="D132" t="str">
            <v>SL.EMP.WORK.ZS</v>
          </cell>
          <cell r="AJ132">
            <v>8.9989995956420898</v>
          </cell>
          <cell r="AK132">
            <v>9.13799953460693</v>
          </cell>
          <cell r="AL132">
            <v>9.2860002517700195</v>
          </cell>
          <cell r="AM132">
            <v>9.4720001220703107</v>
          </cell>
          <cell r="AN132">
            <v>9.6569995880127006</v>
          </cell>
          <cell r="AO132">
            <v>9.9700002670288104</v>
          </cell>
          <cell r="AP132">
            <v>10.296999931335399</v>
          </cell>
          <cell r="AQ132">
            <v>10.581999778747599</v>
          </cell>
          <cell r="AR132">
            <v>10.942999839782701</v>
          </cell>
          <cell r="AS132">
            <v>11.2910003662109</v>
          </cell>
          <cell r="AT132">
            <v>11.6529998779297</v>
          </cell>
          <cell r="AU132">
            <v>12.0329999923706</v>
          </cell>
          <cell r="AV132">
            <v>12.4309997558594</v>
          </cell>
          <cell r="AW132">
            <v>12.8520002365112</v>
          </cell>
          <cell r="AX132">
            <v>13.2880001068115</v>
          </cell>
          <cell r="AY132">
            <v>13.739000320434601</v>
          </cell>
          <cell r="AZ132">
            <v>14.189999580383301</v>
          </cell>
          <cell r="BA132">
            <v>14.6630001068115</v>
          </cell>
          <cell r="BB132">
            <v>15.1420001983643</v>
          </cell>
          <cell r="BC132">
            <v>15.6579999923706</v>
          </cell>
          <cell r="BD132">
            <v>16.048999786376999</v>
          </cell>
          <cell r="BE132">
            <v>16.454999923706101</v>
          </cell>
          <cell r="BF132">
            <v>16.8850002288818</v>
          </cell>
          <cell r="BG132">
            <v>17.3120002746582</v>
          </cell>
          <cell r="BH132">
            <v>17.735000610351602</v>
          </cell>
          <cell r="BI132">
            <v>18.150999069213899</v>
          </cell>
          <cell r="BJ132">
            <v>18.565000534057599</v>
          </cell>
          <cell r="BK132">
            <v>18.979000091552699</v>
          </cell>
        </row>
        <row r="133">
          <cell r="B133" t="str">
            <v>LBN</v>
          </cell>
          <cell r="C133" t="str">
            <v>Wage and salaried workers, total (% of total employment) (modeled ILO estimate)</v>
          </cell>
          <cell r="D133" t="str">
            <v>SL.EMP.WORK.ZS</v>
          </cell>
          <cell r="AJ133">
            <v>60.263999938964801</v>
          </cell>
          <cell r="AK133">
            <v>60.523998260497997</v>
          </cell>
          <cell r="AL133">
            <v>60.8549995422363</v>
          </cell>
          <cell r="AM133">
            <v>61.138999938964801</v>
          </cell>
          <cell r="AN133">
            <v>61.388999938964801</v>
          </cell>
          <cell r="AO133">
            <v>61.676998138427699</v>
          </cell>
          <cell r="AP133">
            <v>61.9070014953613</v>
          </cell>
          <cell r="AQ133">
            <v>62.082000732421903</v>
          </cell>
          <cell r="AR133">
            <v>62.209999084472699</v>
          </cell>
          <cell r="AS133">
            <v>62.369998931884801</v>
          </cell>
          <cell r="AT133">
            <v>62.535999298095703</v>
          </cell>
          <cell r="AU133">
            <v>62.660999298095703</v>
          </cell>
          <cell r="AV133">
            <v>62.765998840332003</v>
          </cell>
          <cell r="AW133">
            <v>62.944999694824197</v>
          </cell>
          <cell r="AX133">
            <v>63.030998229980497</v>
          </cell>
          <cell r="AY133">
            <v>62.908000946044901</v>
          </cell>
          <cell r="AZ133">
            <v>62.615001678466797</v>
          </cell>
          <cell r="BA133">
            <v>62.807998657226598</v>
          </cell>
          <cell r="BB133">
            <v>62.978000640869098</v>
          </cell>
          <cell r="BC133">
            <v>63.1049995422363</v>
          </cell>
          <cell r="BD133">
            <v>63.173999786377003</v>
          </cell>
          <cell r="BE133">
            <v>63.256999969482401</v>
          </cell>
          <cell r="BF133">
            <v>63.326000213622997</v>
          </cell>
          <cell r="BG133">
            <v>63.387001037597699</v>
          </cell>
          <cell r="BH133">
            <v>63.442001342773402</v>
          </cell>
          <cell r="BI133">
            <v>63.521999359130902</v>
          </cell>
          <cell r="BJ133">
            <v>63.5989990234375</v>
          </cell>
          <cell r="BK133">
            <v>63.683998107910199</v>
          </cell>
        </row>
        <row r="134">
          <cell r="B134" t="str">
            <v>LBR</v>
          </cell>
          <cell r="C134" t="str">
            <v>Wage and salaried workers, total (% of total employment) (modeled ILO estimate)</v>
          </cell>
          <cell r="D134" t="str">
            <v>SL.EMP.WORK.ZS</v>
          </cell>
          <cell r="AJ134">
            <v>17.950000762939499</v>
          </cell>
          <cell r="AK134">
            <v>17.219999313354499</v>
          </cell>
          <cell r="AL134">
            <v>16.6049995422363</v>
          </cell>
          <cell r="AM134">
            <v>16.222999572753899</v>
          </cell>
          <cell r="AN134">
            <v>16.110000610351602</v>
          </cell>
          <cell r="AO134">
            <v>16.163999557495099</v>
          </cell>
          <cell r="AP134">
            <v>17.152999877929702</v>
          </cell>
          <cell r="AQ134">
            <v>17.576999664306602</v>
          </cell>
          <cell r="AR134">
            <v>17.905000686645501</v>
          </cell>
          <cell r="AS134">
            <v>18.3810005187988</v>
          </cell>
          <cell r="AT134">
            <v>18.4909992218018</v>
          </cell>
          <cell r="AU134">
            <v>18.642999649047901</v>
          </cell>
          <cell r="AV134">
            <v>18.118000030517599</v>
          </cell>
          <cell r="AW134">
            <v>18.238000869751001</v>
          </cell>
          <cell r="AX134">
            <v>18.3950004577637</v>
          </cell>
          <cell r="AY134">
            <v>18.576000213623001</v>
          </cell>
          <cell r="AZ134">
            <v>18.768999099731399</v>
          </cell>
          <cell r="BA134">
            <v>18.920000076293899</v>
          </cell>
          <cell r="BB134">
            <v>19.038999557495099</v>
          </cell>
          <cell r="BC134">
            <v>19.176000595092798</v>
          </cell>
          <cell r="BD134">
            <v>19.632999420166001</v>
          </cell>
          <cell r="BE134">
            <v>20.073999404907202</v>
          </cell>
          <cell r="BF134">
            <v>20.514999389648398</v>
          </cell>
          <cell r="BG134">
            <v>20.783000946044901</v>
          </cell>
          <cell r="BH134">
            <v>21.010999679565401</v>
          </cell>
          <cell r="BI134">
            <v>21.1840000152588</v>
          </cell>
          <cell r="BJ134">
            <v>21.2469997406006</v>
          </cell>
          <cell r="BK134">
            <v>21.283000946044901</v>
          </cell>
        </row>
        <row r="135">
          <cell r="B135" t="str">
            <v>LBY</v>
          </cell>
          <cell r="C135" t="str">
            <v>Wage and salaried workers, total (% of total employment) (modeled ILO estimate)</v>
          </cell>
          <cell r="D135" t="str">
            <v>SL.EMP.WORK.ZS</v>
          </cell>
          <cell r="AJ135">
            <v>92.922996520996094</v>
          </cell>
          <cell r="AK135">
            <v>92.938003540039105</v>
          </cell>
          <cell r="AL135">
            <v>92.954002380371094</v>
          </cell>
          <cell r="AM135">
            <v>92.960998535156307</v>
          </cell>
          <cell r="AN135">
            <v>92.986000061035199</v>
          </cell>
          <cell r="AO135">
            <v>92.989997863769503</v>
          </cell>
          <cell r="AP135">
            <v>92.998001098632798</v>
          </cell>
          <cell r="AQ135">
            <v>93.004997253417997</v>
          </cell>
          <cell r="AR135">
            <v>93.011001586914105</v>
          </cell>
          <cell r="AS135">
            <v>93.013999938964801</v>
          </cell>
          <cell r="AT135">
            <v>93.022003173828097</v>
          </cell>
          <cell r="AU135">
            <v>93.028999328613295</v>
          </cell>
          <cell r="AV135">
            <v>93.023002624511705</v>
          </cell>
          <cell r="AW135">
            <v>93.025001525878906</v>
          </cell>
          <cell r="AX135">
            <v>93.018997192382798</v>
          </cell>
          <cell r="AY135">
            <v>93.018997192382798</v>
          </cell>
          <cell r="AZ135">
            <v>93.017997741699205</v>
          </cell>
          <cell r="BA135">
            <v>93.023002624511705</v>
          </cell>
          <cell r="BB135">
            <v>93.032997131347699</v>
          </cell>
          <cell r="BC135">
            <v>93.033996582031307</v>
          </cell>
          <cell r="BD135">
            <v>93.109001159667997</v>
          </cell>
          <cell r="BE135">
            <v>93.073997497558594</v>
          </cell>
          <cell r="BF135">
            <v>93.097999572753906</v>
          </cell>
          <cell r="BG135">
            <v>93.125999450683594</v>
          </cell>
          <cell r="BH135">
            <v>93.138000488281307</v>
          </cell>
          <cell r="BI135">
            <v>93.147003173828097</v>
          </cell>
          <cell r="BJ135">
            <v>93.146003723144503</v>
          </cell>
          <cell r="BK135">
            <v>93.150001525878906</v>
          </cell>
        </row>
        <row r="136">
          <cell r="B136" t="str">
            <v>LCA</v>
          </cell>
          <cell r="C136" t="str">
            <v>Wage and salaried workers, total (% of total employment) (modeled ILO estimate)</v>
          </cell>
          <cell r="D136" t="str">
            <v>SL.EMP.WORK.ZS</v>
          </cell>
          <cell r="AJ136">
            <v>66.7030029296875</v>
          </cell>
          <cell r="AK136">
            <v>66.975997924804702</v>
          </cell>
          <cell r="AL136">
            <v>66.691001892089801</v>
          </cell>
          <cell r="AM136">
            <v>62.519001007080099</v>
          </cell>
          <cell r="AN136">
            <v>65.734001159667997</v>
          </cell>
          <cell r="AO136">
            <v>63.798999786377003</v>
          </cell>
          <cell r="AP136">
            <v>67.337997436523395</v>
          </cell>
          <cell r="AQ136">
            <v>66.818000793457003</v>
          </cell>
          <cell r="AR136">
            <v>67.983001708984403</v>
          </cell>
          <cell r="AS136">
            <v>65.7030029296875</v>
          </cell>
          <cell r="AT136">
            <v>65.315002441406307</v>
          </cell>
          <cell r="AU136">
            <v>65.136001586914105</v>
          </cell>
          <cell r="AV136">
            <v>65.121002197265597</v>
          </cell>
          <cell r="AW136">
            <v>65.252998352050795</v>
          </cell>
          <cell r="AX136">
            <v>64.863998413085895</v>
          </cell>
          <cell r="AY136">
            <v>65.032997131347699</v>
          </cell>
          <cell r="AZ136">
            <v>64.519996643066406</v>
          </cell>
          <cell r="BA136">
            <v>64.563003540039105</v>
          </cell>
          <cell r="BB136">
            <v>64.120002746582003</v>
          </cell>
          <cell r="BC136">
            <v>63.847000122070298</v>
          </cell>
          <cell r="BD136">
            <v>63.995998382568402</v>
          </cell>
          <cell r="BE136">
            <v>63.787998199462898</v>
          </cell>
          <cell r="BF136">
            <v>63.569000244140597</v>
          </cell>
          <cell r="BG136">
            <v>63.530998229980497</v>
          </cell>
          <cell r="BH136">
            <v>63.451000213622997</v>
          </cell>
          <cell r="BI136">
            <v>63.5989990234375</v>
          </cell>
          <cell r="BJ136">
            <v>63.641998291015597</v>
          </cell>
          <cell r="BK136">
            <v>63.540000915527301</v>
          </cell>
        </row>
        <row r="137">
          <cell r="B137" t="str">
            <v>LCN</v>
          </cell>
          <cell r="C137" t="str">
            <v>Wage and salaried workers, total (% of total employment) (modeled ILO estimate)</v>
          </cell>
          <cell r="D137" t="str">
            <v>SL.EMP.WORK.ZS</v>
          </cell>
          <cell r="AJ137">
            <v>58.06565799272407</v>
          </cell>
          <cell r="AK137">
            <v>58.110223902646794</v>
          </cell>
          <cell r="AL137">
            <v>58.048378434643958</v>
          </cell>
          <cell r="AM137">
            <v>58.612859521464927</v>
          </cell>
          <cell r="AN137">
            <v>58.908478679993358</v>
          </cell>
          <cell r="AO137">
            <v>59.589740512725633</v>
          </cell>
          <cell r="AP137">
            <v>59.381564132855658</v>
          </cell>
          <cell r="AQ137">
            <v>59.634906082646431</v>
          </cell>
          <cell r="AR137">
            <v>59.456691192662795</v>
          </cell>
          <cell r="AS137">
            <v>59.97098383451835</v>
          </cell>
          <cell r="AT137">
            <v>59.807306643331749</v>
          </cell>
          <cell r="AU137">
            <v>59.726875393213227</v>
          </cell>
          <cell r="AV137">
            <v>59.741066785886318</v>
          </cell>
          <cell r="AW137">
            <v>60.191747139392362</v>
          </cell>
          <cell r="AX137">
            <v>60.680813213546351</v>
          </cell>
          <cell r="AY137">
            <v>61.459901437208039</v>
          </cell>
          <cell r="AZ137">
            <v>62.324806208361949</v>
          </cell>
          <cell r="BA137">
            <v>62.815805994583556</v>
          </cell>
          <cell r="BB137">
            <v>62.463419777794748</v>
          </cell>
          <cell r="BC137">
            <v>62.785367535858796</v>
          </cell>
          <cell r="BD137">
            <v>62.939423437292049</v>
          </cell>
          <cell r="BE137">
            <v>63.702342816757849</v>
          </cell>
          <cell r="BF137">
            <v>63.736307014461239</v>
          </cell>
          <cell r="BG137">
            <v>64.053549490550111</v>
          </cell>
          <cell r="BH137">
            <v>63.567857427021664</v>
          </cell>
          <cell r="BI137">
            <v>63.220905849835468</v>
          </cell>
          <cell r="BJ137">
            <v>62.708528316365133</v>
          </cell>
          <cell r="BK137">
            <v>62.467920279487025</v>
          </cell>
        </row>
        <row r="138">
          <cell r="B138" t="str">
            <v>LDC</v>
          </cell>
          <cell r="C138" t="str">
            <v>Wage and salaried workers, total (% of total employment) (modeled ILO estimate)</v>
          </cell>
          <cell r="D138" t="str">
            <v>SL.EMP.WORK.ZS</v>
          </cell>
          <cell r="AJ138">
            <v>17.528221385534721</v>
          </cell>
          <cell r="AK138">
            <v>17.671476583023708</v>
          </cell>
          <cell r="AL138">
            <v>17.817130274333724</v>
          </cell>
          <cell r="AM138">
            <v>17.933249875557419</v>
          </cell>
          <cell r="AN138">
            <v>18.144811549514557</v>
          </cell>
          <cell r="AO138">
            <v>18.341366845821163</v>
          </cell>
          <cell r="AP138">
            <v>18.554294828004235</v>
          </cell>
          <cell r="AQ138">
            <v>18.756600052976452</v>
          </cell>
          <cell r="AR138">
            <v>18.965402882870901</v>
          </cell>
          <cell r="AS138">
            <v>19.142510276266169</v>
          </cell>
          <cell r="AT138">
            <v>19.314498495615553</v>
          </cell>
          <cell r="AU138">
            <v>19.490219942376132</v>
          </cell>
          <cell r="AV138">
            <v>19.680154728408148</v>
          </cell>
          <cell r="AW138">
            <v>19.874394630679802</v>
          </cell>
          <cell r="AX138">
            <v>20.062547743004767</v>
          </cell>
          <cell r="AY138">
            <v>20.395210718580728</v>
          </cell>
          <cell r="AZ138">
            <v>20.755344605618788</v>
          </cell>
          <cell r="BA138">
            <v>21.102720424249092</v>
          </cell>
          <cell r="BB138">
            <v>21.45452612828382</v>
          </cell>
          <cell r="BC138">
            <v>21.891131234015599</v>
          </cell>
          <cell r="BD138">
            <v>22.301671358472987</v>
          </cell>
          <cell r="BE138">
            <v>22.801606936241257</v>
          </cell>
          <cell r="BF138">
            <v>23.15362122374254</v>
          </cell>
          <cell r="BG138">
            <v>23.496043910949478</v>
          </cell>
          <cell r="BH138">
            <v>23.749183962873374</v>
          </cell>
          <cell r="BI138">
            <v>23.877916066657168</v>
          </cell>
          <cell r="BJ138">
            <v>24.082013853405698</v>
          </cell>
          <cell r="BK138">
            <v>24.238386792469488</v>
          </cell>
        </row>
        <row r="139">
          <cell r="B139" t="str">
            <v>LIC</v>
          </cell>
          <cell r="C139" t="str">
            <v>Wage and salaried workers, total (% of total employment) (modeled ILO estimate)</v>
          </cell>
          <cell r="D139" t="str">
            <v>SL.EMP.WORK.ZS</v>
          </cell>
          <cell r="AJ139">
            <v>12.964578689149253</v>
          </cell>
          <cell r="AK139">
            <v>12.993714042874176</v>
          </cell>
          <cell r="AL139">
            <v>13.019278453730832</v>
          </cell>
          <cell r="AM139">
            <v>13.053137579030899</v>
          </cell>
          <cell r="AN139">
            <v>13.188064341110961</v>
          </cell>
          <cell r="AO139">
            <v>13.26985092725603</v>
          </cell>
          <cell r="AP139">
            <v>13.359527943798364</v>
          </cell>
          <cell r="AQ139">
            <v>13.434557489977568</v>
          </cell>
          <cell r="AR139">
            <v>13.516238642307997</v>
          </cell>
          <cell r="AS139">
            <v>13.539235780222217</v>
          </cell>
          <cell r="AT139">
            <v>13.562567922298353</v>
          </cell>
          <cell r="AU139">
            <v>13.662340286142763</v>
          </cell>
          <cell r="AV139">
            <v>13.73847791558779</v>
          </cell>
          <cell r="AW139">
            <v>13.822801279005949</v>
          </cell>
          <cell r="AX139">
            <v>13.918995010294726</v>
          </cell>
          <cell r="AY139">
            <v>14.204821059593945</v>
          </cell>
          <cell r="AZ139">
            <v>14.479803085323443</v>
          </cell>
          <cell r="BA139">
            <v>14.988307130449924</v>
          </cell>
          <cell r="BB139">
            <v>15.343152091005205</v>
          </cell>
          <cell r="BC139">
            <v>15.730326747180493</v>
          </cell>
          <cell r="BD139">
            <v>16.121705138361566</v>
          </cell>
          <cell r="BE139">
            <v>16.458269904887754</v>
          </cell>
          <cell r="BF139">
            <v>16.675050848608258</v>
          </cell>
          <cell r="BG139">
            <v>16.876159118879844</v>
          </cell>
          <cell r="BH139">
            <v>16.996515097638614</v>
          </cell>
          <cell r="BI139">
            <v>17.101417466638033</v>
          </cell>
          <cell r="BJ139">
            <v>17.250300741587246</v>
          </cell>
          <cell r="BK139">
            <v>17.376364197164758</v>
          </cell>
        </row>
        <row r="140">
          <cell r="B140" t="str">
            <v>LIE</v>
          </cell>
          <cell r="C140" t="str">
            <v>Wage and salaried workers, total (% of total employment) (modeled ILO estimate)</v>
          </cell>
          <cell r="D140" t="str">
            <v>SL.EMP.WORK.ZS</v>
          </cell>
        </row>
        <row r="141">
          <cell r="B141" t="str">
            <v>LKA</v>
          </cell>
          <cell r="C141" t="str">
            <v>Wage and salaried workers, total (% of total employment) (modeled ILO estimate)</v>
          </cell>
          <cell r="D141" t="str">
            <v>SL.EMP.WORK.ZS</v>
          </cell>
          <cell r="AJ141">
            <v>62.400001525878899</v>
          </cell>
          <cell r="AK141">
            <v>60.099998474121101</v>
          </cell>
          <cell r="AL141">
            <v>60.119998931884801</v>
          </cell>
          <cell r="AM141">
            <v>60.700000762939503</v>
          </cell>
          <cell r="AN141">
            <v>59.799999237060497</v>
          </cell>
          <cell r="AO141">
            <v>60.834999084472699</v>
          </cell>
          <cell r="AP141">
            <v>59.402000427246101</v>
          </cell>
          <cell r="AQ141">
            <v>55.634998321533203</v>
          </cell>
          <cell r="AR141">
            <v>57.458999633789098</v>
          </cell>
          <cell r="AS141">
            <v>56.238998413085902</v>
          </cell>
          <cell r="AT141">
            <v>58.620998382568402</v>
          </cell>
          <cell r="AU141">
            <v>57.895999908447301</v>
          </cell>
          <cell r="AV141">
            <v>57.888999938964801</v>
          </cell>
          <cell r="AW141">
            <v>59.438999176025398</v>
          </cell>
          <cell r="AX141">
            <v>59.292999267578097</v>
          </cell>
          <cell r="AY141">
            <v>55.589000701904297</v>
          </cell>
          <cell r="AZ141">
            <v>56.471000671386697</v>
          </cell>
          <cell r="BA141">
            <v>56</v>
          </cell>
          <cell r="BB141">
            <v>57.583000183105497</v>
          </cell>
          <cell r="BC141">
            <v>55.547000885009801</v>
          </cell>
          <cell r="BD141">
            <v>55.090999603271499</v>
          </cell>
          <cell r="BE141">
            <v>56.417999267578097</v>
          </cell>
          <cell r="BF141">
            <v>55.714000701904297</v>
          </cell>
          <cell r="BG141">
            <v>56.430000305175803</v>
          </cell>
          <cell r="BH141">
            <v>56.146999359130902</v>
          </cell>
          <cell r="BI141">
            <v>57.823001861572301</v>
          </cell>
          <cell r="BJ141">
            <v>57.674999237060497</v>
          </cell>
          <cell r="BK141">
            <v>57.831001281738303</v>
          </cell>
        </row>
        <row r="142">
          <cell r="B142" t="str">
            <v>LMC</v>
          </cell>
          <cell r="C142" t="str">
            <v>Wage and salaried workers, total (% of total employment) (modeled ILO estimate)</v>
          </cell>
          <cell r="D142" t="str">
            <v>SL.EMP.WORK.ZS</v>
          </cell>
          <cell r="AJ142">
            <v>24.973575218844889</v>
          </cell>
          <cell r="AK142">
            <v>25.188415639327665</v>
          </cell>
          <cell r="AL142">
            <v>25.340386090199267</v>
          </cell>
          <cell r="AM142">
            <v>25.542014711074302</v>
          </cell>
          <cell r="AN142">
            <v>25.628212109204682</v>
          </cell>
          <cell r="AO142">
            <v>25.773830265405365</v>
          </cell>
          <cell r="AP142">
            <v>26.07152843458179</v>
          </cell>
          <cell r="AQ142">
            <v>25.855473159797725</v>
          </cell>
          <cell r="AR142">
            <v>25.834448046579119</v>
          </cell>
          <cell r="AS142">
            <v>25.916971811918419</v>
          </cell>
          <cell r="AT142">
            <v>26.35411746021974</v>
          </cell>
          <cell r="AU142">
            <v>26.508838649091555</v>
          </cell>
          <cell r="AV142">
            <v>26.485823344025842</v>
          </cell>
          <cell r="AW142">
            <v>26.822190060672408</v>
          </cell>
          <cell r="AX142">
            <v>27.208357544138178</v>
          </cell>
          <cell r="AY142">
            <v>27.773319826783176</v>
          </cell>
          <cell r="AZ142">
            <v>28.142704411568761</v>
          </cell>
          <cell r="BA142">
            <v>28.427070911332983</v>
          </cell>
          <cell r="BB142">
            <v>28.816837837575775</v>
          </cell>
          <cell r="BC142">
            <v>29.335831319788287</v>
          </cell>
          <cell r="BD142">
            <v>30.437859941985234</v>
          </cell>
          <cell r="BE142">
            <v>31.738751749692689</v>
          </cell>
          <cell r="BF142">
            <v>32.400837375494305</v>
          </cell>
          <cell r="BG142">
            <v>32.957608149301173</v>
          </cell>
          <cell r="BH142">
            <v>33.886601110016322</v>
          </cell>
          <cell r="BI142">
            <v>34.624280404165752</v>
          </cell>
          <cell r="BJ142">
            <v>35.168611860888447</v>
          </cell>
          <cell r="BK142">
            <v>35.701590830868675</v>
          </cell>
        </row>
        <row r="143">
          <cell r="B143" t="str">
            <v>LMY</v>
          </cell>
          <cell r="C143" t="str">
            <v>Wage and salaried workers, total (% of total employment) (modeled ILO estimate)</v>
          </cell>
          <cell r="D143" t="str">
            <v>SL.EMP.WORK.ZS</v>
          </cell>
          <cell r="AJ143">
            <v>34.227352672530635</v>
          </cell>
          <cell r="AK143">
            <v>34.463706894727871</v>
          </cell>
          <cell r="AL143">
            <v>34.669920502094811</v>
          </cell>
          <cell r="AM143">
            <v>34.864385389282056</v>
          </cell>
          <cell r="AN143">
            <v>35.052147188734168</v>
          </cell>
          <cell r="AO143">
            <v>35.382852533674637</v>
          </cell>
          <cell r="AP143">
            <v>35.599654789515888</v>
          </cell>
          <cell r="AQ143">
            <v>35.673782553697002</v>
          </cell>
          <cell r="AR143">
            <v>35.734913085495094</v>
          </cell>
          <cell r="AS143">
            <v>36.105426846013508</v>
          </cell>
          <cell r="AT143">
            <v>36.572585348088666</v>
          </cell>
          <cell r="AU143">
            <v>36.932604810579228</v>
          </cell>
          <cell r="AV143">
            <v>37.167922439910889</v>
          </cell>
          <cell r="AW143">
            <v>37.698715989710678</v>
          </cell>
          <cell r="AX143">
            <v>38.158891356912804</v>
          </cell>
          <cell r="AY143">
            <v>38.745399835979143</v>
          </cell>
          <cell r="AZ143">
            <v>39.286068212657298</v>
          </cell>
          <cell r="BA143">
            <v>39.771337205184146</v>
          </cell>
          <cell r="BB143">
            <v>40.117227752126553</v>
          </cell>
          <cell r="BC143">
            <v>40.654384662718584</v>
          </cell>
          <cell r="BD143">
            <v>41.37360798900432</v>
          </cell>
          <cell r="BE143">
            <v>42.290192821730436</v>
          </cell>
          <cell r="BF143">
            <v>42.847241286675505</v>
          </cell>
          <cell r="BG143">
            <v>43.387830278228357</v>
          </cell>
          <cell r="BH143">
            <v>43.937082744706089</v>
          </cell>
          <cell r="BI143">
            <v>44.373743602300422</v>
          </cell>
          <cell r="BJ143">
            <v>44.738058107091597</v>
          </cell>
          <cell r="BK143">
            <v>45.086380996563967</v>
          </cell>
        </row>
        <row r="144">
          <cell r="B144" t="str">
            <v>LSO</v>
          </cell>
          <cell r="C144" t="str">
            <v>Wage and salaried workers, total (% of total employment) (modeled ILO estimate)</v>
          </cell>
          <cell r="D144" t="str">
            <v>SL.EMP.WORK.ZS</v>
          </cell>
          <cell r="AJ144">
            <v>80.059997558593807</v>
          </cell>
          <cell r="AK144">
            <v>80.180000305175795</v>
          </cell>
          <cell r="AL144">
            <v>80.291999816894503</v>
          </cell>
          <cell r="AM144">
            <v>80.415000915527301</v>
          </cell>
          <cell r="AN144">
            <v>80.529998779296903</v>
          </cell>
          <cell r="AO144">
            <v>80.653999328613295</v>
          </cell>
          <cell r="AP144">
            <v>80.765998840332003</v>
          </cell>
          <cell r="AQ144">
            <v>80.865997314453097</v>
          </cell>
          <cell r="AR144">
            <v>80.964996337890597</v>
          </cell>
          <cell r="AS144">
            <v>81.083000183105497</v>
          </cell>
          <cell r="AT144">
            <v>81.209999084472699</v>
          </cell>
          <cell r="AU144">
            <v>81.327003479003906</v>
          </cell>
          <cell r="AV144">
            <v>81.472000122070298</v>
          </cell>
          <cell r="AW144">
            <v>81.600997924804702</v>
          </cell>
          <cell r="AX144">
            <v>81.738998413085895</v>
          </cell>
          <cell r="AY144">
            <v>81.879997253417997</v>
          </cell>
          <cell r="AZ144">
            <v>82.018997192382798</v>
          </cell>
          <cell r="BA144">
            <v>82.168998718261705</v>
          </cell>
          <cell r="BB144">
            <v>82.290000915527301</v>
          </cell>
          <cell r="BC144">
            <v>82.432998657226605</v>
          </cell>
          <cell r="BD144">
            <v>82.582000732421903</v>
          </cell>
          <cell r="BE144">
            <v>82.717002868652301</v>
          </cell>
          <cell r="BF144">
            <v>82.805999755859403</v>
          </cell>
          <cell r="BG144">
            <v>82.898002624511705</v>
          </cell>
          <cell r="BH144">
            <v>82.984001159667997</v>
          </cell>
          <cell r="BI144">
            <v>83.074996948242202</v>
          </cell>
          <cell r="BJ144">
            <v>83.107002258300795</v>
          </cell>
          <cell r="BK144">
            <v>83.174003601074205</v>
          </cell>
        </row>
        <row r="145">
          <cell r="B145" t="str">
            <v>LTE</v>
          </cell>
          <cell r="C145" t="str">
            <v>Wage and salaried workers, total (% of total employment) (modeled ILO estimate)</v>
          </cell>
          <cell r="D145" t="str">
            <v>SL.EMP.WORK.ZS</v>
          </cell>
          <cell r="AJ145">
            <v>40.74505899872932</v>
          </cell>
          <cell r="AK145">
            <v>41.04094854089395</v>
          </cell>
          <cell r="AL145">
            <v>41.411770810745523</v>
          </cell>
          <cell r="AM145">
            <v>41.675228290155438</v>
          </cell>
          <cell r="AN145">
            <v>42.126286599358224</v>
          </cell>
          <cell r="AO145">
            <v>42.67288260796159</v>
          </cell>
          <cell r="AP145">
            <v>42.952426244068931</v>
          </cell>
          <cell r="AQ145">
            <v>43.411574607404063</v>
          </cell>
          <cell r="AR145">
            <v>43.511552901191862</v>
          </cell>
          <cell r="AS145">
            <v>44.188613768703</v>
          </cell>
          <cell r="AT145">
            <v>45.050330000627355</v>
          </cell>
          <cell r="AU145">
            <v>45.75501617802081</v>
          </cell>
          <cell r="AV145">
            <v>46.422967045415312</v>
          </cell>
          <cell r="AW145">
            <v>47.357817621396492</v>
          </cell>
          <cell r="AX145">
            <v>48.096254514013665</v>
          </cell>
          <cell r="AY145">
            <v>48.936774702544518</v>
          </cell>
          <cell r="AZ145">
            <v>49.859327409399192</v>
          </cell>
          <cell r="BA145">
            <v>50.666429022220356</v>
          </cell>
          <cell r="BB145">
            <v>51.30341494410046</v>
          </cell>
          <cell r="BC145">
            <v>52.056234542151593</v>
          </cell>
          <cell r="BD145">
            <v>52.682758479509069</v>
          </cell>
          <cell r="BE145">
            <v>53.4470427867696</v>
          </cell>
          <cell r="BF145">
            <v>54.075010839547083</v>
          </cell>
          <cell r="BG145">
            <v>54.857075483034315</v>
          </cell>
          <cell r="BH145">
            <v>55.536534651271332</v>
          </cell>
          <cell r="BI145">
            <v>56.165782650940784</v>
          </cell>
          <cell r="BJ145">
            <v>56.821074453111464</v>
          </cell>
          <cell r="BK145">
            <v>57.334591766633359</v>
          </cell>
        </row>
        <row r="146">
          <cell r="B146" t="str">
            <v>LTU</v>
          </cell>
          <cell r="C146" t="str">
            <v>Wage and salaried workers, total (% of total employment) (modeled ILO estimate)</v>
          </cell>
          <cell r="D146" t="str">
            <v>SL.EMP.WORK.ZS</v>
          </cell>
          <cell r="AJ146">
            <v>79.733001708984403</v>
          </cell>
          <cell r="AK146">
            <v>79.761001586914105</v>
          </cell>
          <cell r="AL146">
            <v>79.774002075195298</v>
          </cell>
          <cell r="AM146">
            <v>79.870002746582003</v>
          </cell>
          <cell r="AN146">
            <v>79.968002319335895</v>
          </cell>
          <cell r="AO146">
            <v>80.117996215820298</v>
          </cell>
          <cell r="AP146">
            <v>80.267997741699205</v>
          </cell>
          <cell r="AQ146">
            <v>80.436996459960895</v>
          </cell>
          <cell r="AR146">
            <v>79.537002563476605</v>
          </cell>
          <cell r="AS146">
            <v>80.324996948242202</v>
          </cell>
          <cell r="AT146">
            <v>79.829002380371094</v>
          </cell>
          <cell r="AU146">
            <v>79.227996826171903</v>
          </cell>
          <cell r="AV146">
            <v>79.069000244140597</v>
          </cell>
          <cell r="AW146">
            <v>81.158996582031307</v>
          </cell>
          <cell r="AX146">
            <v>82.839996337890597</v>
          </cell>
          <cell r="AY146">
            <v>83.011001586914105</v>
          </cell>
          <cell r="AZ146">
            <v>85.430999755859403</v>
          </cell>
          <cell r="BA146">
            <v>88.320999145507798</v>
          </cell>
          <cell r="BB146">
            <v>88.024002075195298</v>
          </cell>
          <cell r="BC146">
            <v>89.125</v>
          </cell>
          <cell r="BD146">
            <v>89.411003112792997</v>
          </cell>
          <cell r="BE146">
            <v>88.946998596191406</v>
          </cell>
          <cell r="BF146">
            <v>88.226997375488295</v>
          </cell>
          <cell r="BG146">
            <v>87.896003723144503</v>
          </cell>
          <cell r="BH146">
            <v>87.728996276855497</v>
          </cell>
          <cell r="BI146">
            <v>87.666000366210895</v>
          </cell>
          <cell r="BJ146">
            <v>87.994003295898395</v>
          </cell>
          <cell r="BK146">
            <v>88.333999633789105</v>
          </cell>
        </row>
        <row r="147">
          <cell r="B147" t="str">
            <v>LUX</v>
          </cell>
          <cell r="C147" t="str">
            <v>Wage and salaried workers, total (% of total employment) (modeled ILO estimate)</v>
          </cell>
          <cell r="D147" t="str">
            <v>SL.EMP.WORK.ZS</v>
          </cell>
          <cell r="AJ147">
            <v>91.5</v>
          </cell>
          <cell r="AK147">
            <v>91.558998107910199</v>
          </cell>
          <cell r="AL147">
            <v>91.630996704101605</v>
          </cell>
          <cell r="AM147">
            <v>91.640998840332003</v>
          </cell>
          <cell r="AN147">
            <v>91.699996948242202</v>
          </cell>
          <cell r="AO147">
            <v>91.760002136230497</v>
          </cell>
          <cell r="AP147">
            <v>91.871002197265597</v>
          </cell>
          <cell r="AQ147">
            <v>91.969001770019503</v>
          </cell>
          <cell r="AR147">
            <v>91.981002807617202</v>
          </cell>
          <cell r="AS147">
            <v>92.010002136230497</v>
          </cell>
          <cell r="AT147">
            <v>92.038002014160199</v>
          </cell>
          <cell r="AU147">
            <v>92.071998596191406</v>
          </cell>
          <cell r="AV147">
            <v>92.114997863769503</v>
          </cell>
          <cell r="AW147">
            <v>91.821998596191406</v>
          </cell>
          <cell r="AX147">
            <v>91.984001159667997</v>
          </cell>
          <cell r="AY147">
            <v>92.147003173828097</v>
          </cell>
          <cell r="AZ147">
            <v>92.771003723144503</v>
          </cell>
          <cell r="BA147">
            <v>93.498001098632798</v>
          </cell>
          <cell r="BB147">
            <v>91.280998229980497</v>
          </cell>
          <cell r="BC147">
            <v>91.837997436523395</v>
          </cell>
          <cell r="BD147">
            <v>91.447998046875</v>
          </cell>
          <cell r="BE147">
            <v>91.126998901367202</v>
          </cell>
          <cell r="BF147">
            <v>91.167999267578097</v>
          </cell>
          <cell r="BG147">
            <v>91.255996704101605</v>
          </cell>
          <cell r="BH147">
            <v>90.242996215820298</v>
          </cell>
          <cell r="BI147">
            <v>89.959999084472699</v>
          </cell>
          <cell r="BJ147">
            <v>90.149002075195298</v>
          </cell>
          <cell r="BK147">
            <v>91.415000915527301</v>
          </cell>
        </row>
        <row r="148">
          <cell r="B148" t="str">
            <v>LVA</v>
          </cell>
          <cell r="C148" t="str">
            <v>Wage and salaried workers, total (% of total employment) (modeled ILO estimate)</v>
          </cell>
          <cell r="D148" t="str">
            <v>SL.EMP.WORK.ZS</v>
          </cell>
          <cell r="AJ148">
            <v>84.925003051757798</v>
          </cell>
          <cell r="AK148">
            <v>84.851997375488295</v>
          </cell>
          <cell r="AL148">
            <v>84.913002014160199</v>
          </cell>
          <cell r="AM148">
            <v>85.091003417968807</v>
          </cell>
          <cell r="AN148">
            <v>85.236999511718807</v>
          </cell>
          <cell r="AO148">
            <v>85.384002685546903</v>
          </cell>
          <cell r="AP148">
            <v>80.571998596191406</v>
          </cell>
          <cell r="AQ148">
            <v>82.665000915527301</v>
          </cell>
          <cell r="AR148">
            <v>83.088996887207003</v>
          </cell>
          <cell r="AS148">
            <v>85.138999938964801</v>
          </cell>
          <cell r="AT148">
            <v>84.781997680664105</v>
          </cell>
          <cell r="AU148">
            <v>86.294998168945298</v>
          </cell>
          <cell r="AV148">
            <v>86.494003295898395</v>
          </cell>
          <cell r="AW148">
            <v>86.489997863769503</v>
          </cell>
          <cell r="AX148">
            <v>88.527000427246094</v>
          </cell>
          <cell r="AY148">
            <v>88.338996887207003</v>
          </cell>
          <cell r="AZ148">
            <v>89.029998779296903</v>
          </cell>
          <cell r="BA148">
            <v>89.754997253417997</v>
          </cell>
          <cell r="BB148">
            <v>88.475997924804702</v>
          </cell>
          <cell r="BC148">
            <v>88.508003234863295</v>
          </cell>
          <cell r="BD148">
            <v>88.658996582031307</v>
          </cell>
          <cell r="BE148">
            <v>88.634002685546903</v>
          </cell>
          <cell r="BF148">
            <v>88.446998596191406</v>
          </cell>
          <cell r="BG148">
            <v>88.456001281738295</v>
          </cell>
          <cell r="BH148">
            <v>87.388999938964801</v>
          </cell>
          <cell r="BI148">
            <v>87.122001647949205</v>
          </cell>
          <cell r="BJ148">
            <v>87.342002868652301</v>
          </cell>
          <cell r="BK148">
            <v>88.483001708984403</v>
          </cell>
        </row>
        <row r="149">
          <cell r="B149" t="str">
            <v>MAC</v>
          </cell>
          <cell r="C149" t="str">
            <v>Wage and salaried workers, total (% of total employment) (modeled ILO estimate)</v>
          </cell>
          <cell r="D149" t="str">
            <v>SL.EMP.WORK.ZS</v>
          </cell>
          <cell r="AJ149">
            <v>88.362998962402301</v>
          </cell>
          <cell r="AK149">
            <v>88.599998474121094</v>
          </cell>
          <cell r="AL149">
            <v>88.819000244140597</v>
          </cell>
          <cell r="AM149">
            <v>88.992996215820298</v>
          </cell>
          <cell r="AN149">
            <v>89.1510009765625</v>
          </cell>
          <cell r="AO149">
            <v>89.266998291015597</v>
          </cell>
          <cell r="AP149">
            <v>90.351997375488295</v>
          </cell>
          <cell r="AQ149">
            <v>90.331001281738295</v>
          </cell>
          <cell r="AR149">
            <v>89.138000488281307</v>
          </cell>
          <cell r="AS149">
            <v>88.217002868652301</v>
          </cell>
          <cell r="AT149">
            <v>89.267997741699205</v>
          </cell>
          <cell r="AU149">
            <v>89.507003784179702</v>
          </cell>
          <cell r="AV149">
            <v>89.142997741699205</v>
          </cell>
          <cell r="AW149">
            <v>88.366996765136705</v>
          </cell>
          <cell r="AX149">
            <v>89.641998291015597</v>
          </cell>
          <cell r="AY149">
            <v>90.682998657226605</v>
          </cell>
          <cell r="AZ149">
            <v>91.375</v>
          </cell>
          <cell r="BA149">
            <v>92.567001342773395</v>
          </cell>
          <cell r="BB149">
            <v>92.063003540039105</v>
          </cell>
          <cell r="BC149">
            <v>92.052001953125</v>
          </cell>
          <cell r="BD149">
            <v>92.518997192382798</v>
          </cell>
          <cell r="BE149">
            <v>92.689002990722699</v>
          </cell>
          <cell r="BF149">
            <v>93.212997436523395</v>
          </cell>
          <cell r="BG149">
            <v>93.583999633789105</v>
          </cell>
          <cell r="BH149">
            <v>93.291000366210895</v>
          </cell>
          <cell r="BI149">
            <v>93.584999084472699</v>
          </cell>
          <cell r="BJ149">
            <v>93.725997924804702</v>
          </cell>
          <cell r="BK149">
            <v>93.810997009277301</v>
          </cell>
        </row>
        <row r="150">
          <cell r="B150" t="str">
            <v>MAF</v>
          </cell>
          <cell r="C150" t="str">
            <v>Wage and salaried workers, total (% of total employment) (modeled ILO estimate)</v>
          </cell>
          <cell r="D150" t="str">
            <v>SL.EMP.WORK.ZS</v>
          </cell>
        </row>
        <row r="151">
          <cell r="B151" t="str">
            <v>MAR</v>
          </cell>
          <cell r="C151" t="str">
            <v>Wage and salaried workers, total (% of total employment) (modeled ILO estimate)</v>
          </cell>
          <cell r="D151" t="str">
            <v>SL.EMP.WORK.ZS</v>
          </cell>
          <cell r="AJ151">
            <v>38.506999969482401</v>
          </cell>
          <cell r="AK151">
            <v>38.869998931884801</v>
          </cell>
          <cell r="AL151">
            <v>39.301998138427699</v>
          </cell>
          <cell r="AM151">
            <v>40.2369995117188</v>
          </cell>
          <cell r="AN151">
            <v>40.470001220703097</v>
          </cell>
          <cell r="AO151">
            <v>41.499000549316399</v>
          </cell>
          <cell r="AP151">
            <v>41.937999725341797</v>
          </cell>
          <cell r="AQ151">
            <v>42.769001007080099</v>
          </cell>
          <cell r="AR151">
            <v>41.067001342773402</v>
          </cell>
          <cell r="AS151">
            <v>41.018001556396499</v>
          </cell>
          <cell r="AT151">
            <v>41.183998107910199</v>
          </cell>
          <cell r="AU151">
            <v>41.181999206542997</v>
          </cell>
          <cell r="AV151">
            <v>41.250999450683601</v>
          </cell>
          <cell r="AW151">
            <v>39.611000061035199</v>
          </cell>
          <cell r="AX151">
            <v>39.770999908447301</v>
          </cell>
          <cell r="AY151">
            <v>45.555000305175803</v>
          </cell>
          <cell r="AZ151">
            <v>46.595001220703097</v>
          </cell>
          <cell r="BA151">
            <v>45.499000549316399</v>
          </cell>
          <cell r="BB151">
            <v>45.355998992919901</v>
          </cell>
          <cell r="BC151">
            <v>46.214000701904297</v>
          </cell>
          <cell r="BD151">
            <v>45.861000061035199</v>
          </cell>
          <cell r="BE151">
            <v>46.458999633789098</v>
          </cell>
          <cell r="BF151">
            <v>46.943000793457003</v>
          </cell>
          <cell r="BG151">
            <v>47.002998352050803</v>
          </cell>
          <cell r="BH151">
            <v>47.623001098632798</v>
          </cell>
          <cell r="BI151">
            <v>48.144001007080099</v>
          </cell>
          <cell r="BJ151">
            <v>48.740001678466797</v>
          </cell>
          <cell r="BK151">
            <v>49.2890014648438</v>
          </cell>
        </row>
        <row r="152">
          <cell r="B152" t="str">
            <v>MCO</v>
          </cell>
          <cell r="C152" t="str">
            <v>Wage and salaried workers, total (% of total employment) (modeled ILO estimate)</v>
          </cell>
          <cell r="D152" t="str">
            <v>SL.EMP.WORK.ZS</v>
          </cell>
        </row>
        <row r="153">
          <cell r="B153" t="str">
            <v>MDA</v>
          </cell>
          <cell r="C153" t="str">
            <v>Wage and salaried workers, total (% of total employment) (modeled ILO estimate)</v>
          </cell>
          <cell r="D153" t="str">
            <v>SL.EMP.WORK.ZS</v>
          </cell>
          <cell r="AJ153">
            <v>69.196998596191406</v>
          </cell>
          <cell r="AK153">
            <v>68.581001281738295</v>
          </cell>
          <cell r="AL153">
            <v>68.504997253417997</v>
          </cell>
          <cell r="AM153">
            <v>67.972999572753906</v>
          </cell>
          <cell r="AN153">
            <v>67.919998168945298</v>
          </cell>
          <cell r="AO153">
            <v>67.838996887207003</v>
          </cell>
          <cell r="AP153">
            <v>67.827003479003906</v>
          </cell>
          <cell r="AQ153">
            <v>67.746002197265597</v>
          </cell>
          <cell r="AR153">
            <v>67.706001281738295</v>
          </cell>
          <cell r="AS153">
            <v>63.0200004577637</v>
          </cell>
          <cell r="AT153">
            <v>60.646999359130902</v>
          </cell>
          <cell r="AU153">
            <v>59.320999145507798</v>
          </cell>
          <cell r="AV153">
            <v>64.056999206542997</v>
          </cell>
          <cell r="AW153">
            <v>63.912998199462898</v>
          </cell>
          <cell r="AX153">
            <v>62.991001129150398</v>
          </cell>
          <cell r="AY153">
            <v>67.0780029296875</v>
          </cell>
          <cell r="AZ153">
            <v>66.693000793457003</v>
          </cell>
          <cell r="BA153">
            <v>67.970001220703097</v>
          </cell>
          <cell r="BB153">
            <v>70.633003234863295</v>
          </cell>
          <cell r="BC153">
            <v>70.716003417968807</v>
          </cell>
          <cell r="BD153">
            <v>70.634002685546903</v>
          </cell>
          <cell r="BE153">
            <v>70.835998535156307</v>
          </cell>
          <cell r="BF153">
            <v>68.781997680664105</v>
          </cell>
          <cell r="BG153">
            <v>67.311996459960895</v>
          </cell>
          <cell r="BH153">
            <v>63.122001647949197</v>
          </cell>
          <cell r="BI153">
            <v>62.994998931884801</v>
          </cell>
          <cell r="BJ153">
            <v>65.181999206542997</v>
          </cell>
          <cell r="BK153">
            <v>62.064998626708999</v>
          </cell>
        </row>
        <row r="154">
          <cell r="B154" t="str">
            <v>MDG</v>
          </cell>
          <cell r="C154" t="str">
            <v>Wage and salaried workers, total (% of total employment) (modeled ILO estimate)</v>
          </cell>
          <cell r="D154" t="str">
            <v>SL.EMP.WORK.ZS</v>
          </cell>
          <cell r="AJ154">
            <v>13.427000045776399</v>
          </cell>
          <cell r="AK154">
            <v>13.475999832153301</v>
          </cell>
          <cell r="AL154">
            <v>13.539999961853001</v>
          </cell>
          <cell r="AM154">
            <v>13.6759996414185</v>
          </cell>
          <cell r="AN154">
            <v>13.8369998931885</v>
          </cell>
          <cell r="AO154">
            <v>14.005999565124499</v>
          </cell>
          <cell r="AP154">
            <v>14.1960000991821</v>
          </cell>
          <cell r="AQ154">
            <v>14.388999938964799</v>
          </cell>
          <cell r="AR154">
            <v>14.593000411987299</v>
          </cell>
          <cell r="AS154">
            <v>14.796999931335399</v>
          </cell>
          <cell r="AT154">
            <v>15.022000312805201</v>
          </cell>
          <cell r="AU154">
            <v>14.9329996109009</v>
          </cell>
          <cell r="AV154">
            <v>15.1960000991821</v>
          </cell>
          <cell r="AW154">
            <v>14.2299995422363</v>
          </cell>
          <cell r="AX154">
            <v>13.319999694824199</v>
          </cell>
          <cell r="AY154">
            <v>12.4619998931885</v>
          </cell>
          <cell r="AZ154">
            <v>11.664999961853001</v>
          </cell>
          <cell r="BA154">
            <v>10.921999931335399</v>
          </cell>
          <cell r="BB154">
            <v>10.0790004730225</v>
          </cell>
          <cell r="BC154">
            <v>9.3400001525878906</v>
          </cell>
          <cell r="BD154">
            <v>10.137000083923301</v>
          </cell>
          <cell r="BE154">
            <v>11.0019998550415</v>
          </cell>
          <cell r="BF154">
            <v>10.8549995422363</v>
          </cell>
          <cell r="BG154">
            <v>10.720999717712401</v>
          </cell>
          <cell r="BH154">
            <v>10.585000038146999</v>
          </cell>
          <cell r="BI154">
            <v>10.7040004730225</v>
          </cell>
          <cell r="BJ154">
            <v>10.8269996643066</v>
          </cell>
          <cell r="BK154">
            <v>10.9659996032715</v>
          </cell>
        </row>
        <row r="155">
          <cell r="B155" t="str">
            <v>MDV</v>
          </cell>
          <cell r="C155" t="str">
            <v>Wage and salaried workers, total (% of total employment) (modeled ILO estimate)</v>
          </cell>
          <cell r="D155" t="str">
            <v>SL.EMP.WORK.ZS</v>
          </cell>
          <cell r="AJ155">
            <v>62.320999145507798</v>
          </cell>
          <cell r="AK155">
            <v>62.360000610351598</v>
          </cell>
          <cell r="AL155">
            <v>62.391998291015597</v>
          </cell>
          <cell r="AM155">
            <v>62.444000244140597</v>
          </cell>
          <cell r="AN155">
            <v>62.520999908447301</v>
          </cell>
          <cell r="AO155">
            <v>62.720001220703097</v>
          </cell>
          <cell r="AP155">
            <v>62.912998199462898</v>
          </cell>
          <cell r="AQ155">
            <v>63.0929985046387</v>
          </cell>
          <cell r="AR155">
            <v>63.2560005187988</v>
          </cell>
          <cell r="AS155">
            <v>63.4799995422363</v>
          </cell>
          <cell r="AT155">
            <v>63.8950004577637</v>
          </cell>
          <cell r="AU155">
            <v>64.343002319335895</v>
          </cell>
          <cell r="AV155">
            <v>64.898002624511705</v>
          </cell>
          <cell r="AW155">
            <v>65.200996398925795</v>
          </cell>
          <cell r="AX155">
            <v>65.487998962402301</v>
          </cell>
          <cell r="AY155">
            <v>66.102996826171903</v>
          </cell>
          <cell r="AZ155">
            <v>67.178001403808594</v>
          </cell>
          <cell r="BA155">
            <v>68.287002563476605</v>
          </cell>
          <cell r="BB155">
            <v>69.180999755859403</v>
          </cell>
          <cell r="BC155">
            <v>70.198997497558594</v>
          </cell>
          <cell r="BD155">
            <v>71.042999267578097</v>
          </cell>
          <cell r="BE155">
            <v>71.750999450683594</v>
          </cell>
          <cell r="BF155">
            <v>72.464996337890597</v>
          </cell>
          <cell r="BG155">
            <v>73.070999145507798</v>
          </cell>
          <cell r="BH155">
            <v>74.805000305175795</v>
          </cell>
          <cell r="BI155">
            <v>76.304000854492202</v>
          </cell>
          <cell r="BJ155">
            <v>76.338996887207003</v>
          </cell>
          <cell r="BK155">
            <v>76.380996704101605</v>
          </cell>
        </row>
        <row r="156">
          <cell r="B156" t="str">
            <v>MEA</v>
          </cell>
          <cell r="C156" t="str">
            <v>Wage and salaried workers, total (% of total employment) (modeled ILO estimate)</v>
          </cell>
          <cell r="D156" t="str">
            <v>SL.EMP.WORK.ZS</v>
          </cell>
          <cell r="AJ156">
            <v>60.572076780317893</v>
          </cell>
          <cell r="AK156">
            <v>60.420002598276511</v>
          </cell>
          <cell r="AL156">
            <v>60.765931840334765</v>
          </cell>
          <cell r="AM156">
            <v>61.169876461487256</v>
          </cell>
          <cell r="AN156">
            <v>61.892342510260974</v>
          </cell>
          <cell r="AO156">
            <v>62.375333000765373</v>
          </cell>
          <cell r="AP156">
            <v>62.687870267403113</v>
          </cell>
          <cell r="AQ156">
            <v>62.756325633498697</v>
          </cell>
          <cell r="AR156">
            <v>62.832074004303621</v>
          </cell>
          <cell r="AS156">
            <v>62.674066620637809</v>
          </cell>
          <cell r="AT156">
            <v>63.018041995420816</v>
          </cell>
          <cell r="AU156">
            <v>62.91149159796975</v>
          </cell>
          <cell r="AV156">
            <v>62.575446253670101</v>
          </cell>
          <cell r="AW156">
            <v>62.287458363843093</v>
          </cell>
          <cell r="AX156">
            <v>63.362965305339593</v>
          </cell>
          <cell r="AY156">
            <v>64.579885236015144</v>
          </cell>
          <cell r="AZ156">
            <v>64.280492751268696</v>
          </cell>
          <cell r="BA156">
            <v>65.771000659528809</v>
          </cell>
          <cell r="BB156">
            <v>66.376097336681312</v>
          </cell>
          <cell r="BC156">
            <v>67.596931257782771</v>
          </cell>
          <cell r="BD156">
            <v>67.761185905183211</v>
          </cell>
          <cell r="BE156">
            <v>68.602909245635047</v>
          </cell>
          <cell r="BF156">
            <v>68.790277052298592</v>
          </cell>
          <cell r="BG156">
            <v>69.071616793519809</v>
          </cell>
          <cell r="BH156">
            <v>69.705240135867882</v>
          </cell>
          <cell r="BI156">
            <v>71.095129220529756</v>
          </cell>
          <cell r="BJ156">
            <v>70.735788611360803</v>
          </cell>
          <cell r="BK156">
            <v>70.826157322675712</v>
          </cell>
        </row>
        <row r="157">
          <cell r="B157" t="str">
            <v>MEX</v>
          </cell>
          <cell r="C157" t="str">
            <v>Wage and salaried workers, total (% of total employment) (modeled ILO estimate)</v>
          </cell>
          <cell r="D157" t="str">
            <v>SL.EMP.WORK.ZS</v>
          </cell>
          <cell r="AJ157">
            <v>55.4939994812012</v>
          </cell>
          <cell r="AK157">
            <v>55.647998809814503</v>
          </cell>
          <cell r="AL157">
            <v>55.252998352050803</v>
          </cell>
          <cell r="AM157">
            <v>57.187000274658203</v>
          </cell>
          <cell r="AN157">
            <v>58.4799995422363</v>
          </cell>
          <cell r="AO157">
            <v>59.6710014343262</v>
          </cell>
          <cell r="AP157">
            <v>58.780998229980497</v>
          </cell>
          <cell r="AQ157">
            <v>61.161998748779297</v>
          </cell>
          <cell r="AR157">
            <v>61.733001708984403</v>
          </cell>
          <cell r="AS157">
            <v>63.884998321533203</v>
          </cell>
          <cell r="AT157">
            <v>63.451000213622997</v>
          </cell>
          <cell r="AU157">
            <v>62.846000671386697</v>
          </cell>
          <cell r="AV157">
            <v>62.813999176025398</v>
          </cell>
          <cell r="AW157">
            <v>63.242000579833999</v>
          </cell>
          <cell r="AX157">
            <v>64.411003112792997</v>
          </cell>
          <cell r="AY157">
            <v>65.266998291015597</v>
          </cell>
          <cell r="AZ157">
            <v>65.569999694824205</v>
          </cell>
          <cell r="BA157">
            <v>66.398002624511705</v>
          </cell>
          <cell r="BB157">
            <v>65.691001892089801</v>
          </cell>
          <cell r="BC157">
            <v>66.603996276855497</v>
          </cell>
          <cell r="BD157">
            <v>66.346000671386705</v>
          </cell>
          <cell r="BE157">
            <v>67.030998229980497</v>
          </cell>
          <cell r="BF157">
            <v>67.083000183105497</v>
          </cell>
          <cell r="BG157">
            <v>67.816001892089801</v>
          </cell>
          <cell r="BH157">
            <v>67.917999267578097</v>
          </cell>
          <cell r="BI157">
            <v>68.344001770019503</v>
          </cell>
          <cell r="BJ157">
            <v>68.550003051757798</v>
          </cell>
          <cell r="BK157">
            <v>68.362998962402301</v>
          </cell>
        </row>
        <row r="158">
          <cell r="B158" t="str">
            <v>MHL</v>
          </cell>
          <cell r="C158" t="str">
            <v>Wage and salaried workers, total (% of total employment) (modeled ILO estimate)</v>
          </cell>
          <cell r="D158" t="str">
            <v>SL.EMP.WORK.ZS</v>
          </cell>
        </row>
        <row r="159">
          <cell r="B159" t="str">
            <v>MIC</v>
          </cell>
          <cell r="C159" t="str">
            <v>Wage and salaried workers, total (% of total employment) (modeled ILO estimate)</v>
          </cell>
          <cell r="D159" t="str">
            <v>SL.EMP.WORK.ZS</v>
          </cell>
          <cell r="AJ159">
            <v>35.944429045664542</v>
          </cell>
          <cell r="AK159">
            <v>36.210151089070578</v>
          </cell>
          <cell r="AL159">
            <v>36.449914972112943</v>
          </cell>
          <cell r="AM159">
            <v>36.67729841290307</v>
          </cell>
          <cell r="AN159">
            <v>36.896121375308951</v>
          </cell>
          <cell r="AO159">
            <v>37.261746788158774</v>
          </cell>
          <cell r="AP159">
            <v>37.50629193638715</v>
          </cell>
          <cell r="AQ159">
            <v>37.60206849113225</v>
          </cell>
          <cell r="AR159">
            <v>37.679746738904242</v>
          </cell>
          <cell r="AS159">
            <v>38.097997638841456</v>
          </cell>
          <cell r="AT159">
            <v>38.63231741766198</v>
          </cell>
          <cell r="AU159">
            <v>39.045434349398782</v>
          </cell>
          <cell r="AV159">
            <v>39.321804999057321</v>
          </cell>
          <cell r="AW159">
            <v>39.915360137673275</v>
          </cell>
          <cell r="AX159">
            <v>40.439322956261918</v>
          </cell>
          <cell r="AY159">
            <v>41.081478928502854</v>
          </cell>
          <cell r="AZ159">
            <v>41.673334853954394</v>
          </cell>
          <cell r="BA159">
            <v>42.192157092365512</v>
          </cell>
          <cell r="BB159">
            <v>42.577529149059295</v>
          </cell>
          <cell r="BC159">
            <v>43.16372143501335</v>
          </cell>
          <cell r="BD159">
            <v>43.951523857171338</v>
          </cell>
          <cell r="BE159">
            <v>44.964298580821797</v>
          </cell>
          <cell r="BF159">
            <v>45.602274152573855</v>
          </cell>
          <cell r="BG159">
            <v>46.224926507462605</v>
          </cell>
          <cell r="BH159">
            <v>46.876528341449628</v>
          </cell>
          <cell r="BI159">
            <v>47.419010692985694</v>
          </cell>
          <cell r="BJ159">
            <v>47.872465038467212</v>
          </cell>
          <cell r="BK159">
            <v>48.312332203257199</v>
          </cell>
        </row>
        <row r="160">
          <cell r="B160" t="str">
            <v>MKD</v>
          </cell>
          <cell r="C160" t="str">
            <v>Wage and salaried workers, total (% of total employment) (modeled ILO estimate)</v>
          </cell>
          <cell r="D160" t="str">
            <v>SL.EMP.WORK.ZS</v>
          </cell>
          <cell r="AJ160">
            <v>77.837997436523395</v>
          </cell>
          <cell r="AK160">
            <v>78.069999694824205</v>
          </cell>
          <cell r="AL160">
            <v>78.295997619628906</v>
          </cell>
          <cell r="AM160">
            <v>78.574996948242202</v>
          </cell>
          <cell r="AN160">
            <v>78.722999572753906</v>
          </cell>
          <cell r="AO160">
            <v>78.892997741699205</v>
          </cell>
          <cell r="AP160">
            <v>78.188003540039105</v>
          </cell>
          <cell r="AQ160">
            <v>77.434997558593807</v>
          </cell>
          <cell r="AR160">
            <v>74.462997436523395</v>
          </cell>
          <cell r="AS160">
            <v>74.330001831054702</v>
          </cell>
          <cell r="AT160">
            <v>70.055000305175795</v>
          </cell>
          <cell r="AU160">
            <v>70.666000366210895</v>
          </cell>
          <cell r="AV160">
            <v>72.737998962402301</v>
          </cell>
          <cell r="AW160">
            <v>75.4010009765625</v>
          </cell>
          <cell r="AX160">
            <v>71.829002380371094</v>
          </cell>
          <cell r="AY160">
            <v>70.750999450683594</v>
          </cell>
          <cell r="AZ160">
            <v>72.287002563476605</v>
          </cell>
          <cell r="BA160">
            <v>71.833999633789105</v>
          </cell>
          <cell r="BB160">
            <v>71.920997619628906</v>
          </cell>
          <cell r="BC160">
            <v>71.496002197265597</v>
          </cell>
          <cell r="BD160">
            <v>71.787002563476605</v>
          </cell>
          <cell r="BE160">
            <v>73.156997680664105</v>
          </cell>
          <cell r="BF160">
            <v>71.903999328613295</v>
          </cell>
          <cell r="BG160">
            <v>73.333000183105497</v>
          </cell>
          <cell r="BH160">
            <v>73.874000549316406</v>
          </cell>
          <cell r="BI160">
            <v>75.872001647949205</v>
          </cell>
          <cell r="BJ160">
            <v>76.279998779296903</v>
          </cell>
          <cell r="BK160">
            <v>76.366996765136705</v>
          </cell>
        </row>
        <row r="161">
          <cell r="B161" t="str">
            <v>MLI</v>
          </cell>
          <cell r="C161" t="str">
            <v>Wage and salaried workers, total (% of total employment) (modeled ILO estimate)</v>
          </cell>
          <cell r="D161" t="str">
            <v>SL.EMP.WORK.ZS</v>
          </cell>
          <cell r="AJ161">
            <v>14.7159996032715</v>
          </cell>
          <cell r="AK161">
            <v>14.7480001449585</v>
          </cell>
          <cell r="AL161">
            <v>14.8769998550415</v>
          </cell>
          <cell r="AM161">
            <v>15.0159997940063</v>
          </cell>
          <cell r="AN161">
            <v>15.1099996566772</v>
          </cell>
          <cell r="AO161">
            <v>15.305000305175801</v>
          </cell>
          <cell r="AP161">
            <v>15.468000411987299</v>
          </cell>
          <cell r="AQ161">
            <v>15.680000305175801</v>
          </cell>
          <cell r="AR161">
            <v>15.873999595642101</v>
          </cell>
          <cell r="AS161">
            <v>15.9659996032715</v>
          </cell>
          <cell r="AT161">
            <v>16.320999145507798</v>
          </cell>
          <cell r="AU161">
            <v>16.471000671386701</v>
          </cell>
          <cell r="AV161">
            <v>16.729000091552699</v>
          </cell>
          <cell r="AW161">
            <v>16.844999313354499</v>
          </cell>
          <cell r="AX161">
            <v>17.055000305175799</v>
          </cell>
          <cell r="AY161">
            <v>17.229000091552699</v>
          </cell>
          <cell r="AZ161">
            <v>17.381999969482401</v>
          </cell>
          <cell r="BA161">
            <v>17.559999465942401</v>
          </cell>
          <cell r="BB161">
            <v>17.736000061035199</v>
          </cell>
          <cell r="BC161">
            <v>17.933000564575199</v>
          </cell>
          <cell r="BD161">
            <v>18.090999603271499</v>
          </cell>
          <cell r="BE161">
            <v>18.1609992980957</v>
          </cell>
          <cell r="BF161">
            <v>18.301000595092798</v>
          </cell>
          <cell r="BG161">
            <v>18.540000915527301</v>
          </cell>
          <cell r="BH161">
            <v>18.7590007781982</v>
          </cell>
          <cell r="BI161">
            <v>18.974000930786101</v>
          </cell>
          <cell r="BJ161">
            <v>18.611000061035199</v>
          </cell>
          <cell r="BK161">
            <v>18.2299995422363</v>
          </cell>
        </row>
        <row r="162">
          <cell r="B162" t="str">
            <v>MLT</v>
          </cell>
          <cell r="C162" t="str">
            <v>Wage and salaried workers, total (% of total employment) (modeled ILO estimate)</v>
          </cell>
          <cell r="D162" t="str">
            <v>SL.EMP.WORK.ZS</v>
          </cell>
          <cell r="AJ162">
            <v>86.041000366210895</v>
          </cell>
          <cell r="AK162">
            <v>86.212997436523395</v>
          </cell>
          <cell r="AL162">
            <v>86.430999755859403</v>
          </cell>
          <cell r="AM162">
            <v>86.661003112792997</v>
          </cell>
          <cell r="AN162">
            <v>86.870002746582003</v>
          </cell>
          <cell r="AO162">
            <v>87.035003662109403</v>
          </cell>
          <cell r="AP162">
            <v>87.207000732421903</v>
          </cell>
          <cell r="AQ162">
            <v>87.384002685546903</v>
          </cell>
          <cell r="AR162">
            <v>87.533996582031307</v>
          </cell>
          <cell r="AS162">
            <v>87.782997131347699</v>
          </cell>
          <cell r="AT162">
            <v>87.793998718261705</v>
          </cell>
          <cell r="AU162">
            <v>85.347999572753906</v>
          </cell>
          <cell r="AV162">
            <v>86.016998291015597</v>
          </cell>
          <cell r="AW162">
            <v>85.749000549316406</v>
          </cell>
          <cell r="AX162">
            <v>86.093002319335895</v>
          </cell>
          <cell r="AY162">
            <v>86.079002380371094</v>
          </cell>
          <cell r="AZ162">
            <v>85.699996948242202</v>
          </cell>
          <cell r="BA162">
            <v>86.208000183105497</v>
          </cell>
          <cell r="BB162">
            <v>86.149002075195298</v>
          </cell>
          <cell r="BC162">
            <v>85.597999572753906</v>
          </cell>
          <cell r="BD162">
            <v>86.490997314453097</v>
          </cell>
          <cell r="BE162">
            <v>86.638999938964801</v>
          </cell>
          <cell r="BF162">
            <v>86.254997253417997</v>
          </cell>
          <cell r="BG162">
            <v>86.507003784179702</v>
          </cell>
          <cell r="BH162">
            <v>86.170997619628906</v>
          </cell>
          <cell r="BI162">
            <v>85.9530029296875</v>
          </cell>
          <cell r="BJ162">
            <v>85.112998962402301</v>
          </cell>
          <cell r="BK162">
            <v>85.773002624511705</v>
          </cell>
        </row>
        <row r="163">
          <cell r="B163" t="str">
            <v>MMR</v>
          </cell>
          <cell r="C163" t="str">
            <v>Wage and salaried workers, total (% of total employment) (modeled ILO estimate)</v>
          </cell>
          <cell r="D163" t="str">
            <v>SL.EMP.WORK.ZS</v>
          </cell>
          <cell r="AJ163">
            <v>21.895999908447301</v>
          </cell>
          <cell r="AK163">
            <v>22.271999359130898</v>
          </cell>
          <cell r="AL163">
            <v>22.621000289916999</v>
          </cell>
          <cell r="AM163">
            <v>22.9939994812012</v>
          </cell>
          <cell r="AN163">
            <v>23.363000869751001</v>
          </cell>
          <cell r="AO163">
            <v>23.735000610351602</v>
          </cell>
          <cell r="AP163">
            <v>24.1049995422363</v>
          </cell>
          <cell r="AQ163">
            <v>24.488000869751001</v>
          </cell>
          <cell r="AR163">
            <v>24.978000640869102</v>
          </cell>
          <cell r="AS163">
            <v>25.541999816894499</v>
          </cell>
          <cell r="AT163">
            <v>26.093000411987301</v>
          </cell>
          <cell r="AU163">
            <v>26.67799949646</v>
          </cell>
          <cell r="AV163">
            <v>27.347999572753899</v>
          </cell>
          <cell r="AW163">
            <v>28.044000625610401</v>
          </cell>
          <cell r="AX163">
            <v>28.784000396728501</v>
          </cell>
          <cell r="AY163">
            <v>29.544000625610401</v>
          </cell>
          <cell r="AZ163">
            <v>30.30299949646</v>
          </cell>
          <cell r="BA163">
            <v>31.017999649047901</v>
          </cell>
          <cell r="BB163">
            <v>31.763999938964801</v>
          </cell>
          <cell r="BC163">
            <v>32.480998992919901</v>
          </cell>
          <cell r="BD163">
            <v>32.994998931884801</v>
          </cell>
          <cell r="BE163">
            <v>33.612998962402301</v>
          </cell>
          <cell r="BF163">
            <v>34.293998718261697</v>
          </cell>
          <cell r="BG163">
            <v>34.946998596191399</v>
          </cell>
          <cell r="BH163">
            <v>35.574001312255902</v>
          </cell>
          <cell r="BI163">
            <v>36.146999359130902</v>
          </cell>
          <cell r="BJ163">
            <v>36.766998291015597</v>
          </cell>
          <cell r="BK163">
            <v>37.367000579833999</v>
          </cell>
        </row>
        <row r="164">
          <cell r="B164" t="str">
            <v>MNA</v>
          </cell>
          <cell r="C164" t="str">
            <v>Wage and salaried workers, total (% of total employment) (modeled ILO estimate)</v>
          </cell>
          <cell r="D164" t="str">
            <v>SL.EMP.WORK.ZS</v>
          </cell>
          <cell r="AJ164">
            <v>54.994292325138943</v>
          </cell>
          <cell r="AK164">
            <v>55.322816703426113</v>
          </cell>
          <cell r="AL164">
            <v>55.63300734282106</v>
          </cell>
          <cell r="AM164">
            <v>56.071847377536258</v>
          </cell>
          <cell r="AN164">
            <v>56.391357092838838</v>
          </cell>
          <cell r="AO164">
            <v>57.043275074245294</v>
          </cell>
          <cell r="AP164">
            <v>57.43126737805337</v>
          </cell>
          <cell r="AQ164">
            <v>57.46547726542309</v>
          </cell>
          <cell r="AR164">
            <v>57.569723564098126</v>
          </cell>
          <cell r="AS164">
            <v>57.221687620010968</v>
          </cell>
          <cell r="AT164">
            <v>57.55125845656179</v>
          </cell>
          <cell r="AU164">
            <v>57.376053495794274</v>
          </cell>
          <cell r="AV164">
            <v>56.912132986785643</v>
          </cell>
          <cell r="AW164">
            <v>56.471997489213976</v>
          </cell>
          <cell r="AX164">
            <v>57.485533715664509</v>
          </cell>
          <cell r="AY164">
            <v>58.643763870973387</v>
          </cell>
          <cell r="AZ164">
            <v>57.873439077281539</v>
          </cell>
          <cell r="BA164">
            <v>59.207594873791876</v>
          </cell>
          <cell r="BB164">
            <v>59.636381161211538</v>
          </cell>
          <cell r="BC164">
            <v>60.717231561055655</v>
          </cell>
          <cell r="BD164">
            <v>60.536811478114721</v>
          </cell>
          <cell r="BE164">
            <v>61.243887469560683</v>
          </cell>
          <cell r="BF164">
            <v>61.277118501376542</v>
          </cell>
          <cell r="BG164">
            <v>61.349175307724821</v>
          </cell>
          <cell r="BH164">
            <v>61.906438351349152</v>
          </cell>
          <cell r="BI164">
            <v>63.680997551787094</v>
          </cell>
          <cell r="BJ164">
            <v>63.189696729564467</v>
          </cell>
          <cell r="BK164">
            <v>63.340061344139755</v>
          </cell>
        </row>
        <row r="165">
          <cell r="B165" t="str">
            <v>MNE</v>
          </cell>
          <cell r="C165" t="str">
            <v>Wage and salaried workers, total (% of total employment) (modeled ILO estimate)</v>
          </cell>
          <cell r="D165" t="str">
            <v>SL.EMP.WORK.ZS</v>
          </cell>
          <cell r="AJ165">
            <v>78.799003601074205</v>
          </cell>
          <cell r="AK165">
            <v>79.120002746582003</v>
          </cell>
          <cell r="AL165">
            <v>79.447998046875</v>
          </cell>
          <cell r="AM165">
            <v>78.9010009765625</v>
          </cell>
          <cell r="AN165">
            <v>78.795997619628906</v>
          </cell>
          <cell r="AO165">
            <v>78.690002441406307</v>
          </cell>
          <cell r="AP165">
            <v>79.189002990722699</v>
          </cell>
          <cell r="AQ165">
            <v>79.357002258300795</v>
          </cell>
          <cell r="AR165">
            <v>79.745002746582003</v>
          </cell>
          <cell r="AS165">
            <v>79.681999206542997</v>
          </cell>
          <cell r="AT165">
            <v>79.871002197265597</v>
          </cell>
          <cell r="AU165">
            <v>80.016998291015597</v>
          </cell>
          <cell r="AV165">
            <v>80.170997619628906</v>
          </cell>
          <cell r="AW165">
            <v>80.307998657226605</v>
          </cell>
          <cell r="AX165">
            <v>80.483001708984403</v>
          </cell>
          <cell r="AY165">
            <v>79.666999816894503</v>
          </cell>
          <cell r="AZ165">
            <v>78.936996459960895</v>
          </cell>
          <cell r="BA165">
            <v>79.810997009277301</v>
          </cell>
          <cell r="BB165">
            <v>82.349998474121094</v>
          </cell>
          <cell r="BC165">
            <v>83.141998291015597</v>
          </cell>
          <cell r="BD165">
            <v>83.988998413085895</v>
          </cell>
          <cell r="BE165">
            <v>82.247001647949205</v>
          </cell>
          <cell r="BF165">
            <v>83.986999511718807</v>
          </cell>
          <cell r="BG165">
            <v>81.1510009765625</v>
          </cell>
          <cell r="BH165">
            <v>79.122001647949205</v>
          </cell>
          <cell r="BI165">
            <v>78.527999877929702</v>
          </cell>
          <cell r="BJ165">
            <v>78.0260009765625</v>
          </cell>
          <cell r="BK165">
            <v>78.138000488281307</v>
          </cell>
        </row>
        <row r="166">
          <cell r="B166" t="str">
            <v>MNG</v>
          </cell>
          <cell r="C166" t="str">
            <v>Wage and salaried workers, total (% of total employment) (modeled ILO estimate)</v>
          </cell>
          <cell r="D166" t="str">
            <v>SL.EMP.WORK.ZS</v>
          </cell>
          <cell r="AJ166">
            <v>37.235000610351598</v>
          </cell>
          <cell r="AK166">
            <v>38.150001525878899</v>
          </cell>
          <cell r="AL166">
            <v>38.6049995422363</v>
          </cell>
          <cell r="AM166">
            <v>38.875999450683601</v>
          </cell>
          <cell r="AN166">
            <v>39.033000946044901</v>
          </cell>
          <cell r="AO166">
            <v>39.688999176025398</v>
          </cell>
          <cell r="AP166">
            <v>40.083000183105497</v>
          </cell>
          <cell r="AQ166">
            <v>40.606998443603501</v>
          </cell>
          <cell r="AR166">
            <v>41.1570014953613</v>
          </cell>
          <cell r="AS166">
            <v>42.012001037597699</v>
          </cell>
          <cell r="AT166">
            <v>42.258998870849602</v>
          </cell>
          <cell r="AU166">
            <v>42.515998840332003</v>
          </cell>
          <cell r="AV166">
            <v>42.603000640869098</v>
          </cell>
          <cell r="AW166">
            <v>42.528999328613303</v>
          </cell>
          <cell r="AX166">
            <v>42.7179985046387</v>
          </cell>
          <cell r="AY166">
            <v>42.676998138427699</v>
          </cell>
          <cell r="AZ166">
            <v>42.590000152587898</v>
          </cell>
          <cell r="BA166">
            <v>42.563999176025398</v>
          </cell>
          <cell r="BB166">
            <v>43.048000335693402</v>
          </cell>
          <cell r="BC166">
            <v>42.7039985656738</v>
          </cell>
          <cell r="BD166">
            <v>44.2239990234375</v>
          </cell>
          <cell r="BE166">
            <v>47.696998596191399</v>
          </cell>
          <cell r="BF166">
            <v>49.285999298095703</v>
          </cell>
          <cell r="BG166">
            <v>49.734001159667997</v>
          </cell>
          <cell r="BH166">
            <v>49.2820014953613</v>
          </cell>
          <cell r="BI166">
            <v>51.701000213622997</v>
          </cell>
          <cell r="BJ166">
            <v>49.898998260497997</v>
          </cell>
          <cell r="BK166">
            <v>50.215000152587898</v>
          </cell>
        </row>
        <row r="167">
          <cell r="B167" t="str">
            <v>MNP</v>
          </cell>
          <cell r="C167" t="str">
            <v>Wage and salaried workers, total (% of total employment) (modeled ILO estimate)</v>
          </cell>
          <cell r="D167" t="str">
            <v>SL.EMP.WORK.ZS</v>
          </cell>
        </row>
        <row r="168">
          <cell r="B168" t="str">
            <v>MOZ</v>
          </cell>
          <cell r="C168" t="str">
            <v>Wage and salaried workers, total (% of total employment) (modeled ILO estimate)</v>
          </cell>
          <cell r="D168" t="str">
            <v>SL.EMP.WORK.ZS</v>
          </cell>
          <cell r="AJ168">
            <v>7.3340001106262198</v>
          </cell>
          <cell r="AK168">
            <v>7.40700006484985</v>
          </cell>
          <cell r="AL168">
            <v>7.5139999389648402</v>
          </cell>
          <cell r="AM168">
            <v>7.6170001029968297</v>
          </cell>
          <cell r="AN168">
            <v>7.7170000076293901</v>
          </cell>
          <cell r="AO168">
            <v>7.8860001564025897</v>
          </cell>
          <cell r="AP168">
            <v>8.0310001373290998</v>
          </cell>
          <cell r="AQ168">
            <v>8.1689996719360405</v>
          </cell>
          <cell r="AR168">
            <v>8.2950000762939506</v>
          </cell>
          <cell r="AS168">
            <v>8.3920001983642596</v>
          </cell>
          <cell r="AT168">
            <v>8.5399999618530291</v>
          </cell>
          <cell r="AU168">
            <v>8.6789999008178693</v>
          </cell>
          <cell r="AV168">
            <v>8.7989997863769496</v>
          </cell>
          <cell r="AW168">
            <v>9.1780004501342791</v>
          </cell>
          <cell r="AX168">
            <v>9.5769996643066406</v>
          </cell>
          <cell r="AY168">
            <v>9.9960002899169904</v>
          </cell>
          <cell r="AZ168">
            <v>10.4090003967285</v>
          </cell>
          <cell r="BA168">
            <v>10.83899974823</v>
          </cell>
          <cell r="BB168">
            <v>11.270999908447299</v>
          </cell>
          <cell r="BC168">
            <v>11.711000442504901</v>
          </cell>
          <cell r="BD168">
            <v>12.161999702453601</v>
          </cell>
          <cell r="BE168">
            <v>12.619000434875501</v>
          </cell>
          <cell r="BF168">
            <v>13.0790004730225</v>
          </cell>
          <cell r="BG168">
            <v>13.543999671936</v>
          </cell>
          <cell r="BH168">
            <v>13.998999595642101</v>
          </cell>
          <cell r="BI168">
            <v>14.1149997711182</v>
          </cell>
          <cell r="BJ168">
            <v>14.2200002670288</v>
          </cell>
          <cell r="BK168">
            <v>14.319999694824199</v>
          </cell>
        </row>
        <row r="169">
          <cell r="B169" t="str">
            <v>MRT</v>
          </cell>
          <cell r="C169" t="str">
            <v>Wage and salaried workers, total (% of total employment) (modeled ILO estimate)</v>
          </cell>
          <cell r="D169" t="str">
            <v>SL.EMP.WORK.ZS</v>
          </cell>
          <cell r="AJ169">
            <v>39.514999389648402</v>
          </cell>
          <cell r="AK169">
            <v>39.574001312255902</v>
          </cell>
          <cell r="AL169">
            <v>39.747001647949197</v>
          </cell>
          <cell r="AM169">
            <v>39.652999877929702</v>
          </cell>
          <cell r="AN169">
            <v>39.945999145507798</v>
          </cell>
          <cell r="AO169">
            <v>40.1380004882813</v>
          </cell>
          <cell r="AP169">
            <v>40.007999420166001</v>
          </cell>
          <cell r="AQ169">
            <v>40.090999603271499</v>
          </cell>
          <cell r="AR169">
            <v>40.326999664306598</v>
          </cell>
          <cell r="AS169">
            <v>40.3289985656738</v>
          </cell>
          <cell r="AT169">
            <v>40.449001312255902</v>
          </cell>
          <cell r="AU169">
            <v>40.563999176025398</v>
          </cell>
          <cell r="AV169">
            <v>40.840999603271499</v>
          </cell>
          <cell r="AW169">
            <v>41.104000091552699</v>
          </cell>
          <cell r="AX169">
            <v>41.456001281738303</v>
          </cell>
          <cell r="AY169">
            <v>42.077999114990199</v>
          </cell>
          <cell r="AZ169">
            <v>42.2960014343262</v>
          </cell>
          <cell r="BA169">
            <v>42.412998199462898</v>
          </cell>
          <cell r="BB169">
            <v>42.487998962402301</v>
          </cell>
          <cell r="BC169">
            <v>42.708999633789098</v>
          </cell>
          <cell r="BD169">
            <v>42.930999755859403</v>
          </cell>
          <cell r="BE169">
            <v>43.2239990234375</v>
          </cell>
          <cell r="BF169">
            <v>43.507999420166001</v>
          </cell>
          <cell r="BG169">
            <v>43.812999725341797</v>
          </cell>
          <cell r="BH169">
            <v>43.980998992919901</v>
          </cell>
          <cell r="BI169">
            <v>44.138999938964801</v>
          </cell>
          <cell r="BJ169">
            <v>44.326999664306598</v>
          </cell>
          <cell r="BK169">
            <v>44.547000885009801</v>
          </cell>
        </row>
        <row r="170">
          <cell r="B170" t="str">
            <v>MUS</v>
          </cell>
          <cell r="C170" t="str">
            <v>Wage and salaried workers, total (% of total employment) (modeled ILO estimate)</v>
          </cell>
          <cell r="D170" t="str">
            <v>SL.EMP.WORK.ZS</v>
          </cell>
          <cell r="AJ170">
            <v>79.279998779296903</v>
          </cell>
          <cell r="AK170">
            <v>79.352996826171903</v>
          </cell>
          <cell r="AL170">
            <v>79.424003601074205</v>
          </cell>
          <cell r="AM170">
            <v>79.494003295898395</v>
          </cell>
          <cell r="AN170">
            <v>79.564002990722699</v>
          </cell>
          <cell r="AO170">
            <v>79.634002685546903</v>
          </cell>
          <cell r="AP170">
            <v>79.7030029296875</v>
          </cell>
          <cell r="AQ170">
            <v>79.771003723144503</v>
          </cell>
          <cell r="AR170">
            <v>79.836997985839801</v>
          </cell>
          <cell r="AS170">
            <v>79.903999328613295</v>
          </cell>
          <cell r="AT170">
            <v>79.970001220703097</v>
          </cell>
          <cell r="AU170">
            <v>79.542999267578097</v>
          </cell>
          <cell r="AV170">
            <v>77.069999694824205</v>
          </cell>
          <cell r="AW170">
            <v>80.278999328613295</v>
          </cell>
          <cell r="AX170">
            <v>80.700996398925795</v>
          </cell>
          <cell r="AY170">
            <v>80.827003479003906</v>
          </cell>
          <cell r="AZ170">
            <v>79.810997009277301</v>
          </cell>
          <cell r="BA170">
            <v>80.286003112792997</v>
          </cell>
          <cell r="BB170">
            <v>80.157997131347699</v>
          </cell>
          <cell r="BC170">
            <v>79.767997741699205</v>
          </cell>
          <cell r="BD170">
            <v>80.622001647949205</v>
          </cell>
          <cell r="BE170">
            <v>79.566001892089801</v>
          </cell>
          <cell r="BF170">
            <v>79.206001281738295</v>
          </cell>
          <cell r="BG170">
            <v>79.308998107910199</v>
          </cell>
          <cell r="BH170">
            <v>79.102996826171903</v>
          </cell>
          <cell r="BI170">
            <v>79.422996520996094</v>
          </cell>
          <cell r="BJ170">
            <v>79.396003723144503</v>
          </cell>
          <cell r="BK170">
            <v>79.458999633789105</v>
          </cell>
        </row>
        <row r="171">
          <cell r="B171" t="str">
            <v>MWI</v>
          </cell>
          <cell r="C171" t="str">
            <v>Wage and salaried workers, total (% of total employment) (modeled ILO estimate)</v>
          </cell>
          <cell r="D171" t="str">
            <v>SL.EMP.WORK.ZS</v>
          </cell>
          <cell r="AJ171">
            <v>35.168998718261697</v>
          </cell>
          <cell r="AK171">
            <v>35.120998382568402</v>
          </cell>
          <cell r="AL171">
            <v>35.450000762939503</v>
          </cell>
          <cell r="AM171">
            <v>35.355998992919901</v>
          </cell>
          <cell r="AN171">
            <v>35.791999816894503</v>
          </cell>
          <cell r="AO171">
            <v>36.0390014648438</v>
          </cell>
          <cell r="AP171">
            <v>36.201000213622997</v>
          </cell>
          <cell r="AQ171">
            <v>36.354000091552699</v>
          </cell>
          <cell r="AR171">
            <v>36.472999572753899</v>
          </cell>
          <cell r="AS171">
            <v>36.563999176025398</v>
          </cell>
          <cell r="AT171">
            <v>36.5200004577637</v>
          </cell>
          <cell r="AU171">
            <v>36.620998382568402</v>
          </cell>
          <cell r="AV171">
            <v>36.805000305175803</v>
          </cell>
          <cell r="AW171">
            <v>36.988998413085902</v>
          </cell>
          <cell r="AX171">
            <v>37.127998352050803</v>
          </cell>
          <cell r="AY171">
            <v>37.291999816894503</v>
          </cell>
          <cell r="AZ171">
            <v>37.554000854492202</v>
          </cell>
          <cell r="BA171">
            <v>37.786998748779297</v>
          </cell>
          <cell r="BB171">
            <v>38.030998229980497</v>
          </cell>
          <cell r="BC171">
            <v>38.248001098632798</v>
          </cell>
          <cell r="BD171">
            <v>38.423999786377003</v>
          </cell>
          <cell r="BE171">
            <v>38.535999298095703</v>
          </cell>
          <cell r="BF171">
            <v>38.7179985046387</v>
          </cell>
          <cell r="BG171">
            <v>38.912998199462898</v>
          </cell>
          <cell r="BH171">
            <v>39.048999786377003</v>
          </cell>
          <cell r="BI171">
            <v>39.180999755859403</v>
          </cell>
          <cell r="BJ171">
            <v>39.347999572753899</v>
          </cell>
          <cell r="BK171">
            <v>39.506999969482401</v>
          </cell>
        </row>
        <row r="172">
          <cell r="B172" t="str">
            <v>MYS</v>
          </cell>
          <cell r="C172" t="str">
            <v>Wage and salaried workers, total (% of total employment) (modeled ILO estimate)</v>
          </cell>
          <cell r="D172" t="str">
            <v>SL.EMP.WORK.ZS</v>
          </cell>
          <cell r="AJ172">
            <v>71.444999694824205</v>
          </cell>
          <cell r="AK172">
            <v>71.754997253417997</v>
          </cell>
          <cell r="AL172">
            <v>72.068000793457003</v>
          </cell>
          <cell r="AM172">
            <v>72.364997863769503</v>
          </cell>
          <cell r="AN172">
            <v>72.642997741699205</v>
          </cell>
          <cell r="AO172">
            <v>72.285003662109403</v>
          </cell>
          <cell r="AP172">
            <v>74.461997985839801</v>
          </cell>
          <cell r="AQ172">
            <v>73.350997924804702</v>
          </cell>
          <cell r="AR172">
            <v>74.708000183105497</v>
          </cell>
          <cell r="AS172">
            <v>74.251998901367202</v>
          </cell>
          <cell r="AT172">
            <v>75.416000366210895</v>
          </cell>
          <cell r="AU172">
            <v>76.711997985839801</v>
          </cell>
          <cell r="AV172">
            <v>76.234001159667997</v>
          </cell>
          <cell r="AW172">
            <v>74.602996826171903</v>
          </cell>
          <cell r="AX172">
            <v>75.491996765136705</v>
          </cell>
          <cell r="AY172">
            <v>74.282997131347699</v>
          </cell>
          <cell r="AZ172">
            <v>74.245002746582003</v>
          </cell>
          <cell r="BA172">
            <v>74.591003417968807</v>
          </cell>
          <cell r="BB172">
            <v>74.821998596191406</v>
          </cell>
          <cell r="BC172">
            <v>74.833000183105497</v>
          </cell>
          <cell r="BD172">
            <v>76.781997680664105</v>
          </cell>
          <cell r="BE172">
            <v>75.036003112792997</v>
          </cell>
          <cell r="BF172">
            <v>74.367996215820298</v>
          </cell>
          <cell r="BG172">
            <v>75.419998168945298</v>
          </cell>
          <cell r="BH172">
            <v>73.896003723144503</v>
          </cell>
          <cell r="BI172">
            <v>74.374000549316406</v>
          </cell>
          <cell r="BJ172">
            <v>74.492996215820298</v>
          </cell>
          <cell r="BK172">
            <v>74.616996765136705</v>
          </cell>
        </row>
        <row r="173">
          <cell r="B173" t="str">
            <v>NAC</v>
          </cell>
          <cell r="C173" t="str">
            <v>Wage and salaried workers, total (% of total employment) (modeled ILO estimate)</v>
          </cell>
          <cell r="D173" t="str">
            <v>SL.EMP.WORK.ZS</v>
          </cell>
          <cell r="AJ173">
            <v>90.413560022845616</v>
          </cell>
          <cell r="AK173">
            <v>90.675170943262572</v>
          </cell>
          <cell r="AL173">
            <v>90.517429877898223</v>
          </cell>
          <cell r="AM173">
            <v>90.556045920299965</v>
          </cell>
          <cell r="AN173">
            <v>90.764619240196211</v>
          </cell>
          <cell r="AO173">
            <v>90.822587569987775</v>
          </cell>
          <cell r="AP173">
            <v>90.890364828599147</v>
          </cell>
          <cell r="AQ173">
            <v>91.175152641290964</v>
          </cell>
          <cell r="AR173">
            <v>91.450804566105575</v>
          </cell>
          <cell r="AS173">
            <v>91.606487713641201</v>
          </cell>
          <cell r="AT173">
            <v>91.757930446445215</v>
          </cell>
          <cell r="AU173">
            <v>91.850681912547159</v>
          </cell>
          <cell r="AV173">
            <v>91.629154693959819</v>
          </cell>
          <cell r="AW173">
            <v>91.616948990667623</v>
          </cell>
          <cell r="AX173">
            <v>91.694933887592498</v>
          </cell>
          <cell r="AY173">
            <v>91.790862012112058</v>
          </cell>
          <cell r="AZ173">
            <v>91.919827713612406</v>
          </cell>
          <cell r="BA173">
            <v>92.079426162032092</v>
          </cell>
          <cell r="BB173">
            <v>91.939983054806603</v>
          </cell>
          <cell r="BC173">
            <v>91.99760749662704</v>
          </cell>
          <cell r="BD173">
            <v>92.231275921995959</v>
          </cell>
          <cell r="BE173">
            <v>92.308885587433807</v>
          </cell>
          <cell r="BF173">
            <v>92.436310553790079</v>
          </cell>
          <cell r="BG173">
            <v>92.592801658388666</v>
          </cell>
          <cell r="BH173">
            <v>92.595682473457259</v>
          </cell>
          <cell r="BI173">
            <v>92.658749046107033</v>
          </cell>
          <cell r="BJ173">
            <v>92.783407402350718</v>
          </cell>
          <cell r="BK173">
            <v>92.745875461342976</v>
          </cell>
        </row>
        <row r="174">
          <cell r="B174" t="str">
            <v>NAM</v>
          </cell>
          <cell r="C174" t="str">
            <v>Wage and salaried workers, total (% of total employment) (modeled ILO estimate)</v>
          </cell>
          <cell r="D174" t="str">
            <v>SL.EMP.WORK.ZS</v>
          </cell>
          <cell r="AJ174">
            <v>63.766998291015597</v>
          </cell>
          <cell r="AK174">
            <v>64.004997253417997</v>
          </cell>
          <cell r="AL174">
            <v>64.233001708984403</v>
          </cell>
          <cell r="AM174">
            <v>64.470001220703097</v>
          </cell>
          <cell r="AN174">
            <v>64.714996337890597</v>
          </cell>
          <cell r="AO174">
            <v>64.958000183105497</v>
          </cell>
          <cell r="AP174">
            <v>65.204002380371094</v>
          </cell>
          <cell r="AQ174">
            <v>65.146003723144503</v>
          </cell>
          <cell r="AR174">
            <v>65.072998046875</v>
          </cell>
          <cell r="AS174">
            <v>64.986999511718807</v>
          </cell>
          <cell r="AT174">
            <v>64.879997253417997</v>
          </cell>
          <cell r="AU174">
            <v>64.825996398925795</v>
          </cell>
          <cell r="AV174">
            <v>64.763999938964801</v>
          </cell>
          <cell r="AW174">
            <v>64.700996398925795</v>
          </cell>
          <cell r="AX174">
            <v>64.600997924804702</v>
          </cell>
          <cell r="AY174">
            <v>64.490997314453097</v>
          </cell>
          <cell r="AZ174">
            <v>64.359001159667997</v>
          </cell>
          <cell r="BA174">
            <v>64.207000732421903</v>
          </cell>
          <cell r="BB174">
            <v>64.033996582031307</v>
          </cell>
          <cell r="BC174">
            <v>63.853000640869098</v>
          </cell>
          <cell r="BD174">
            <v>63.652999877929702</v>
          </cell>
          <cell r="BE174">
            <v>63.441001892089801</v>
          </cell>
          <cell r="BF174">
            <v>63.883998870849602</v>
          </cell>
          <cell r="BG174">
            <v>66.150001525878906</v>
          </cell>
          <cell r="BH174">
            <v>68.390998840332003</v>
          </cell>
          <cell r="BI174">
            <v>70.364997863769503</v>
          </cell>
          <cell r="BJ174">
            <v>66.570999145507798</v>
          </cell>
          <cell r="BK174">
            <v>62.448001861572301</v>
          </cell>
        </row>
        <row r="175">
          <cell r="B175" t="str">
            <v>NCL</v>
          </cell>
          <cell r="C175" t="str">
            <v>Wage and salaried workers, total (% of total employment) (modeled ILO estimate)</v>
          </cell>
          <cell r="D175" t="str">
            <v>SL.EMP.WORK.ZS</v>
          </cell>
          <cell r="AJ175">
            <v>83.793998718261705</v>
          </cell>
          <cell r="AK175">
            <v>83.7760009765625</v>
          </cell>
          <cell r="AL175">
            <v>83.678001403808594</v>
          </cell>
          <cell r="AM175">
            <v>83.698997497558594</v>
          </cell>
          <cell r="AN175">
            <v>83.866996765136705</v>
          </cell>
          <cell r="AO175">
            <v>83.793998718261705</v>
          </cell>
          <cell r="AP175">
            <v>83.545997619628906</v>
          </cell>
          <cell r="AQ175">
            <v>83.260002136230497</v>
          </cell>
          <cell r="AR175">
            <v>83.021003723144503</v>
          </cell>
          <cell r="AS175">
            <v>82.842002868652301</v>
          </cell>
          <cell r="AT175">
            <v>82.827003479003906</v>
          </cell>
          <cell r="AU175">
            <v>82.696998596191406</v>
          </cell>
          <cell r="AV175">
            <v>82.660003662109403</v>
          </cell>
          <cell r="AW175">
            <v>82.587997436523395</v>
          </cell>
          <cell r="AX175">
            <v>82.589996337890597</v>
          </cell>
          <cell r="AY175">
            <v>82.581001281738295</v>
          </cell>
          <cell r="AZ175">
            <v>82.491996765136705</v>
          </cell>
          <cell r="BA175">
            <v>82.584999084472699</v>
          </cell>
          <cell r="BB175">
            <v>82.616996765136705</v>
          </cell>
          <cell r="BC175">
            <v>82.733001708984403</v>
          </cell>
          <cell r="BD175">
            <v>82.730003356933594</v>
          </cell>
          <cell r="BE175">
            <v>82.6719970703125</v>
          </cell>
          <cell r="BF175">
            <v>82.542999267578097</v>
          </cell>
          <cell r="BG175">
            <v>82.516998291015597</v>
          </cell>
          <cell r="BH175">
            <v>82.674003601074205</v>
          </cell>
          <cell r="BI175">
            <v>82.787002563476605</v>
          </cell>
          <cell r="BJ175">
            <v>82.894996643066406</v>
          </cell>
          <cell r="BK175">
            <v>83.024002075195298</v>
          </cell>
        </row>
        <row r="176">
          <cell r="B176" t="str">
            <v>NER</v>
          </cell>
          <cell r="C176" t="str">
            <v>Wage and salaried workers, total (% of total employment) (modeled ILO estimate)</v>
          </cell>
          <cell r="D176" t="str">
            <v>SL.EMP.WORK.ZS</v>
          </cell>
          <cell r="AJ176">
            <v>8.5740003585815394</v>
          </cell>
          <cell r="AK176">
            <v>8.5369997024536097</v>
          </cell>
          <cell r="AL176">
            <v>8.5670003890991193</v>
          </cell>
          <cell r="AM176">
            <v>8.6149997711181605</v>
          </cell>
          <cell r="AN176">
            <v>8.6560001373290998</v>
          </cell>
          <cell r="AO176">
            <v>8.7030000686645508</v>
          </cell>
          <cell r="AP176">
            <v>8.7469997406005895</v>
          </cell>
          <cell r="AQ176">
            <v>8.8500003814697301</v>
          </cell>
          <cell r="AR176">
            <v>8.8710002899169904</v>
          </cell>
          <cell r="AS176">
            <v>8.8870000839233398</v>
          </cell>
          <cell r="AT176">
            <v>8.9709997177124006</v>
          </cell>
          <cell r="AU176">
            <v>9.0229997634887695</v>
          </cell>
          <cell r="AV176">
            <v>9.0950002670288104</v>
          </cell>
          <cell r="AW176">
            <v>9.1280002593994105</v>
          </cell>
          <cell r="AX176">
            <v>9.1979999542236293</v>
          </cell>
          <cell r="AY176">
            <v>9.2819995880127006</v>
          </cell>
          <cell r="AZ176">
            <v>9.3479995727539098</v>
          </cell>
          <cell r="BA176">
            <v>9.4659996032714808</v>
          </cell>
          <cell r="BB176">
            <v>9.5039997100830096</v>
          </cell>
          <cell r="BC176">
            <v>9.6169996261596697</v>
          </cell>
          <cell r="BD176">
            <v>9.6850004196166992</v>
          </cell>
          <cell r="BE176">
            <v>8.0139999389648402</v>
          </cell>
          <cell r="BF176">
            <v>6.5520000457763699</v>
          </cell>
          <cell r="BG176">
            <v>5.3390002250671396</v>
          </cell>
          <cell r="BH176">
            <v>5.3940000534057599</v>
          </cell>
          <cell r="BI176">
            <v>5.4539999961853001</v>
          </cell>
          <cell r="BJ176">
            <v>5.5159997940063503</v>
          </cell>
          <cell r="BK176">
            <v>5.5799999237060502</v>
          </cell>
        </row>
        <row r="177">
          <cell r="B177" t="str">
            <v>NGA</v>
          </cell>
          <cell r="C177" t="str">
            <v>Wage and salaried workers, total (% of total employment) (modeled ILO estimate)</v>
          </cell>
          <cell r="D177" t="str">
            <v>SL.EMP.WORK.ZS</v>
          </cell>
          <cell r="AJ177">
            <v>15.6990003585815</v>
          </cell>
          <cell r="AK177">
            <v>15.829999923706101</v>
          </cell>
          <cell r="AL177">
            <v>15.831999778747599</v>
          </cell>
          <cell r="AM177">
            <v>15.83899974823</v>
          </cell>
          <cell r="AN177">
            <v>15.8830003738403</v>
          </cell>
          <cell r="AO177">
            <v>16.011999130248999</v>
          </cell>
          <cell r="AP177">
            <v>16.120000839233398</v>
          </cell>
          <cell r="AQ177">
            <v>16.222999572753899</v>
          </cell>
          <cell r="AR177">
            <v>16.288999557495099</v>
          </cell>
          <cell r="AS177">
            <v>16.44700050354</v>
          </cell>
          <cell r="AT177">
            <v>16.625</v>
          </cell>
          <cell r="AU177">
            <v>16.981000900268601</v>
          </cell>
          <cell r="AV177">
            <v>17.193000793456999</v>
          </cell>
          <cell r="AW177">
            <v>17.441999435424801</v>
          </cell>
          <cell r="AX177">
            <v>17.638999938964801</v>
          </cell>
          <cell r="AY177">
            <v>17.8290004730225</v>
          </cell>
          <cell r="AZ177">
            <v>18.028999328613299</v>
          </cell>
          <cell r="BA177">
            <v>18.232000350952099</v>
          </cell>
          <cell r="BB177">
            <v>18.4570007324219</v>
          </cell>
          <cell r="BC177">
            <v>18.680000305175799</v>
          </cell>
          <cell r="BD177">
            <v>18.849000930786101</v>
          </cell>
          <cell r="BE177">
            <v>18.4340000152588</v>
          </cell>
          <cell r="BF177">
            <v>18.068000793456999</v>
          </cell>
          <cell r="BG177">
            <v>18.238000869751001</v>
          </cell>
          <cell r="BH177">
            <v>18.336999893188501</v>
          </cell>
          <cell r="BI177">
            <v>18.347000122070298</v>
          </cell>
          <cell r="BJ177">
            <v>18.402999877929702</v>
          </cell>
          <cell r="BK177">
            <v>18.478000640869102</v>
          </cell>
        </row>
        <row r="178">
          <cell r="B178" t="str">
            <v>NIC</v>
          </cell>
          <cell r="C178" t="str">
            <v>Wage and salaried workers, total (% of total employment) (modeled ILO estimate)</v>
          </cell>
          <cell r="D178" t="str">
            <v>SL.EMP.WORK.ZS</v>
          </cell>
          <cell r="AJ178">
            <v>54.938999176025398</v>
          </cell>
          <cell r="AK178">
            <v>54.820999145507798</v>
          </cell>
          <cell r="AL178">
            <v>54.728000640869098</v>
          </cell>
          <cell r="AM178">
            <v>54.603000640869098</v>
          </cell>
          <cell r="AN178">
            <v>54.346000671386697</v>
          </cell>
          <cell r="AO178">
            <v>54.005001068115199</v>
          </cell>
          <cell r="AP178">
            <v>53.402000427246101</v>
          </cell>
          <cell r="AQ178">
            <v>52.786998748779297</v>
          </cell>
          <cell r="AR178">
            <v>52.3689994812012</v>
          </cell>
          <cell r="AS178">
            <v>51.536998748779297</v>
          </cell>
          <cell r="AT178">
            <v>50.2890014648438</v>
          </cell>
          <cell r="AU178">
            <v>48.735000610351598</v>
          </cell>
          <cell r="AV178">
            <v>47.169998168945298</v>
          </cell>
          <cell r="AW178">
            <v>49.000999450683601</v>
          </cell>
          <cell r="AX178">
            <v>49.930000305175803</v>
          </cell>
          <cell r="AY178">
            <v>50.7700004577637</v>
          </cell>
          <cell r="AZ178">
            <v>50.709999084472699</v>
          </cell>
          <cell r="BA178">
            <v>50.625999450683601</v>
          </cell>
          <cell r="BB178">
            <v>50.625</v>
          </cell>
          <cell r="BC178">
            <v>51.470001220703097</v>
          </cell>
          <cell r="BD178">
            <v>52.278999328613303</v>
          </cell>
          <cell r="BE178">
            <v>53.074001312255902</v>
          </cell>
          <cell r="BF178">
            <v>53.702999114990199</v>
          </cell>
          <cell r="BG178">
            <v>54.2560005187988</v>
          </cell>
          <cell r="BH178">
            <v>54.347999572753899</v>
          </cell>
          <cell r="BI178">
            <v>54.4679985046387</v>
          </cell>
          <cell r="BJ178">
            <v>54.576000213622997</v>
          </cell>
          <cell r="BK178">
            <v>54.178001403808601</v>
          </cell>
        </row>
        <row r="179">
          <cell r="B179" t="str">
            <v>NLD</v>
          </cell>
          <cell r="C179" t="str">
            <v>Wage and salaried workers, total (% of total employment) (modeled ILO estimate)</v>
          </cell>
          <cell r="D179" t="str">
            <v>SL.EMP.WORK.ZS</v>
          </cell>
          <cell r="AJ179">
            <v>88.552001953125</v>
          </cell>
          <cell r="AK179">
            <v>88.614997863769503</v>
          </cell>
          <cell r="AL179">
            <v>88.242996215820298</v>
          </cell>
          <cell r="AM179">
            <v>87.608001708984403</v>
          </cell>
          <cell r="AN179">
            <v>87.299003601074205</v>
          </cell>
          <cell r="AO179">
            <v>87.742996215820298</v>
          </cell>
          <cell r="AP179">
            <v>87.625</v>
          </cell>
          <cell r="AQ179">
            <v>88.350997924804702</v>
          </cell>
          <cell r="AR179">
            <v>88.504997253417997</v>
          </cell>
          <cell r="AS179">
            <v>88.786003112792997</v>
          </cell>
          <cell r="AT179">
            <v>88.444999694824205</v>
          </cell>
          <cell r="AU179">
            <v>88.331001281738295</v>
          </cell>
          <cell r="AV179">
            <v>88.585998535156307</v>
          </cell>
          <cell r="AW179">
            <v>87.898002624511705</v>
          </cell>
          <cell r="AX179">
            <v>86.331001281738295</v>
          </cell>
          <cell r="AY179">
            <v>86.103996276855497</v>
          </cell>
          <cell r="AZ179">
            <v>85.908996582031307</v>
          </cell>
          <cell r="BA179">
            <v>85.653999328613295</v>
          </cell>
          <cell r="BB179">
            <v>85.170997619628906</v>
          </cell>
          <cell r="BC179">
            <v>84.908996582031307</v>
          </cell>
          <cell r="BD179">
            <v>84.847999572753906</v>
          </cell>
          <cell r="BE179">
            <v>84.637001037597699</v>
          </cell>
          <cell r="BF179">
            <v>83.947998046875</v>
          </cell>
          <cell r="BG179">
            <v>83.385002136230497</v>
          </cell>
          <cell r="BH179">
            <v>83.158996582031307</v>
          </cell>
          <cell r="BI179">
            <v>83.185997009277301</v>
          </cell>
          <cell r="BJ179">
            <v>83.264999389648395</v>
          </cell>
          <cell r="BK179">
            <v>83.307998657226605</v>
          </cell>
        </row>
        <row r="180">
          <cell r="B180" t="str">
            <v>NOR</v>
          </cell>
          <cell r="C180" t="str">
            <v>Wage and salaried workers, total (% of total employment) (modeled ILO estimate)</v>
          </cell>
          <cell r="D180" t="str">
            <v>SL.EMP.WORK.ZS</v>
          </cell>
          <cell r="AJ180">
            <v>89.204002380371094</v>
          </cell>
          <cell r="AK180">
            <v>89.390998840332003</v>
          </cell>
          <cell r="AL180">
            <v>89.619003295898395</v>
          </cell>
          <cell r="AM180">
            <v>89.964996337890597</v>
          </cell>
          <cell r="AN180">
            <v>90.478996276855497</v>
          </cell>
          <cell r="AO180">
            <v>91.164001464843807</v>
          </cell>
          <cell r="AP180">
            <v>91.5469970703125</v>
          </cell>
          <cell r="AQ180">
            <v>91.477996826171903</v>
          </cell>
          <cell r="AR180">
            <v>92.2760009765625</v>
          </cell>
          <cell r="AS180">
            <v>92.488998413085895</v>
          </cell>
          <cell r="AT180">
            <v>92.681999206542997</v>
          </cell>
          <cell r="AU180">
            <v>92.725997924804702</v>
          </cell>
          <cell r="AV180">
            <v>92.603996276855497</v>
          </cell>
          <cell r="AW180">
            <v>92.495002746582003</v>
          </cell>
          <cell r="AX180">
            <v>92.579002380371094</v>
          </cell>
          <cell r="AY180">
            <v>91.539001464843807</v>
          </cell>
          <cell r="AZ180">
            <v>92.001998901367202</v>
          </cell>
          <cell r="BA180">
            <v>92.218002319335895</v>
          </cell>
          <cell r="BB180">
            <v>91.917999267578097</v>
          </cell>
          <cell r="BC180">
            <v>92.283996582031307</v>
          </cell>
          <cell r="BD180">
            <v>92.985000610351605</v>
          </cell>
          <cell r="BE180">
            <v>93.055000305175795</v>
          </cell>
          <cell r="BF180">
            <v>93.015998840332003</v>
          </cell>
          <cell r="BG180">
            <v>92.790000915527301</v>
          </cell>
          <cell r="BH180">
            <v>92.976997375488295</v>
          </cell>
          <cell r="BI180">
            <v>93.044998168945298</v>
          </cell>
          <cell r="BJ180">
            <v>93.476997375488295</v>
          </cell>
          <cell r="BK180">
            <v>93.544998168945298</v>
          </cell>
        </row>
        <row r="181">
          <cell r="B181" t="str">
            <v>NPL</v>
          </cell>
          <cell r="C181" t="str">
            <v>Wage and salaried workers, total (% of total employment) (modeled ILO estimate)</v>
          </cell>
          <cell r="D181" t="str">
            <v>SL.EMP.WORK.ZS</v>
          </cell>
          <cell r="AJ181">
            <v>13.9969997406006</v>
          </cell>
          <cell r="AK181">
            <v>14.156999588012701</v>
          </cell>
          <cell r="AL181">
            <v>14.319999694824199</v>
          </cell>
          <cell r="AM181">
            <v>14.5740003585815</v>
          </cell>
          <cell r="AN181">
            <v>14.7329998016357</v>
          </cell>
          <cell r="AO181">
            <v>14.9469995498657</v>
          </cell>
          <cell r="AP181">
            <v>15.1599998474121</v>
          </cell>
          <cell r="AQ181">
            <v>15.338000297546399</v>
          </cell>
          <cell r="AR181">
            <v>15.5590000152588</v>
          </cell>
          <cell r="AS181">
            <v>15.8210000991821</v>
          </cell>
          <cell r="AT181">
            <v>16.059999465942401</v>
          </cell>
          <cell r="AU181">
            <v>16.170000076293899</v>
          </cell>
          <cell r="AV181">
            <v>16.379999160766602</v>
          </cell>
          <cell r="AW181">
            <v>16.603000640869102</v>
          </cell>
          <cell r="AX181">
            <v>16.80299949646</v>
          </cell>
          <cell r="AY181">
            <v>17.0090007781982</v>
          </cell>
          <cell r="AZ181">
            <v>17.221000671386701</v>
          </cell>
          <cell r="BA181">
            <v>17.497999191284201</v>
          </cell>
          <cell r="BB181">
            <v>17.7439994812012</v>
          </cell>
          <cell r="BC181">
            <v>18.010999679565401</v>
          </cell>
          <cell r="BD181">
            <v>18.257999420166001</v>
          </cell>
          <cell r="BE181">
            <v>18.549999237060501</v>
          </cell>
          <cell r="BF181">
            <v>18.827999114990199</v>
          </cell>
          <cell r="BG181">
            <v>19.149999618530298</v>
          </cell>
          <cell r="BH181">
            <v>19.400999069213899</v>
          </cell>
          <cell r="BI181">
            <v>19.593000411987301</v>
          </cell>
          <cell r="BJ181">
            <v>19.951999664306602</v>
          </cell>
          <cell r="BK181">
            <v>20.247999191284201</v>
          </cell>
        </row>
        <row r="182">
          <cell r="B182" t="str">
            <v>NRU</v>
          </cell>
          <cell r="C182" t="str">
            <v>Wage and salaried workers, total (% of total employment) (modeled ILO estimate)</v>
          </cell>
          <cell r="D182" t="str">
            <v>SL.EMP.WORK.ZS</v>
          </cell>
        </row>
        <row r="183">
          <cell r="B183" t="str">
            <v>NZL</v>
          </cell>
          <cell r="C183" t="str">
            <v>Wage and salaried workers, total (% of total employment) (modeled ILO estimate)</v>
          </cell>
          <cell r="D183" t="str">
            <v>SL.EMP.WORK.ZS</v>
          </cell>
          <cell r="AJ183">
            <v>79.712997436523395</v>
          </cell>
          <cell r="AK183">
            <v>78.938003540039105</v>
          </cell>
          <cell r="AL183">
            <v>78.989997863769503</v>
          </cell>
          <cell r="AM183">
            <v>79.100997924804702</v>
          </cell>
          <cell r="AN183">
            <v>79.152999877929702</v>
          </cell>
          <cell r="AO183">
            <v>79.097999572753906</v>
          </cell>
          <cell r="AP183">
            <v>79.989997863769503</v>
          </cell>
          <cell r="AQ183">
            <v>79.682998657226605</v>
          </cell>
          <cell r="AR183">
            <v>78.9739990234375</v>
          </cell>
          <cell r="AS183">
            <v>79.334999084472699</v>
          </cell>
          <cell r="AT183">
            <v>80.245002746582003</v>
          </cell>
          <cell r="AU183">
            <v>80.722000122070298</v>
          </cell>
          <cell r="AV183">
            <v>80.699996948242202</v>
          </cell>
          <cell r="AW183">
            <v>80.780998229980497</v>
          </cell>
          <cell r="AX183">
            <v>81.444999694824205</v>
          </cell>
          <cell r="AY183">
            <v>82.322998046875</v>
          </cell>
          <cell r="AZ183">
            <v>82.775001525878906</v>
          </cell>
          <cell r="BA183">
            <v>82.730003356933594</v>
          </cell>
          <cell r="BB183">
            <v>83.540000915527301</v>
          </cell>
          <cell r="BC183">
            <v>83.754997253417997</v>
          </cell>
          <cell r="BD183">
            <v>83.236000061035199</v>
          </cell>
          <cell r="BE183">
            <v>83.372001647949205</v>
          </cell>
          <cell r="BF183">
            <v>84.596000671386705</v>
          </cell>
          <cell r="BG183">
            <v>84.748001098632798</v>
          </cell>
          <cell r="BH183">
            <v>85.2030029296875</v>
          </cell>
          <cell r="BI183">
            <v>82.117996215820298</v>
          </cell>
          <cell r="BJ183">
            <v>81.438003540039105</v>
          </cell>
          <cell r="BK183">
            <v>81.814002990722699</v>
          </cell>
        </row>
        <row r="184">
          <cell r="B184" t="str">
            <v>OED</v>
          </cell>
          <cell r="C184" t="str">
            <v>Wage and salaried workers, total (% of total employment) (modeled ILO estimate)</v>
          </cell>
          <cell r="D184" t="str">
            <v>SL.EMP.WORK.ZS</v>
          </cell>
          <cell r="AJ184">
            <v>79.803892921350652</v>
          </cell>
          <cell r="AK184">
            <v>79.986209424001927</v>
          </cell>
          <cell r="AL184">
            <v>80.136530476077624</v>
          </cell>
          <cell r="AM184">
            <v>80.298487772325643</v>
          </cell>
          <cell r="AN184">
            <v>80.680510242988703</v>
          </cell>
          <cell r="AO184">
            <v>80.920533911396348</v>
          </cell>
          <cell r="AP184">
            <v>80.973148160266391</v>
          </cell>
          <cell r="AQ184">
            <v>81.379627015745058</v>
          </cell>
          <cell r="AR184">
            <v>81.675929105547027</v>
          </cell>
          <cell r="AS184">
            <v>82.18064822566609</v>
          </cell>
          <cell r="AT184">
            <v>82.268675072034043</v>
          </cell>
          <cell r="AU184">
            <v>82.389416546093429</v>
          </cell>
          <cell r="AV184">
            <v>82.400798686988125</v>
          </cell>
          <cell r="AW184">
            <v>82.511580500556533</v>
          </cell>
          <cell r="AX184">
            <v>82.769906493827264</v>
          </cell>
          <cell r="AY184">
            <v>83.086813156793539</v>
          </cell>
          <cell r="AZ184">
            <v>83.376021365074834</v>
          </cell>
          <cell r="BA184">
            <v>83.65451661296855</v>
          </cell>
          <cell r="BB184">
            <v>83.506731988251772</v>
          </cell>
          <cell r="BC184">
            <v>83.577908042983765</v>
          </cell>
          <cell r="BD184">
            <v>83.693491900785062</v>
          </cell>
          <cell r="BE184">
            <v>83.869931912672882</v>
          </cell>
          <cell r="BF184">
            <v>84.045772013587566</v>
          </cell>
          <cell r="BG184">
            <v>84.284838970053826</v>
          </cell>
          <cell r="BH184">
            <v>84.472357656927471</v>
          </cell>
          <cell r="BI184">
            <v>84.626016682114226</v>
          </cell>
          <cell r="BJ184">
            <v>84.759855899359081</v>
          </cell>
          <cell r="BK184">
            <v>84.875899355484947</v>
          </cell>
        </row>
        <row r="185">
          <cell r="B185" t="str">
            <v>OMN</v>
          </cell>
          <cell r="C185" t="str">
            <v>Wage and salaried workers, total (% of total employment) (modeled ILO estimate)</v>
          </cell>
          <cell r="D185" t="str">
            <v>SL.EMP.WORK.ZS</v>
          </cell>
          <cell r="AJ185">
            <v>86.532997131347699</v>
          </cell>
          <cell r="AK185">
            <v>86.716003417968807</v>
          </cell>
          <cell r="AL185">
            <v>86.846000671386705</v>
          </cell>
          <cell r="AM185">
            <v>86.915000915527301</v>
          </cell>
          <cell r="AN185">
            <v>86.986999511718807</v>
          </cell>
          <cell r="AO185">
            <v>86.974998474121094</v>
          </cell>
          <cell r="AP185">
            <v>87.461997985839801</v>
          </cell>
          <cell r="AQ185">
            <v>87.884002685546903</v>
          </cell>
          <cell r="AR185">
            <v>88.111999511718807</v>
          </cell>
          <cell r="AS185">
            <v>88.471000671386705</v>
          </cell>
          <cell r="AT185">
            <v>89.817001342773395</v>
          </cell>
          <cell r="AU185">
            <v>90.865997314453097</v>
          </cell>
          <cell r="AV185">
            <v>91.763000488281307</v>
          </cell>
          <cell r="AW185">
            <v>92.648002624511705</v>
          </cell>
          <cell r="AX185">
            <v>93.432998657226605</v>
          </cell>
          <cell r="AY185">
            <v>94.199996948242202</v>
          </cell>
          <cell r="AZ185">
            <v>94.863998413085895</v>
          </cell>
          <cell r="BA185">
            <v>95.454002380371094</v>
          </cell>
          <cell r="BB185">
            <v>95.982002258300795</v>
          </cell>
          <cell r="BC185">
            <v>96.385002136230497</v>
          </cell>
          <cell r="BD185">
            <v>96.291000366210895</v>
          </cell>
          <cell r="BE185">
            <v>96.316001892089801</v>
          </cell>
          <cell r="BF185">
            <v>96.2969970703125</v>
          </cell>
          <cell r="BG185">
            <v>96.265998840332003</v>
          </cell>
          <cell r="BH185">
            <v>96.279998779296903</v>
          </cell>
          <cell r="BI185">
            <v>96.287002563476605</v>
          </cell>
          <cell r="BJ185">
            <v>96.218002319335895</v>
          </cell>
          <cell r="BK185">
            <v>96.188003540039105</v>
          </cell>
        </row>
        <row r="186">
          <cell r="B186" t="str">
            <v>OSS</v>
          </cell>
          <cell r="C186" t="str">
            <v>Wage and salaried workers, total (% of total employment) (modeled ILO estimate)</v>
          </cell>
          <cell r="D186" t="str">
            <v>SL.EMP.WORK.ZS</v>
          </cell>
          <cell r="AJ186">
            <v>63.442327702848544</v>
          </cell>
          <cell r="AK186">
            <v>63.390410825393289</v>
          </cell>
          <cell r="AL186">
            <v>63.275278870705343</v>
          </cell>
          <cell r="AM186">
            <v>63.306118456851131</v>
          </cell>
          <cell r="AN186">
            <v>63.348173616744511</v>
          </cell>
          <cell r="AO186">
            <v>63.461334104271081</v>
          </cell>
          <cell r="AP186">
            <v>63.627389469196288</v>
          </cell>
          <cell r="AQ186">
            <v>63.520005022063039</v>
          </cell>
          <cell r="AR186">
            <v>63.484502544161778</v>
          </cell>
          <cell r="AS186">
            <v>63.686400474240614</v>
          </cell>
          <cell r="AT186">
            <v>63.882143992837655</v>
          </cell>
          <cell r="AU186">
            <v>63.8901611701652</v>
          </cell>
          <cell r="AV186">
            <v>63.761830984459039</v>
          </cell>
          <cell r="AW186">
            <v>64.212152909151413</v>
          </cell>
          <cell r="AX186">
            <v>64.866520076616496</v>
          </cell>
          <cell r="AY186">
            <v>65.74871262220978</v>
          </cell>
          <cell r="AZ186">
            <v>66.44964887733785</v>
          </cell>
          <cell r="BA186">
            <v>67.359667692159434</v>
          </cell>
          <cell r="BB186">
            <v>67.769559004374514</v>
          </cell>
          <cell r="BC186">
            <v>68.331272696748471</v>
          </cell>
          <cell r="BD186">
            <v>68.64009168762334</v>
          </cell>
          <cell r="BE186">
            <v>68.789093955843526</v>
          </cell>
          <cell r="BF186">
            <v>68.799292919451034</v>
          </cell>
          <cell r="BG186">
            <v>68.88073743338677</v>
          </cell>
          <cell r="BH186">
            <v>69.149390888760337</v>
          </cell>
          <cell r="BI186">
            <v>69.348262939222664</v>
          </cell>
          <cell r="BJ186">
            <v>69.128155541590658</v>
          </cell>
          <cell r="BK186">
            <v>68.922830554472611</v>
          </cell>
        </row>
        <row r="187">
          <cell r="B187" t="str">
            <v>PAK</v>
          </cell>
          <cell r="C187" t="str">
            <v>Wage and salaried workers, total (% of total employment) (modeled ILO estimate)</v>
          </cell>
          <cell r="D187" t="str">
            <v>SL.EMP.WORK.ZS</v>
          </cell>
          <cell r="AJ187">
            <v>33.452999114990199</v>
          </cell>
          <cell r="AK187">
            <v>33.702999114990199</v>
          </cell>
          <cell r="AL187">
            <v>33.784000396728501</v>
          </cell>
          <cell r="AM187">
            <v>33.950000762939503</v>
          </cell>
          <cell r="AN187">
            <v>34.132999420166001</v>
          </cell>
          <cell r="AO187">
            <v>34.132999420166001</v>
          </cell>
          <cell r="AP187">
            <v>36.433998107910199</v>
          </cell>
          <cell r="AQ187">
            <v>35.248001098632798</v>
          </cell>
          <cell r="AR187">
            <v>35.248001098632798</v>
          </cell>
          <cell r="AS187">
            <v>35.576999664306598</v>
          </cell>
          <cell r="AT187">
            <v>35.575000762939503</v>
          </cell>
          <cell r="AU187">
            <v>39.851001739502003</v>
          </cell>
          <cell r="AV187">
            <v>39.852001190185497</v>
          </cell>
          <cell r="AW187">
            <v>37.884998321533203</v>
          </cell>
          <cell r="AX187">
            <v>37.884998321533203</v>
          </cell>
          <cell r="AY187">
            <v>38.668998718261697</v>
          </cell>
          <cell r="AZ187">
            <v>38.493000030517599</v>
          </cell>
          <cell r="BA187">
            <v>37.1570014953613</v>
          </cell>
          <cell r="BB187">
            <v>36.985000610351598</v>
          </cell>
          <cell r="BC187">
            <v>36.601001739502003</v>
          </cell>
          <cell r="BD187">
            <v>37.000999450683601</v>
          </cell>
          <cell r="BE187">
            <v>38.375999450683601</v>
          </cell>
          <cell r="BF187">
            <v>39.773998260497997</v>
          </cell>
          <cell r="BG187">
            <v>39.7700004577637</v>
          </cell>
          <cell r="BH187">
            <v>39.409000396728501</v>
          </cell>
          <cell r="BI187">
            <v>38.648998260497997</v>
          </cell>
          <cell r="BJ187">
            <v>40.827999114990199</v>
          </cell>
          <cell r="BK187">
            <v>42.962001800537102</v>
          </cell>
        </row>
        <row r="188">
          <cell r="B188" t="str">
            <v>PAN</v>
          </cell>
          <cell r="C188" t="str">
            <v>Wage and salaried workers, total (% of total employment) (modeled ILO estimate)</v>
          </cell>
          <cell r="D188" t="str">
            <v>SL.EMP.WORK.ZS</v>
          </cell>
          <cell r="AJ188">
            <v>62.6310005187988</v>
          </cell>
          <cell r="AK188">
            <v>65.059997558593807</v>
          </cell>
          <cell r="AL188">
            <v>66.917999267578097</v>
          </cell>
          <cell r="AM188">
            <v>68.711997985839801</v>
          </cell>
          <cell r="AN188">
            <v>67.461997985839801</v>
          </cell>
          <cell r="AO188">
            <v>67.195999145507798</v>
          </cell>
          <cell r="AP188">
            <v>66.170997619628906</v>
          </cell>
          <cell r="AQ188">
            <v>66.885002136230497</v>
          </cell>
          <cell r="AR188">
            <v>66.790000915527301</v>
          </cell>
          <cell r="AS188">
            <v>66.700996398925795</v>
          </cell>
          <cell r="AT188">
            <v>66.510002136230497</v>
          </cell>
          <cell r="AU188">
            <v>65.321998596191406</v>
          </cell>
          <cell r="AV188">
            <v>64.911003112792997</v>
          </cell>
          <cell r="AW188">
            <v>65.894996643066406</v>
          </cell>
          <cell r="AX188">
            <v>64.985000610351605</v>
          </cell>
          <cell r="AY188">
            <v>66.222999572753906</v>
          </cell>
          <cell r="AZ188">
            <v>69.097999572753906</v>
          </cell>
          <cell r="BA188">
            <v>69.417999267578097</v>
          </cell>
          <cell r="BB188">
            <v>64.678001403808594</v>
          </cell>
          <cell r="BC188">
            <v>65.903999328613295</v>
          </cell>
          <cell r="BD188">
            <v>67.996002197265597</v>
          </cell>
          <cell r="BE188">
            <v>68.019996643066406</v>
          </cell>
          <cell r="BF188">
            <v>67.722000122070298</v>
          </cell>
          <cell r="BG188">
            <v>67.331001281738295</v>
          </cell>
          <cell r="BH188">
            <v>66.271003723144503</v>
          </cell>
          <cell r="BI188">
            <v>64.200996398925795</v>
          </cell>
          <cell r="BJ188">
            <v>64.918998718261705</v>
          </cell>
          <cell r="BK188">
            <v>62.608001708984403</v>
          </cell>
        </row>
        <row r="189">
          <cell r="B189" t="str">
            <v>PER</v>
          </cell>
          <cell r="C189" t="str">
            <v>Wage and salaried workers, total (% of total employment) (modeled ILO estimate)</v>
          </cell>
          <cell r="D189" t="str">
            <v>SL.EMP.WORK.ZS</v>
          </cell>
          <cell r="AJ189">
            <v>36.137001037597699</v>
          </cell>
          <cell r="AK189">
            <v>36.599998474121101</v>
          </cell>
          <cell r="AL189">
            <v>36.997001647949197</v>
          </cell>
          <cell r="AM189">
            <v>37.334999084472699</v>
          </cell>
          <cell r="AN189">
            <v>37.727001190185497</v>
          </cell>
          <cell r="AO189">
            <v>38.158000946044901</v>
          </cell>
          <cell r="AP189">
            <v>38.562000274658203</v>
          </cell>
          <cell r="AQ189">
            <v>39.016998291015597</v>
          </cell>
          <cell r="AR189">
            <v>39.458999633789098</v>
          </cell>
          <cell r="AS189">
            <v>39.893001556396499</v>
          </cell>
          <cell r="AT189">
            <v>40.346000671386697</v>
          </cell>
          <cell r="AU189">
            <v>40.7630004882813</v>
          </cell>
          <cell r="AV189">
            <v>38.411998748779297</v>
          </cell>
          <cell r="AW189">
            <v>39.588001251220703</v>
          </cell>
          <cell r="AX189">
            <v>39.849998474121101</v>
          </cell>
          <cell r="AY189">
            <v>41.687999725341797</v>
          </cell>
          <cell r="AZ189">
            <v>42.950000762939503</v>
          </cell>
          <cell r="BA189">
            <v>43.3880004882813</v>
          </cell>
          <cell r="BB189">
            <v>43.554000854492202</v>
          </cell>
          <cell r="BC189">
            <v>43.154998779296903</v>
          </cell>
          <cell r="BD189">
            <v>43.308998107910199</v>
          </cell>
          <cell r="BE189">
            <v>44.541999816894503</v>
          </cell>
          <cell r="BF189">
            <v>45.3689994812012</v>
          </cell>
          <cell r="BG189">
            <v>45.018001556396499</v>
          </cell>
          <cell r="BH189">
            <v>45.870998382568402</v>
          </cell>
          <cell r="BI189">
            <v>45.305999755859403</v>
          </cell>
          <cell r="BJ189">
            <v>44.903999328613303</v>
          </cell>
          <cell r="BK189">
            <v>45.279998779296903</v>
          </cell>
        </row>
        <row r="190">
          <cell r="B190" t="str">
            <v>PHL</v>
          </cell>
          <cell r="C190" t="str">
            <v>Wage and salaried workers, total (% of total employment) (modeled ILO estimate)</v>
          </cell>
          <cell r="D190" t="str">
            <v>SL.EMP.WORK.ZS</v>
          </cell>
          <cell r="AJ190">
            <v>49.277000427246101</v>
          </cell>
          <cell r="AK190">
            <v>49.248001098632798</v>
          </cell>
          <cell r="AL190">
            <v>49.284000396728501</v>
          </cell>
          <cell r="AM190">
            <v>49.416000366210902</v>
          </cell>
          <cell r="AN190">
            <v>49.571998596191399</v>
          </cell>
          <cell r="AO190">
            <v>49.771999359130902</v>
          </cell>
          <cell r="AP190">
            <v>49.951000213622997</v>
          </cell>
          <cell r="AQ190">
            <v>49.903999328613303</v>
          </cell>
          <cell r="AR190">
            <v>49.6049995422363</v>
          </cell>
          <cell r="AS190">
            <v>50.722999572753899</v>
          </cell>
          <cell r="AT190">
            <v>49.047000885009801</v>
          </cell>
          <cell r="AU190">
            <v>48.7439994812012</v>
          </cell>
          <cell r="AV190">
            <v>49.660999298095703</v>
          </cell>
          <cell r="AW190">
            <v>51.696998596191399</v>
          </cell>
          <cell r="AX190">
            <v>50.099998474121101</v>
          </cell>
          <cell r="AY190">
            <v>50.706001281738303</v>
          </cell>
          <cell r="AZ190">
            <v>51.715000152587898</v>
          </cell>
          <cell r="BA190">
            <v>52.043998718261697</v>
          </cell>
          <cell r="BB190">
            <v>52.966999053955099</v>
          </cell>
          <cell r="BC190">
            <v>54.1570014953613</v>
          </cell>
          <cell r="BD190">
            <v>54.917999267578097</v>
          </cell>
          <cell r="BE190">
            <v>56.837001800537102</v>
          </cell>
          <cell r="BF190">
            <v>58.030998229980497</v>
          </cell>
          <cell r="BG190">
            <v>57.537998199462898</v>
          </cell>
          <cell r="BH190">
            <v>58.978000640869098</v>
          </cell>
          <cell r="BI190">
            <v>61.299999237060497</v>
          </cell>
          <cell r="BJ190">
            <v>62.2039985656738</v>
          </cell>
          <cell r="BK190">
            <v>63.485000610351598</v>
          </cell>
        </row>
        <row r="191">
          <cell r="B191" t="str">
            <v>PLW</v>
          </cell>
          <cell r="C191" t="str">
            <v>Wage and salaried workers, total (% of total employment) (modeled ILO estimate)</v>
          </cell>
          <cell r="D191" t="str">
            <v>SL.EMP.WORK.ZS</v>
          </cell>
        </row>
        <row r="192">
          <cell r="B192" t="str">
            <v>PNG</v>
          </cell>
          <cell r="C192" t="str">
            <v>Wage and salaried workers, total (% of total employment) (modeled ILO estimate)</v>
          </cell>
          <cell r="D192" t="str">
            <v>SL.EMP.WORK.ZS</v>
          </cell>
          <cell r="AJ192">
            <v>16.853000640869102</v>
          </cell>
          <cell r="AK192">
            <v>17.158000946044901</v>
          </cell>
          <cell r="AL192">
            <v>17.545000076293899</v>
          </cell>
          <cell r="AM192">
            <v>17.691999435424801</v>
          </cell>
          <cell r="AN192">
            <v>17.639999389648398</v>
          </cell>
          <cell r="AO192">
            <v>17.820999145507798</v>
          </cell>
          <cell r="AP192">
            <v>17.750999450683601</v>
          </cell>
          <cell r="AQ192">
            <v>17.683000564575199</v>
          </cell>
          <cell r="AR192">
            <v>17.742000579833999</v>
          </cell>
          <cell r="AS192">
            <v>17.7070007324219</v>
          </cell>
          <cell r="AT192">
            <v>17.7299995422363</v>
          </cell>
          <cell r="AU192">
            <v>17.7560005187988</v>
          </cell>
          <cell r="AV192">
            <v>17.837999343872099</v>
          </cell>
          <cell r="AW192">
            <v>17.9340000152588</v>
          </cell>
          <cell r="AX192">
            <v>18.111000061035199</v>
          </cell>
          <cell r="AY192">
            <v>18.198999404907202</v>
          </cell>
          <cell r="AZ192">
            <v>18.479000091552699</v>
          </cell>
          <cell r="BA192">
            <v>18.513999938964801</v>
          </cell>
          <cell r="BB192">
            <v>18.711000442504901</v>
          </cell>
          <cell r="BC192">
            <v>18.9839992523193</v>
          </cell>
          <cell r="BD192">
            <v>19.065000534057599</v>
          </cell>
          <cell r="BE192">
            <v>19.2299995422363</v>
          </cell>
          <cell r="BF192">
            <v>19.379999160766602</v>
          </cell>
          <cell r="BG192">
            <v>19.738000869751001</v>
          </cell>
          <cell r="BH192">
            <v>20.0130004882813</v>
          </cell>
          <cell r="BI192">
            <v>20.173000335693398</v>
          </cell>
          <cell r="BJ192">
            <v>20.274999618530298</v>
          </cell>
          <cell r="BK192">
            <v>20.350999832153299</v>
          </cell>
        </row>
        <row r="193">
          <cell r="B193" t="str">
            <v>POL</v>
          </cell>
          <cell r="C193" t="str">
            <v>Wage and salaried workers, total (% of total employment) (modeled ILO estimate)</v>
          </cell>
          <cell r="D193" t="str">
            <v>SL.EMP.WORK.ZS</v>
          </cell>
          <cell r="AJ193">
            <v>69.978996276855497</v>
          </cell>
          <cell r="AK193">
            <v>69.771003723144503</v>
          </cell>
          <cell r="AL193">
            <v>68.835998535156307</v>
          </cell>
          <cell r="AM193">
            <v>69.065002441406307</v>
          </cell>
          <cell r="AN193">
            <v>70.297996520996094</v>
          </cell>
          <cell r="AO193">
            <v>70.483001708984403</v>
          </cell>
          <cell r="AP193">
            <v>71.272003173828097</v>
          </cell>
          <cell r="AQ193">
            <v>72.544998168945298</v>
          </cell>
          <cell r="AR193">
            <v>73.184997558593807</v>
          </cell>
          <cell r="AS193">
            <v>72.615997314453097</v>
          </cell>
          <cell r="AT193">
            <v>72.0469970703125</v>
          </cell>
          <cell r="AU193">
            <v>71.778999328613295</v>
          </cell>
          <cell r="AV193">
            <v>73.027999877929702</v>
          </cell>
          <cell r="AW193">
            <v>73.499000549316406</v>
          </cell>
          <cell r="AX193">
            <v>74.247001647949205</v>
          </cell>
          <cell r="AY193">
            <v>75.569000244140597</v>
          </cell>
          <cell r="AZ193">
            <v>76.542999267578097</v>
          </cell>
          <cell r="BA193">
            <v>77.080001831054702</v>
          </cell>
          <cell r="BB193">
            <v>77.263000488281307</v>
          </cell>
          <cell r="BC193">
            <v>77.024002075195298</v>
          </cell>
          <cell r="BD193">
            <v>77.135002136230497</v>
          </cell>
          <cell r="BE193">
            <v>77.606002807617202</v>
          </cell>
          <cell r="BF193">
            <v>78.169998168945298</v>
          </cell>
          <cell r="BG193">
            <v>78.647003173828097</v>
          </cell>
          <cell r="BH193">
            <v>78.767997741699205</v>
          </cell>
          <cell r="BI193">
            <v>79.282997131347699</v>
          </cell>
          <cell r="BJ193">
            <v>79.584999084472699</v>
          </cell>
          <cell r="BK193">
            <v>79.725997924804702</v>
          </cell>
        </row>
        <row r="194">
          <cell r="B194" t="str">
            <v>PRE</v>
          </cell>
          <cell r="C194" t="str">
            <v>Wage and salaried workers, total (% of total employment) (modeled ILO estimate)</v>
          </cell>
          <cell r="D194" t="str">
            <v>SL.EMP.WORK.ZS</v>
          </cell>
          <cell r="AJ194">
            <v>16.866806184908537</v>
          </cell>
          <cell r="AK194">
            <v>16.920872571127578</v>
          </cell>
          <cell r="AL194">
            <v>16.951443471719635</v>
          </cell>
          <cell r="AM194">
            <v>16.993844529815398</v>
          </cell>
          <cell r="AN194">
            <v>17.130168553690996</v>
          </cell>
          <cell r="AO194">
            <v>17.283113933207691</v>
          </cell>
          <cell r="AP194">
            <v>17.46433638824384</v>
          </cell>
          <cell r="AQ194">
            <v>17.6285652943305</v>
          </cell>
          <cell r="AR194">
            <v>17.76951487574112</v>
          </cell>
          <cell r="AS194">
            <v>17.913658812231255</v>
          </cell>
          <cell r="AT194">
            <v>18.057074379823778</v>
          </cell>
          <cell r="AU194">
            <v>18.170795210697868</v>
          </cell>
          <cell r="AV194">
            <v>18.251113587273991</v>
          </cell>
          <cell r="AW194">
            <v>18.316266345564824</v>
          </cell>
          <cell r="AX194">
            <v>18.338596692054679</v>
          </cell>
          <cell r="AY194">
            <v>18.484439627120182</v>
          </cell>
          <cell r="AZ194">
            <v>18.833334538704992</v>
          </cell>
          <cell r="BA194">
            <v>19.226501528761283</v>
          </cell>
          <cell r="BB194">
            <v>19.651802693045713</v>
          </cell>
          <cell r="BC194">
            <v>20.065608212607007</v>
          </cell>
          <cell r="BD194">
            <v>20.57641661217006</v>
          </cell>
          <cell r="BE194">
            <v>21.027915783017423</v>
          </cell>
          <cell r="BF194">
            <v>21.39080717864535</v>
          </cell>
          <cell r="BG194">
            <v>21.82326678775237</v>
          </cell>
          <cell r="BH194">
            <v>22.156909675513923</v>
          </cell>
          <cell r="BI194">
            <v>22.455945687473278</v>
          </cell>
          <cell r="BJ194">
            <v>22.571918578725231</v>
          </cell>
          <cell r="BK194">
            <v>22.684809383348405</v>
          </cell>
        </row>
        <row r="195">
          <cell r="B195" t="str">
            <v>PRI</v>
          </cell>
          <cell r="C195" t="str">
            <v>Wage and salaried workers, total (% of total employment) (modeled ILO estimate)</v>
          </cell>
          <cell r="D195" t="str">
            <v>SL.EMP.WORK.ZS</v>
          </cell>
          <cell r="AJ195">
            <v>84.575996398925795</v>
          </cell>
          <cell r="AK195">
            <v>85.004997253417997</v>
          </cell>
          <cell r="AL195">
            <v>85.158996582031307</v>
          </cell>
          <cell r="AM195">
            <v>84.907997131347699</v>
          </cell>
          <cell r="AN195">
            <v>84.916000366210895</v>
          </cell>
          <cell r="AO195">
            <v>85.329002380371094</v>
          </cell>
          <cell r="AP195">
            <v>85.3489990234375</v>
          </cell>
          <cell r="AQ195">
            <v>86.003997802734403</v>
          </cell>
          <cell r="AR195">
            <v>85.376998901367202</v>
          </cell>
          <cell r="AS195">
            <v>85.541999816894503</v>
          </cell>
          <cell r="AT195">
            <v>86.067001342773395</v>
          </cell>
          <cell r="AU195">
            <v>85.127998352050795</v>
          </cell>
          <cell r="AV195">
            <v>85.595001220703097</v>
          </cell>
          <cell r="AW195">
            <v>85.481002807617202</v>
          </cell>
          <cell r="AX195">
            <v>85.440002441406307</v>
          </cell>
          <cell r="AY195">
            <v>84.835998535156307</v>
          </cell>
          <cell r="AZ195">
            <v>84.609001159667997</v>
          </cell>
          <cell r="BA195">
            <v>85.277000427246094</v>
          </cell>
          <cell r="BB195">
            <v>85.271003723144503</v>
          </cell>
          <cell r="BC195">
            <v>85.307998657226605</v>
          </cell>
          <cell r="BD195">
            <v>84.730003356933594</v>
          </cell>
          <cell r="BE195">
            <v>84.392997741699205</v>
          </cell>
          <cell r="BF195">
            <v>83.962997436523395</v>
          </cell>
          <cell r="BG195">
            <v>83.620002746582003</v>
          </cell>
          <cell r="BH195">
            <v>83.317001342773395</v>
          </cell>
          <cell r="BI195">
            <v>83.300003051757798</v>
          </cell>
          <cell r="BJ195">
            <v>83.313003540039105</v>
          </cell>
          <cell r="BK195">
            <v>83.291999816894503</v>
          </cell>
        </row>
        <row r="196">
          <cell r="B196" t="str">
            <v>PRK</v>
          </cell>
          <cell r="C196" t="str">
            <v>Wage and salaried workers, total (% of total employment) (modeled ILO estimate)</v>
          </cell>
          <cell r="D196" t="str">
            <v>SL.EMP.WORK.ZS</v>
          </cell>
          <cell r="AJ196">
            <v>9.7620000839233398</v>
          </cell>
          <cell r="AK196">
            <v>9.8789997100830096</v>
          </cell>
          <cell r="AL196">
            <v>9.875</v>
          </cell>
          <cell r="AM196">
            <v>9.8380002975463903</v>
          </cell>
          <cell r="AN196">
            <v>9.9200000762939506</v>
          </cell>
          <cell r="AO196">
            <v>9.9359998703002894</v>
          </cell>
          <cell r="AP196">
            <v>10.0939998626709</v>
          </cell>
          <cell r="AQ196">
            <v>10.012000083923301</v>
          </cell>
          <cell r="AR196">
            <v>9.7880001068115199</v>
          </cell>
          <cell r="AS196">
            <v>9.8780002593994105</v>
          </cell>
          <cell r="AT196">
            <v>9.7709999084472692</v>
          </cell>
          <cell r="AU196">
            <v>9.8090000152587908</v>
          </cell>
          <cell r="AV196">
            <v>9.7889995574951207</v>
          </cell>
          <cell r="AW196">
            <v>9.7749996185302699</v>
          </cell>
          <cell r="AX196">
            <v>9.7139997482299805</v>
          </cell>
          <cell r="AY196">
            <v>9.8409996032714808</v>
          </cell>
          <cell r="AZ196">
            <v>9.9020004272460902</v>
          </cell>
          <cell r="BA196">
            <v>9.8120002746581996</v>
          </cell>
          <cell r="BB196">
            <v>9.9399995803833008</v>
          </cell>
          <cell r="BC196">
            <v>9.9879999160766602</v>
          </cell>
          <cell r="BD196">
            <v>10</v>
          </cell>
          <cell r="BE196">
            <v>10.0100002288818</v>
          </cell>
          <cell r="BF196">
            <v>10.0349998474121</v>
          </cell>
          <cell r="BG196">
            <v>10.055000305175801</v>
          </cell>
          <cell r="BH196">
            <v>10.152000427246101</v>
          </cell>
          <cell r="BI196">
            <v>10.027000427246101</v>
          </cell>
          <cell r="BJ196">
            <v>10.256999969482401</v>
          </cell>
          <cell r="BK196">
            <v>10.354000091552701</v>
          </cell>
        </row>
        <row r="197">
          <cell r="B197" t="str">
            <v>PRT</v>
          </cell>
          <cell r="C197" t="str">
            <v>Wage and salaried workers, total (% of total employment) (modeled ILO estimate)</v>
          </cell>
          <cell r="D197" t="str">
            <v>SL.EMP.WORK.ZS</v>
          </cell>
          <cell r="AJ197">
            <v>74.254997253417997</v>
          </cell>
          <cell r="AK197">
            <v>74.394996643066406</v>
          </cell>
          <cell r="AL197">
            <v>74.1510009765625</v>
          </cell>
          <cell r="AM197">
            <v>72.667999267578097</v>
          </cell>
          <cell r="AN197">
            <v>72.250999450683594</v>
          </cell>
          <cell r="AO197">
            <v>71.586997985839801</v>
          </cell>
          <cell r="AP197">
            <v>71.610000610351605</v>
          </cell>
          <cell r="AQ197">
            <v>71.610000610351605</v>
          </cell>
          <cell r="AR197">
            <v>72.982002258300795</v>
          </cell>
          <cell r="AS197">
            <v>73.919998168945298</v>
          </cell>
          <cell r="AT197">
            <v>72.102996826171903</v>
          </cell>
          <cell r="AU197">
            <v>72.461997985839801</v>
          </cell>
          <cell r="AV197">
            <v>72.678001403808594</v>
          </cell>
          <cell r="AW197">
            <v>73.860000610351605</v>
          </cell>
          <cell r="AX197">
            <v>74.183998107910199</v>
          </cell>
          <cell r="AY197">
            <v>75.300003051757798</v>
          </cell>
          <cell r="AZ197">
            <v>75.2030029296875</v>
          </cell>
          <cell r="BA197">
            <v>75.6719970703125</v>
          </cell>
          <cell r="BB197">
            <v>75.967002868652301</v>
          </cell>
          <cell r="BC197">
            <v>76.876998901367202</v>
          </cell>
          <cell r="BD197">
            <v>78.460998535156307</v>
          </cell>
          <cell r="BE197">
            <v>77.914001464843807</v>
          </cell>
          <cell r="BF197">
            <v>78.058998107910199</v>
          </cell>
          <cell r="BG197">
            <v>80.253997802734403</v>
          </cell>
          <cell r="BH197">
            <v>81.577003479003906</v>
          </cell>
          <cell r="BI197">
            <v>82.236000061035199</v>
          </cell>
          <cell r="BJ197">
            <v>83.014999389648395</v>
          </cell>
          <cell r="BK197">
            <v>83.351997375488295</v>
          </cell>
        </row>
        <row r="198">
          <cell r="B198" t="str">
            <v>PRY</v>
          </cell>
          <cell r="C198" t="str">
            <v>Wage and salaried workers, total (% of total employment) (modeled ILO estimate)</v>
          </cell>
          <cell r="D198" t="str">
            <v>SL.EMP.WORK.ZS</v>
          </cell>
          <cell r="AJ198">
            <v>42.6119995117188</v>
          </cell>
          <cell r="AK198">
            <v>42.714000701904297</v>
          </cell>
          <cell r="AL198">
            <v>42.7960014343262</v>
          </cell>
          <cell r="AM198">
            <v>42.874000549316399</v>
          </cell>
          <cell r="AN198">
            <v>42.950000762939503</v>
          </cell>
          <cell r="AO198">
            <v>43.025001525878899</v>
          </cell>
          <cell r="AP198">
            <v>43.0989990234375</v>
          </cell>
          <cell r="AQ198">
            <v>43.169998168945298</v>
          </cell>
          <cell r="AR198">
            <v>43.244998931884801</v>
          </cell>
          <cell r="AS198">
            <v>43.327999114990199</v>
          </cell>
          <cell r="AT198">
            <v>43.416000366210902</v>
          </cell>
          <cell r="AU198">
            <v>43.509998321533203</v>
          </cell>
          <cell r="AV198">
            <v>45.179000854492202</v>
          </cell>
          <cell r="AW198">
            <v>43.883998870849602</v>
          </cell>
          <cell r="AX198">
            <v>47.070999145507798</v>
          </cell>
          <cell r="AY198">
            <v>47.368000030517599</v>
          </cell>
          <cell r="AZ198">
            <v>49.005001068115199</v>
          </cell>
          <cell r="BA198">
            <v>51.957000732421903</v>
          </cell>
          <cell r="BB198">
            <v>49.3359985351563</v>
          </cell>
          <cell r="BC198">
            <v>52.693000793457003</v>
          </cell>
          <cell r="BD198">
            <v>53.426998138427699</v>
          </cell>
          <cell r="BE198">
            <v>52.208999633789098</v>
          </cell>
          <cell r="BF198">
            <v>55.443000793457003</v>
          </cell>
          <cell r="BG198">
            <v>56.298000335693402</v>
          </cell>
          <cell r="BH198">
            <v>56.230998992919901</v>
          </cell>
          <cell r="BI198">
            <v>55.765998840332003</v>
          </cell>
          <cell r="BJ198">
            <v>56.066001892089801</v>
          </cell>
          <cell r="BK198">
            <v>56.944000244140597</v>
          </cell>
        </row>
        <row r="199">
          <cell r="B199" t="str">
            <v>PSE</v>
          </cell>
          <cell r="C199" t="str">
            <v>Wage and salaried workers, total (% of total employment) (modeled ILO estimate)</v>
          </cell>
          <cell r="D199" t="str">
            <v>SL.EMP.WORK.ZS</v>
          </cell>
          <cell r="AJ199">
            <v>60.519001007080099</v>
          </cell>
          <cell r="AK199">
            <v>61.686000823974602</v>
          </cell>
          <cell r="AL199">
            <v>62.313999176025398</v>
          </cell>
          <cell r="AM199">
            <v>63.084999084472699</v>
          </cell>
          <cell r="AN199">
            <v>63.542999267578097</v>
          </cell>
          <cell r="AO199">
            <v>63.812999725341797</v>
          </cell>
          <cell r="AP199">
            <v>64.461997985839801</v>
          </cell>
          <cell r="AQ199">
            <v>65.092002868652301</v>
          </cell>
          <cell r="AR199">
            <v>65.538002014160199</v>
          </cell>
          <cell r="AS199">
            <v>65.527999877929702</v>
          </cell>
          <cell r="AT199">
            <v>61.075000762939503</v>
          </cell>
          <cell r="AU199">
            <v>58.507999420166001</v>
          </cell>
          <cell r="AV199">
            <v>56.411998748779297</v>
          </cell>
          <cell r="AW199">
            <v>57.597000122070298</v>
          </cell>
          <cell r="AX199">
            <v>58.833000183105497</v>
          </cell>
          <cell r="AY199">
            <v>58.4869995117188</v>
          </cell>
          <cell r="AZ199">
            <v>59.248001098632798</v>
          </cell>
          <cell r="BA199">
            <v>64.574996948242202</v>
          </cell>
          <cell r="BB199">
            <v>66.502998352050795</v>
          </cell>
          <cell r="BC199">
            <v>67.580001831054702</v>
          </cell>
          <cell r="BD199">
            <v>66.542999267578097</v>
          </cell>
          <cell r="BE199">
            <v>66.810997009277301</v>
          </cell>
          <cell r="BF199">
            <v>68.054000854492202</v>
          </cell>
          <cell r="BG199">
            <v>67.626998901367202</v>
          </cell>
          <cell r="BH199">
            <v>68.639999389648395</v>
          </cell>
          <cell r="BI199">
            <v>69.458999633789105</v>
          </cell>
          <cell r="BJ199">
            <v>70.419998168945298</v>
          </cell>
          <cell r="BK199">
            <v>69.737998962402301</v>
          </cell>
        </row>
        <row r="200">
          <cell r="B200" t="str">
            <v>PSS</v>
          </cell>
          <cell r="C200" t="str">
            <v>Wage and salaried workers, total (% of total employment) (modeled ILO estimate)</v>
          </cell>
          <cell r="D200" t="str">
            <v>SL.EMP.WORK.ZS</v>
          </cell>
          <cell r="AJ200">
            <v>46.16705246219184</v>
          </cell>
          <cell r="AK200">
            <v>46.343617214876907</v>
          </cell>
          <cell r="AL200">
            <v>46.447990069550549</v>
          </cell>
          <cell r="AM200">
            <v>46.639541064787529</v>
          </cell>
          <cell r="AN200">
            <v>46.810401426682176</v>
          </cell>
          <cell r="AO200">
            <v>46.878611758513095</v>
          </cell>
          <cell r="AP200">
            <v>46.833987418182957</v>
          </cell>
          <cell r="AQ200">
            <v>46.824745483828522</v>
          </cell>
          <cell r="AR200">
            <v>46.765956625328158</v>
          </cell>
          <cell r="AS200">
            <v>46.514000216387537</v>
          </cell>
          <cell r="AT200">
            <v>46.423837583037695</v>
          </cell>
          <cell r="AU200">
            <v>46.3733877410248</v>
          </cell>
          <cell r="AV200">
            <v>46.448134385917243</v>
          </cell>
          <cell r="AW200">
            <v>46.511005439424757</v>
          </cell>
          <cell r="AX200">
            <v>46.612835186404737</v>
          </cell>
          <cell r="AY200">
            <v>46.147930118080772</v>
          </cell>
          <cell r="AZ200">
            <v>45.652314465314795</v>
          </cell>
          <cell r="BA200">
            <v>45.16992297325509</v>
          </cell>
          <cell r="BB200">
            <v>44.486846891002912</v>
          </cell>
          <cell r="BC200">
            <v>43.860274079071189</v>
          </cell>
          <cell r="BD200">
            <v>43.264237632405482</v>
          </cell>
          <cell r="BE200">
            <v>43.25551108517864</v>
          </cell>
          <cell r="BF200">
            <v>43.276611621008001</v>
          </cell>
          <cell r="BG200">
            <v>43.296567801236982</v>
          </cell>
          <cell r="BH200">
            <v>43.341327961076722</v>
          </cell>
          <cell r="BI200">
            <v>43.426627530551201</v>
          </cell>
          <cell r="BJ200">
            <v>43.543314729512019</v>
          </cell>
          <cell r="BK200">
            <v>43.640923670580143</v>
          </cell>
        </row>
        <row r="201">
          <cell r="B201" t="str">
            <v>PST</v>
          </cell>
          <cell r="C201" t="str">
            <v>Wage and salaried workers, total (% of total employment) (modeled ILO estimate)</v>
          </cell>
          <cell r="D201" t="str">
            <v>SL.EMP.WORK.ZS</v>
          </cell>
          <cell r="AJ201">
            <v>83.598711047165679</v>
          </cell>
          <cell r="AK201">
            <v>83.818401721874267</v>
          </cell>
          <cell r="AL201">
            <v>83.985435765952957</v>
          </cell>
          <cell r="AM201">
            <v>84.08708515293695</v>
          </cell>
          <cell r="AN201">
            <v>84.305385566952467</v>
          </cell>
          <cell r="AO201">
            <v>84.48293977276407</v>
          </cell>
          <cell r="AP201">
            <v>84.618073338326127</v>
          </cell>
          <cell r="AQ201">
            <v>84.87698909066674</v>
          </cell>
          <cell r="AR201">
            <v>85.110707693182349</v>
          </cell>
          <cell r="AS201">
            <v>85.40544406481348</v>
          </cell>
          <cell r="AT201">
            <v>85.55168450932419</v>
          </cell>
          <cell r="AU201">
            <v>85.67726969866618</v>
          </cell>
          <cell r="AV201">
            <v>85.622855467125035</v>
          </cell>
          <cell r="AW201">
            <v>85.668649405416573</v>
          </cell>
          <cell r="AX201">
            <v>85.828844322024281</v>
          </cell>
          <cell r="AY201">
            <v>86.078078846326378</v>
          </cell>
          <cell r="AZ201">
            <v>86.31825217207934</v>
          </cell>
          <cell r="BA201">
            <v>86.552765408355526</v>
          </cell>
          <cell r="BB201">
            <v>86.586850546565927</v>
          </cell>
          <cell r="BC201">
            <v>86.638246547208709</v>
          </cell>
          <cell r="BD201">
            <v>86.766148283030574</v>
          </cell>
          <cell r="BE201">
            <v>86.871434587903707</v>
          </cell>
          <cell r="BF201">
            <v>87.022812826417734</v>
          </cell>
          <cell r="BG201">
            <v>87.253121428370733</v>
          </cell>
          <cell r="BH201">
            <v>87.427364733314988</v>
          </cell>
          <cell r="BI201">
            <v>87.56628382858456</v>
          </cell>
          <cell r="BJ201">
            <v>87.730878051794761</v>
          </cell>
          <cell r="BK201">
            <v>87.867246303837774</v>
          </cell>
        </row>
        <row r="202">
          <cell r="B202" t="str">
            <v>PYF</v>
          </cell>
          <cell r="C202" t="str">
            <v>Wage and salaried workers, total (% of total employment) (modeled ILO estimate)</v>
          </cell>
          <cell r="D202" t="str">
            <v>SL.EMP.WORK.ZS</v>
          </cell>
          <cell r="AJ202">
            <v>76.926002502441406</v>
          </cell>
          <cell r="AK202">
            <v>76.781997680664105</v>
          </cell>
          <cell r="AL202">
            <v>76.648002624511705</v>
          </cell>
          <cell r="AM202">
            <v>76.501998901367202</v>
          </cell>
          <cell r="AN202">
            <v>76.338996887207003</v>
          </cell>
          <cell r="AO202">
            <v>76.113998413085895</v>
          </cell>
          <cell r="AP202">
            <v>76.810997009277301</v>
          </cell>
          <cell r="AQ202">
            <v>77.792999267578097</v>
          </cell>
          <cell r="AR202">
            <v>78.601997375488295</v>
          </cell>
          <cell r="AS202">
            <v>79.396003723144503</v>
          </cell>
          <cell r="AT202">
            <v>80.016998291015597</v>
          </cell>
          <cell r="AU202">
            <v>80.672996520996094</v>
          </cell>
          <cell r="AV202">
            <v>81.429000854492202</v>
          </cell>
          <cell r="AW202">
            <v>82.134002685546903</v>
          </cell>
          <cell r="AX202">
            <v>82.797996520996094</v>
          </cell>
          <cell r="AY202">
            <v>83.441001892089801</v>
          </cell>
          <cell r="AZ202">
            <v>84.082000732421903</v>
          </cell>
          <cell r="BA202">
            <v>84.019996643066406</v>
          </cell>
          <cell r="BB202">
            <v>83.737998962402301</v>
          </cell>
          <cell r="BC202">
            <v>83.581001281738295</v>
          </cell>
          <cell r="BD202">
            <v>83.392997741699205</v>
          </cell>
          <cell r="BE202">
            <v>83.290000915527301</v>
          </cell>
          <cell r="BF202">
            <v>83.235000610351605</v>
          </cell>
          <cell r="BG202">
            <v>83.185997009277301</v>
          </cell>
          <cell r="BH202">
            <v>83.186996459960895</v>
          </cell>
          <cell r="BI202">
            <v>83.177001953125</v>
          </cell>
          <cell r="BJ202">
            <v>83.226997375488295</v>
          </cell>
          <cell r="BK202">
            <v>83.316001892089801</v>
          </cell>
        </row>
        <row r="203">
          <cell r="B203" t="str">
            <v>QAT</v>
          </cell>
          <cell r="C203" t="str">
            <v>Wage and salaried workers, total (% of total employment) (modeled ILO estimate)</v>
          </cell>
          <cell r="D203" t="str">
            <v>SL.EMP.WORK.ZS</v>
          </cell>
          <cell r="AJ203">
            <v>98.705001831054702</v>
          </cell>
          <cell r="AK203">
            <v>98.730003356933594</v>
          </cell>
          <cell r="AL203">
            <v>98.7030029296875</v>
          </cell>
          <cell r="AM203">
            <v>98.691001892089801</v>
          </cell>
          <cell r="AN203">
            <v>98.677001953125</v>
          </cell>
          <cell r="AO203">
            <v>98.670997619628906</v>
          </cell>
          <cell r="AP203">
            <v>98.750999450683594</v>
          </cell>
          <cell r="AQ203">
            <v>98.794998168945298</v>
          </cell>
          <cell r="AR203">
            <v>98.800003051757798</v>
          </cell>
          <cell r="AS203">
            <v>98.813003540039105</v>
          </cell>
          <cell r="AT203">
            <v>98.824996948242202</v>
          </cell>
          <cell r="AU203">
            <v>98.842002868652301</v>
          </cell>
          <cell r="AV203">
            <v>98.831001281738295</v>
          </cell>
          <cell r="AW203">
            <v>98.871002197265597</v>
          </cell>
          <cell r="AX203">
            <v>98.948997497558594</v>
          </cell>
          <cell r="AY203">
            <v>99.086997985839801</v>
          </cell>
          <cell r="AZ203">
            <v>99.172996520996094</v>
          </cell>
          <cell r="BA203">
            <v>99.245002746582003</v>
          </cell>
          <cell r="BB203">
            <v>99.316001892089801</v>
          </cell>
          <cell r="BC203">
            <v>99.384002685546903</v>
          </cell>
          <cell r="BD203">
            <v>99.438003540039105</v>
          </cell>
          <cell r="BE203">
            <v>99.472999572753906</v>
          </cell>
          <cell r="BF203">
            <v>99.507003784179702</v>
          </cell>
          <cell r="BG203">
            <v>99.553001403808594</v>
          </cell>
          <cell r="BH203">
            <v>99.577003479003906</v>
          </cell>
          <cell r="BI203">
            <v>99.592002868652301</v>
          </cell>
          <cell r="BJ203">
            <v>99.582000732421903</v>
          </cell>
          <cell r="BK203">
            <v>99.579002380371094</v>
          </cell>
        </row>
        <row r="204">
          <cell r="B204" t="str">
            <v>ROU</v>
          </cell>
          <cell r="C204" t="str">
            <v>Wage and salaried workers, total (% of total employment) (modeled ILO estimate)</v>
          </cell>
          <cell r="D204" t="str">
            <v>SL.EMP.WORK.ZS</v>
          </cell>
          <cell r="AJ204">
            <v>69.383003234863295</v>
          </cell>
          <cell r="AK204">
            <v>63.372001647949197</v>
          </cell>
          <cell r="AL204">
            <v>63.459999084472699</v>
          </cell>
          <cell r="AM204">
            <v>64.869003295898395</v>
          </cell>
          <cell r="AN204">
            <v>61.625</v>
          </cell>
          <cell r="AO204">
            <v>62.918998718261697</v>
          </cell>
          <cell r="AP204">
            <v>59.550998687744098</v>
          </cell>
          <cell r="AQ204">
            <v>57.941001892089801</v>
          </cell>
          <cell r="AR204">
            <v>55.821998596191399</v>
          </cell>
          <cell r="AS204">
            <v>53.891998291015597</v>
          </cell>
          <cell r="AT204">
            <v>53.9010009765625</v>
          </cell>
          <cell r="AU204">
            <v>60.2239990234375</v>
          </cell>
          <cell r="AV204">
            <v>60.459999084472699</v>
          </cell>
          <cell r="AW204">
            <v>65.387001037597699</v>
          </cell>
          <cell r="AX204">
            <v>64.607002258300795</v>
          </cell>
          <cell r="AY204">
            <v>66.138999938964801</v>
          </cell>
          <cell r="AZ204">
            <v>66.257003784179702</v>
          </cell>
          <cell r="BA204">
            <v>67.4219970703125</v>
          </cell>
          <cell r="BB204">
            <v>67.216003417968807</v>
          </cell>
          <cell r="BC204">
            <v>64.831001281738295</v>
          </cell>
          <cell r="BD204">
            <v>66.805000305175795</v>
          </cell>
          <cell r="BE204">
            <v>66.640998840332003</v>
          </cell>
          <cell r="BF204">
            <v>67.181999206542997</v>
          </cell>
          <cell r="BG204">
            <v>67.917999267578097</v>
          </cell>
          <cell r="BH204">
            <v>71.025001525878906</v>
          </cell>
          <cell r="BI204">
            <v>73.390998840332003</v>
          </cell>
          <cell r="BJ204">
            <v>73.694999694824205</v>
          </cell>
          <cell r="BK204">
            <v>74.778999328613295</v>
          </cell>
        </row>
        <row r="205">
          <cell r="B205" t="str">
            <v>RUS</v>
          </cell>
          <cell r="C205" t="str">
            <v>Wage and salaried workers, total (% of total employment) (modeled ILO estimate)</v>
          </cell>
          <cell r="D205" t="str">
            <v>SL.EMP.WORK.ZS</v>
          </cell>
          <cell r="AJ205">
            <v>99.117996215820298</v>
          </cell>
          <cell r="AK205">
            <v>99.136001586914105</v>
          </cell>
          <cell r="AL205">
            <v>98.594001770019503</v>
          </cell>
          <cell r="AM205">
            <v>98.040000915527301</v>
          </cell>
          <cell r="AN205">
            <v>97.589996337890597</v>
          </cell>
          <cell r="AO205">
            <v>97.366996765136705</v>
          </cell>
          <cell r="AP205">
            <v>95.839996337890597</v>
          </cell>
          <cell r="AQ205">
            <v>95.900001525878906</v>
          </cell>
          <cell r="AR205">
            <v>88.125999450683594</v>
          </cell>
          <cell r="AS205">
            <v>88.882003784179702</v>
          </cell>
          <cell r="AT205">
            <v>90.837997436523395</v>
          </cell>
          <cell r="AU205">
            <v>91.147003173828097</v>
          </cell>
          <cell r="AV205">
            <v>91.513999938964801</v>
          </cell>
          <cell r="AW205">
            <v>91.404998779296903</v>
          </cell>
          <cell r="AX205">
            <v>91.122001647949205</v>
          </cell>
          <cell r="AY205">
            <v>91.347000122070298</v>
          </cell>
          <cell r="AZ205">
            <v>91.543998718261705</v>
          </cell>
          <cell r="BA205">
            <v>91.541000366210895</v>
          </cell>
          <cell r="BB205">
            <v>91.442001342773395</v>
          </cell>
          <cell r="BC205">
            <v>93.238998413085895</v>
          </cell>
          <cell r="BD205">
            <v>92.959999084472699</v>
          </cell>
          <cell r="BE205">
            <v>93.127998352050795</v>
          </cell>
          <cell r="BF205">
            <v>92.759002685546903</v>
          </cell>
          <cell r="BG205">
            <v>92.819000244140597</v>
          </cell>
          <cell r="BH205">
            <v>92.802001953125</v>
          </cell>
          <cell r="BI205">
            <v>92.519996643066406</v>
          </cell>
          <cell r="BJ205">
            <v>93.385002136230497</v>
          </cell>
          <cell r="BK205">
            <v>93.180000305175795</v>
          </cell>
        </row>
        <row r="206">
          <cell r="B206" t="str">
            <v>RWA</v>
          </cell>
          <cell r="C206" t="str">
            <v>Wage and salaried workers, total (% of total employment) (modeled ILO estimate)</v>
          </cell>
          <cell r="D206" t="str">
            <v>SL.EMP.WORK.ZS</v>
          </cell>
          <cell r="AJ206">
            <v>6.1020002365112296</v>
          </cell>
          <cell r="AK206">
            <v>6.2049999237060502</v>
          </cell>
          <cell r="AL206">
            <v>6.2290000915527299</v>
          </cell>
          <cell r="AM206">
            <v>5.9120001792907697</v>
          </cell>
          <cell r="AN206">
            <v>6.0960001945495597</v>
          </cell>
          <cell r="AO206">
            <v>6.1810002326965297</v>
          </cell>
          <cell r="AP206">
            <v>6.8709998130798304</v>
          </cell>
          <cell r="AQ206">
            <v>7.5770001411437997</v>
          </cell>
          <cell r="AR206">
            <v>8.3260002136230504</v>
          </cell>
          <cell r="AS206">
            <v>9.1969995498657209</v>
          </cell>
          <cell r="AT206">
            <v>10.1730003356934</v>
          </cell>
          <cell r="AU206">
            <v>11.3039999008179</v>
          </cell>
          <cell r="AV206">
            <v>12.399000167846699</v>
          </cell>
          <cell r="AW206">
            <v>13.6350002288818</v>
          </cell>
          <cell r="AX206">
            <v>14.9849996566772</v>
          </cell>
          <cell r="AY206">
            <v>16.424999237060501</v>
          </cell>
          <cell r="AZ206">
            <v>17.934999465942401</v>
          </cell>
          <cell r="BA206">
            <v>19.590000152587901</v>
          </cell>
          <cell r="BB206">
            <v>21.253999710083001</v>
          </cell>
          <cell r="BC206">
            <v>23.0170001983643</v>
          </cell>
          <cell r="BD206">
            <v>24.8649997711182</v>
          </cell>
          <cell r="BE206">
            <v>26.802000045776399</v>
          </cell>
          <cell r="BF206">
            <v>28.700000762939499</v>
          </cell>
          <cell r="BG206">
            <v>30.708000183105501</v>
          </cell>
          <cell r="BH206">
            <v>30.9769992828369</v>
          </cell>
          <cell r="BI206">
            <v>31.177000045776399</v>
          </cell>
          <cell r="BJ206">
            <v>31.386999130248999</v>
          </cell>
          <cell r="BK206">
            <v>31.674999237060501</v>
          </cell>
        </row>
        <row r="207">
          <cell r="B207" t="str">
            <v>SAS</v>
          </cell>
          <cell r="C207" t="str">
            <v>Wage and salaried workers, total (% of total employment) (modeled ILO estimate)</v>
          </cell>
          <cell r="D207" t="str">
            <v>SL.EMP.WORK.ZS</v>
          </cell>
          <cell r="AJ207">
            <v>18.007656204665281</v>
          </cell>
          <cell r="AK207">
            <v>18.158910913668191</v>
          </cell>
          <cell r="AL207">
            <v>18.328148807177861</v>
          </cell>
          <cell r="AM207">
            <v>18.565662184146621</v>
          </cell>
          <cell r="AN207">
            <v>18.646493449425776</v>
          </cell>
          <cell r="AO207">
            <v>18.803104526000766</v>
          </cell>
          <cell r="AP207">
            <v>19.063677168442556</v>
          </cell>
          <cell r="AQ207">
            <v>19.058409295926396</v>
          </cell>
          <cell r="AR207">
            <v>19.218327412014418</v>
          </cell>
          <cell r="AS207">
            <v>19.298975150098784</v>
          </cell>
          <cell r="AT207">
            <v>19.38654852168489</v>
          </cell>
          <cell r="AU207">
            <v>19.792549962023823</v>
          </cell>
          <cell r="AV207">
            <v>19.920523094372598</v>
          </cell>
          <cell r="AW207">
            <v>19.886622026766254</v>
          </cell>
          <cell r="AX207">
            <v>19.986979574490089</v>
          </cell>
          <cell r="AY207">
            <v>20.278816765624406</v>
          </cell>
          <cell r="AZ207">
            <v>20.549322703298309</v>
          </cell>
          <cell r="BA207">
            <v>20.622333000696432</v>
          </cell>
          <cell r="BB207">
            <v>20.924295163562675</v>
          </cell>
          <cell r="BC207">
            <v>21.184732134554917</v>
          </cell>
          <cell r="BD207">
            <v>22.301254739076644</v>
          </cell>
          <cell r="BE207">
            <v>23.580861657235221</v>
          </cell>
          <cell r="BF207">
            <v>24.282288003666984</v>
          </cell>
          <cell r="BG207">
            <v>24.883876756648721</v>
          </cell>
          <cell r="BH207">
            <v>25.434460564552275</v>
          </cell>
          <cell r="BI207">
            <v>25.947514271437335</v>
          </cell>
          <cell r="BJ207">
            <v>26.802228835289565</v>
          </cell>
          <cell r="BK207">
            <v>27.635745034819475</v>
          </cell>
        </row>
        <row r="208">
          <cell r="B208" t="str">
            <v>SAU</v>
          </cell>
          <cell r="C208" t="str">
            <v>Wage and salaried workers, total (% of total employment) (modeled ILO estimate)</v>
          </cell>
          <cell r="D208" t="str">
            <v>SL.EMP.WORK.ZS</v>
          </cell>
          <cell r="AJ208">
            <v>91.934997558593807</v>
          </cell>
          <cell r="AK208">
            <v>91.929000854492202</v>
          </cell>
          <cell r="AL208">
            <v>91.949996948242202</v>
          </cell>
          <cell r="AM208">
            <v>91.998001098632798</v>
          </cell>
          <cell r="AN208">
            <v>92.032997131347699</v>
          </cell>
          <cell r="AO208">
            <v>92.119003295898395</v>
          </cell>
          <cell r="AP208">
            <v>92.196998596191406</v>
          </cell>
          <cell r="AQ208">
            <v>92.338996887207003</v>
          </cell>
          <cell r="AR208">
            <v>92.2760009765625</v>
          </cell>
          <cell r="AS208">
            <v>92.378997802734403</v>
          </cell>
          <cell r="AT208">
            <v>92.403999328613295</v>
          </cell>
          <cell r="AU208">
            <v>92.375</v>
          </cell>
          <cell r="AV208">
            <v>92.587997436523395</v>
          </cell>
          <cell r="AW208">
            <v>92.736999511718807</v>
          </cell>
          <cell r="AX208">
            <v>92.825996398925795</v>
          </cell>
          <cell r="AY208">
            <v>92.889999389648395</v>
          </cell>
          <cell r="AZ208">
            <v>92.941001892089801</v>
          </cell>
          <cell r="BA208">
            <v>93.042999267578097</v>
          </cell>
          <cell r="BB208">
            <v>93.091003417968807</v>
          </cell>
          <cell r="BC208">
            <v>93.512001037597699</v>
          </cell>
          <cell r="BD208">
            <v>93.962997436523395</v>
          </cell>
          <cell r="BE208">
            <v>94.349998474121094</v>
          </cell>
          <cell r="BF208">
            <v>94.684997558593807</v>
          </cell>
          <cell r="BG208">
            <v>94.984001159667997</v>
          </cell>
          <cell r="BH208">
            <v>95.194999694824205</v>
          </cell>
          <cell r="BI208">
            <v>95.193000793457003</v>
          </cell>
          <cell r="BJ208">
            <v>95.147003173828097</v>
          </cell>
          <cell r="BK208">
            <v>95.142997741699205</v>
          </cell>
        </row>
        <row r="209">
          <cell r="B209" t="str">
            <v>SDN</v>
          </cell>
          <cell r="C209" t="str">
            <v>Wage and salaried workers, total (% of total employment) (modeled ILO estimate)</v>
          </cell>
          <cell r="D209" t="str">
            <v>SL.EMP.WORK.ZS</v>
          </cell>
          <cell r="AJ209">
            <v>30.642999649047901</v>
          </cell>
          <cell r="AK209">
            <v>31.288000106811499</v>
          </cell>
          <cell r="AL209">
            <v>31.736000061035199</v>
          </cell>
          <cell r="AM209">
            <v>31.829999923706101</v>
          </cell>
          <cell r="AN209">
            <v>32.426998138427699</v>
          </cell>
          <cell r="AO209">
            <v>33.007999420166001</v>
          </cell>
          <cell r="AP209">
            <v>34.027000427246101</v>
          </cell>
          <cell r="AQ209">
            <v>34.456001281738303</v>
          </cell>
          <cell r="AR209">
            <v>34.761001586914098</v>
          </cell>
          <cell r="AS209">
            <v>35.386001586914098</v>
          </cell>
          <cell r="AT209">
            <v>36.021999359130902</v>
          </cell>
          <cell r="AU209">
            <v>36.639999389648402</v>
          </cell>
          <cell r="AV209">
            <v>37.377998352050803</v>
          </cell>
          <cell r="AW209">
            <v>37.758998870849602</v>
          </cell>
          <cell r="AX209">
            <v>38.463001251220703</v>
          </cell>
          <cell r="AY209">
            <v>39.375999450683601</v>
          </cell>
          <cell r="AZ209">
            <v>40.379001617431598</v>
          </cell>
          <cell r="BA209">
            <v>41.054000854492202</v>
          </cell>
          <cell r="BB209">
            <v>41.333999633789098</v>
          </cell>
          <cell r="BC209">
            <v>41.6380004882813</v>
          </cell>
          <cell r="BD209">
            <v>42.430000305175803</v>
          </cell>
          <cell r="BE209">
            <v>43.498001098632798</v>
          </cell>
          <cell r="BF209">
            <v>43.830001831054702</v>
          </cell>
          <cell r="BG209">
            <v>43.987998962402301</v>
          </cell>
          <cell r="BH209">
            <v>44.277999877929702</v>
          </cell>
          <cell r="BI209">
            <v>44.529998779296903</v>
          </cell>
          <cell r="BJ209">
            <v>44.722999572753899</v>
          </cell>
          <cell r="BK209">
            <v>44.353000640869098</v>
          </cell>
        </row>
        <row r="210">
          <cell r="B210" t="str">
            <v>SEN</v>
          </cell>
          <cell r="C210" t="str">
            <v>Wage and salaried workers, total (% of total employment) (modeled ILO estimate)</v>
          </cell>
          <cell r="D210" t="str">
            <v>SL.EMP.WORK.ZS</v>
          </cell>
          <cell r="AJ210">
            <v>12.3489999771118</v>
          </cell>
          <cell r="AK210">
            <v>13.085000038146999</v>
          </cell>
          <cell r="AL210">
            <v>13.854000091552701</v>
          </cell>
          <cell r="AM210">
            <v>14.628999710083001</v>
          </cell>
          <cell r="AN210">
            <v>15.552000045776399</v>
          </cell>
          <cell r="AO210">
            <v>16.445999145507798</v>
          </cell>
          <cell r="AP210">
            <v>17.399999618530298</v>
          </cell>
          <cell r="AQ210">
            <v>18.4540004730225</v>
          </cell>
          <cell r="AR210">
            <v>19.556999206543001</v>
          </cell>
          <cell r="AS210">
            <v>20.6149997711182</v>
          </cell>
          <cell r="AT210">
            <v>21.736000061035199</v>
          </cell>
          <cell r="AU210">
            <v>22.360000610351602</v>
          </cell>
          <cell r="AV210">
            <v>23.173999786376999</v>
          </cell>
          <cell r="AW210">
            <v>23.995000839233398</v>
          </cell>
          <cell r="AX210">
            <v>24.826000213623001</v>
          </cell>
          <cell r="AY210">
            <v>25.577999114990199</v>
          </cell>
          <cell r="AZ210">
            <v>26.420000076293899</v>
          </cell>
          <cell r="BA210">
            <v>27.25</v>
          </cell>
          <cell r="BB210">
            <v>28.027999877929702</v>
          </cell>
          <cell r="BC210">
            <v>28.867000579833999</v>
          </cell>
          <cell r="BD210">
            <v>29.649000167846701</v>
          </cell>
          <cell r="BE210">
            <v>30.566999435424801</v>
          </cell>
          <cell r="BF210">
            <v>31.422000885009801</v>
          </cell>
          <cell r="BG210">
            <v>32.422000885009801</v>
          </cell>
          <cell r="BH210">
            <v>33.430999755859403</v>
          </cell>
          <cell r="BI210">
            <v>33.681999206542997</v>
          </cell>
          <cell r="BJ210">
            <v>33.970001220703097</v>
          </cell>
          <cell r="BK210">
            <v>34.256999969482401</v>
          </cell>
        </row>
        <row r="211">
          <cell r="B211" t="str">
            <v>SGP</v>
          </cell>
          <cell r="C211" t="str">
            <v>Wage and salaried workers, total (% of total employment) (modeled ILO estimate)</v>
          </cell>
          <cell r="D211" t="str">
            <v>SL.EMP.WORK.ZS</v>
          </cell>
          <cell r="AJ211">
            <v>86.647003173828097</v>
          </cell>
          <cell r="AK211">
            <v>86.460998535156307</v>
          </cell>
          <cell r="AL211">
            <v>86.434997558593807</v>
          </cell>
          <cell r="AM211">
            <v>86.341003417968807</v>
          </cell>
          <cell r="AN211">
            <v>88.454002380371094</v>
          </cell>
          <cell r="AO211">
            <v>85.321998596191406</v>
          </cell>
          <cell r="AP211">
            <v>86.051002502441406</v>
          </cell>
          <cell r="AQ211">
            <v>85.494003295898395</v>
          </cell>
          <cell r="AR211">
            <v>84.398002624511705</v>
          </cell>
          <cell r="AS211">
            <v>84.633003234863295</v>
          </cell>
          <cell r="AT211">
            <v>84.632003784179702</v>
          </cell>
          <cell r="AU211">
            <v>84.851997375488295</v>
          </cell>
          <cell r="AV211">
            <v>85.061996459960895</v>
          </cell>
          <cell r="AW211">
            <v>84.438003540039105</v>
          </cell>
          <cell r="AX211">
            <v>84.666999816894503</v>
          </cell>
          <cell r="AY211">
            <v>84.9010009765625</v>
          </cell>
          <cell r="AZ211">
            <v>84.622001647949205</v>
          </cell>
          <cell r="BA211">
            <v>84.919998168945298</v>
          </cell>
          <cell r="BB211">
            <v>85.247001647949205</v>
          </cell>
          <cell r="BC211">
            <v>85.501998901367202</v>
          </cell>
          <cell r="BD211">
            <v>85.001998901367202</v>
          </cell>
          <cell r="BE211">
            <v>84.676002502441406</v>
          </cell>
          <cell r="BF211">
            <v>85.083999633789105</v>
          </cell>
          <cell r="BG211">
            <v>85.380996704101605</v>
          </cell>
          <cell r="BH211">
            <v>86.010002136230497</v>
          </cell>
          <cell r="BI211">
            <v>85.869003295898395</v>
          </cell>
          <cell r="BJ211">
            <v>85.353996276855497</v>
          </cell>
          <cell r="BK211">
            <v>85.968002319335895</v>
          </cell>
        </row>
        <row r="212">
          <cell r="B212" t="str">
            <v>SLB</v>
          </cell>
          <cell r="C212" t="str">
            <v>Wage and salaried workers, total (% of total employment) (modeled ILO estimate)</v>
          </cell>
          <cell r="D212" t="str">
            <v>SL.EMP.WORK.ZS</v>
          </cell>
          <cell r="AJ212">
            <v>29.485000610351602</v>
          </cell>
          <cell r="AK212">
            <v>29.867000579833999</v>
          </cell>
          <cell r="AL212">
            <v>29.974000930786101</v>
          </cell>
          <cell r="AM212">
            <v>30.254999160766602</v>
          </cell>
          <cell r="AN212">
            <v>30.506999969482401</v>
          </cell>
          <cell r="AO212">
            <v>30.5230007171631</v>
          </cell>
          <cell r="AP212">
            <v>30.42799949646</v>
          </cell>
          <cell r="AQ212">
            <v>30.454999923706101</v>
          </cell>
          <cell r="AR212">
            <v>30.3980007171631</v>
          </cell>
          <cell r="AS212">
            <v>29.8719997406006</v>
          </cell>
          <cell r="AT212">
            <v>29.6450004577637</v>
          </cell>
          <cell r="AU212">
            <v>29.600000381469702</v>
          </cell>
          <cell r="AV212">
            <v>29.8129997253418</v>
          </cell>
          <cell r="AW212">
            <v>30.000999450683601</v>
          </cell>
          <cell r="AX212">
            <v>30.216999053955099</v>
          </cell>
          <cell r="AY212">
            <v>30.488000869751001</v>
          </cell>
          <cell r="AZ212">
            <v>30.780000686645501</v>
          </cell>
          <cell r="BA212">
            <v>31.083000183105501</v>
          </cell>
          <cell r="BB212">
            <v>31.010999679565401</v>
          </cell>
          <cell r="BC212">
            <v>31.306999206543001</v>
          </cell>
          <cell r="BD212">
            <v>31.80299949646</v>
          </cell>
          <cell r="BE212">
            <v>32.044998168945298</v>
          </cell>
          <cell r="BF212">
            <v>32.228000640869098</v>
          </cell>
          <cell r="BG212">
            <v>32.381999969482401</v>
          </cell>
          <cell r="BH212">
            <v>32.547000885009801</v>
          </cell>
          <cell r="BI212">
            <v>32.750999450683601</v>
          </cell>
          <cell r="BJ212">
            <v>32.955001831054702</v>
          </cell>
          <cell r="BK212">
            <v>33.154998779296903</v>
          </cell>
        </row>
        <row r="213">
          <cell r="B213" t="str">
            <v>SLE</v>
          </cell>
          <cell r="C213" t="str">
            <v>Wage and salaried workers, total (% of total employment) (modeled ILO estimate)</v>
          </cell>
          <cell r="D213" t="str">
            <v>SL.EMP.WORK.ZS</v>
          </cell>
          <cell r="AJ213">
            <v>9.4409999847412092</v>
          </cell>
          <cell r="AK213">
            <v>9.2069997787475604</v>
          </cell>
          <cell r="AL213">
            <v>9.2600002288818395</v>
          </cell>
          <cell r="AM213">
            <v>9.2740001678466797</v>
          </cell>
          <cell r="AN213">
            <v>9.2089996337890607</v>
          </cell>
          <cell r="AO213">
            <v>9.2670001983642596</v>
          </cell>
          <cell r="AP213">
            <v>9.2209997177124006</v>
          </cell>
          <cell r="AQ213">
            <v>9.2670001983642596</v>
          </cell>
          <cell r="AR213">
            <v>9.2620000839233398</v>
          </cell>
          <cell r="AS213">
            <v>9.3509998321533203</v>
          </cell>
          <cell r="AT213">
            <v>9.2659997940063494</v>
          </cell>
          <cell r="AU213">
            <v>9.5559997558593803</v>
          </cell>
          <cell r="AV213">
            <v>9.6660003662109393</v>
          </cell>
          <cell r="AW213">
            <v>9.7469997406005895</v>
          </cell>
          <cell r="AX213">
            <v>9.8159999847412092</v>
          </cell>
          <cell r="AY213">
            <v>9.8929996490478498</v>
          </cell>
          <cell r="AZ213">
            <v>10.0279998779297</v>
          </cell>
          <cell r="BA213">
            <v>10.1379995346069</v>
          </cell>
          <cell r="BB213">
            <v>10.222999572753899</v>
          </cell>
          <cell r="BC213">
            <v>10.335000038146999</v>
          </cell>
          <cell r="BD213">
            <v>10.4619998931885</v>
          </cell>
          <cell r="BE213">
            <v>10.6960000991821</v>
          </cell>
          <cell r="BF213">
            <v>11.003999710083001</v>
          </cell>
          <cell r="BG213">
            <v>11.121000289916999</v>
          </cell>
          <cell r="BH213">
            <v>10.8420000076294</v>
          </cell>
          <cell r="BI213">
            <v>10.960000038146999</v>
          </cell>
          <cell r="BJ213">
            <v>11.0629997253418</v>
          </cell>
          <cell r="BK213">
            <v>11.1579999923706</v>
          </cell>
        </row>
        <row r="214">
          <cell r="B214" t="str">
            <v>SLV</v>
          </cell>
          <cell r="C214" t="str">
            <v>Wage and salaried workers, total (% of total employment) (modeled ILO estimate)</v>
          </cell>
          <cell r="D214" t="str">
            <v>SL.EMP.WORK.ZS</v>
          </cell>
          <cell r="AJ214">
            <v>57.277999877929702</v>
          </cell>
          <cell r="AK214">
            <v>57.872001647949197</v>
          </cell>
          <cell r="AL214">
            <v>58.370998382568402</v>
          </cell>
          <cell r="AM214">
            <v>55.962001800537102</v>
          </cell>
          <cell r="AN214">
            <v>57.293998718261697</v>
          </cell>
          <cell r="AO214">
            <v>57.273998260497997</v>
          </cell>
          <cell r="AP214">
            <v>57.647998809814503</v>
          </cell>
          <cell r="AQ214">
            <v>57.694999694824197</v>
          </cell>
          <cell r="AR214">
            <v>57.528999328613303</v>
          </cell>
          <cell r="AS214">
            <v>57.2560005187988</v>
          </cell>
          <cell r="AT214">
            <v>57.125999450683601</v>
          </cell>
          <cell r="AU214">
            <v>56.102001190185497</v>
          </cell>
          <cell r="AV214">
            <v>58.659999847412102</v>
          </cell>
          <cell r="AW214">
            <v>60.037998199462898</v>
          </cell>
          <cell r="AX214">
            <v>56.847999572753899</v>
          </cell>
          <cell r="AY214">
            <v>60.1710014343262</v>
          </cell>
          <cell r="AZ214">
            <v>59.018001556396499</v>
          </cell>
          <cell r="BA214">
            <v>58.520999908447301</v>
          </cell>
          <cell r="BB214">
            <v>57.396999359130902</v>
          </cell>
          <cell r="BC214">
            <v>58.220001220703097</v>
          </cell>
          <cell r="BD214">
            <v>58.333000183105497</v>
          </cell>
          <cell r="BE214">
            <v>58.244998931884801</v>
          </cell>
          <cell r="BF214">
            <v>58.095001220703097</v>
          </cell>
          <cell r="BG214">
            <v>60.437000274658203</v>
          </cell>
          <cell r="BH214">
            <v>59.583999633789098</v>
          </cell>
          <cell r="BI214">
            <v>59.988998413085902</v>
          </cell>
          <cell r="BJ214">
            <v>59.759998321533203</v>
          </cell>
          <cell r="BK214">
            <v>61.146999359130902</v>
          </cell>
        </row>
        <row r="215">
          <cell r="B215" t="str">
            <v>SMR</v>
          </cell>
          <cell r="C215" t="str">
            <v>Wage and salaried workers, total (% of total employment) (modeled ILO estimate)</v>
          </cell>
          <cell r="D215" t="str">
            <v>SL.EMP.WORK.ZS</v>
          </cell>
        </row>
        <row r="216">
          <cell r="B216" t="str">
            <v>SOM</v>
          </cell>
          <cell r="C216" t="str">
            <v>Wage and salaried workers, total (% of total employment) (modeled ILO estimate)</v>
          </cell>
          <cell r="D216" t="str">
            <v>SL.EMP.WORK.ZS</v>
          </cell>
          <cell r="AJ216">
            <v>10.751000404357899</v>
          </cell>
          <cell r="AK216">
            <v>10.677000045776399</v>
          </cell>
          <cell r="AL216">
            <v>10.6890001296997</v>
          </cell>
          <cell r="AM216">
            <v>10.579999923706101</v>
          </cell>
          <cell r="AN216">
            <v>10.586000442504901</v>
          </cell>
          <cell r="AO216">
            <v>10.6049995422363</v>
          </cell>
          <cell r="AP216">
            <v>10.5950002670288</v>
          </cell>
          <cell r="AQ216">
            <v>10.6049995422363</v>
          </cell>
          <cell r="AR216">
            <v>10.619000434875501</v>
          </cell>
          <cell r="AS216">
            <v>10.635999679565399</v>
          </cell>
          <cell r="AT216">
            <v>10.6590003967285</v>
          </cell>
          <cell r="AU216">
            <v>10.6859998703003</v>
          </cell>
          <cell r="AV216">
            <v>10.7329998016357</v>
          </cell>
          <cell r="AW216">
            <v>10.781999588012701</v>
          </cell>
          <cell r="AX216">
            <v>10.8339996337891</v>
          </cell>
          <cell r="AY216">
            <v>10.888999938964799</v>
          </cell>
          <cell r="AZ216">
            <v>10.7880001068115</v>
          </cell>
          <cell r="BA216">
            <v>10.885999679565399</v>
          </cell>
          <cell r="BB216">
            <v>10.986000061035201</v>
          </cell>
          <cell r="BC216">
            <v>11.08899974823</v>
          </cell>
          <cell r="BD216">
            <v>11.1960000991821</v>
          </cell>
          <cell r="BE216">
            <v>11.2449998855591</v>
          </cell>
          <cell r="BF216">
            <v>11.295000076293899</v>
          </cell>
          <cell r="BG216">
            <v>11.3489999771118</v>
          </cell>
          <cell r="BH216">
            <v>11.406999588012701</v>
          </cell>
          <cell r="BI216">
            <v>11.4659996032715</v>
          </cell>
          <cell r="BJ216">
            <v>11.520999908447299</v>
          </cell>
          <cell r="BK216">
            <v>11.581999778747599</v>
          </cell>
        </row>
        <row r="217">
          <cell r="B217" t="str">
            <v>SRB</v>
          </cell>
          <cell r="C217" t="str">
            <v>Wage and salaried workers, total (% of total employment) (modeled ILO estimate)</v>
          </cell>
          <cell r="D217" t="str">
            <v>SL.EMP.WORK.ZS</v>
          </cell>
          <cell r="AJ217">
            <v>61.534999847412102</v>
          </cell>
          <cell r="AK217">
            <v>61.029998779296903</v>
          </cell>
          <cell r="AL217">
            <v>60.537998199462898</v>
          </cell>
          <cell r="AM217">
            <v>60.470001220703097</v>
          </cell>
          <cell r="AN217">
            <v>60.742000579833999</v>
          </cell>
          <cell r="AO217">
            <v>61.053001403808601</v>
          </cell>
          <cell r="AP217">
            <v>61.391998291015597</v>
          </cell>
          <cell r="AQ217">
            <v>61.759998321533203</v>
          </cell>
          <cell r="AR217">
            <v>61.971000671386697</v>
          </cell>
          <cell r="AS217">
            <v>62.2369995117188</v>
          </cell>
          <cell r="AT217">
            <v>62.678001403808601</v>
          </cell>
          <cell r="AU217">
            <v>63.127998352050803</v>
          </cell>
          <cell r="AV217">
            <v>63.590999603271499</v>
          </cell>
          <cell r="AW217">
            <v>64.086997985839801</v>
          </cell>
          <cell r="AX217">
            <v>64.559997558593807</v>
          </cell>
          <cell r="AY217">
            <v>65.170997619628906</v>
          </cell>
          <cell r="AZ217">
            <v>65.670997619628906</v>
          </cell>
          <cell r="BA217">
            <v>66.172996520996094</v>
          </cell>
          <cell r="BB217">
            <v>67.860000610351605</v>
          </cell>
          <cell r="BC217">
            <v>67.560997009277301</v>
          </cell>
          <cell r="BD217">
            <v>69.889999389648395</v>
          </cell>
          <cell r="BE217">
            <v>69.607002258300795</v>
          </cell>
          <cell r="BF217">
            <v>67.557998657226605</v>
          </cell>
          <cell r="BG217">
            <v>68.289001464843807</v>
          </cell>
          <cell r="BH217">
            <v>69.841003417968807</v>
          </cell>
          <cell r="BI217">
            <v>68.652999877929702</v>
          </cell>
          <cell r="BJ217">
            <v>69.427001953125</v>
          </cell>
          <cell r="BK217">
            <v>71.741996765136705</v>
          </cell>
        </row>
        <row r="218">
          <cell r="B218" t="str">
            <v>SSA</v>
          </cell>
          <cell r="C218" t="str">
            <v>Wage and salaried workers, total (% of total employment) (modeled ILO estimate)</v>
          </cell>
          <cell r="D218" t="str">
            <v>SL.EMP.WORK.ZS</v>
          </cell>
          <cell r="AJ218">
            <v>19.105759058786738</v>
          </cell>
          <cell r="AK218">
            <v>19.171882101367498</v>
          </cell>
          <cell r="AL218">
            <v>19.231393507717875</v>
          </cell>
          <cell r="AM218">
            <v>19.29240082252673</v>
          </cell>
          <cell r="AN218">
            <v>19.417778212450241</v>
          </cell>
          <cell r="AO218">
            <v>19.562734088773091</v>
          </cell>
          <cell r="AP218">
            <v>19.718923702665194</v>
          </cell>
          <cell r="AQ218">
            <v>19.841660880479576</v>
          </cell>
          <cell r="AR218">
            <v>19.948146808231659</v>
          </cell>
          <cell r="AS218">
            <v>20.022844136926427</v>
          </cell>
          <cell r="AT218">
            <v>20.058507036857456</v>
          </cell>
          <cell r="AU218">
            <v>19.967589445225038</v>
          </cell>
          <cell r="AV218">
            <v>20.015972683211551</v>
          </cell>
          <cell r="AW218">
            <v>20.167453900442474</v>
          </cell>
          <cell r="AX218">
            <v>20.128622719845563</v>
          </cell>
          <cell r="AY218">
            <v>20.280045709462378</v>
          </cell>
          <cell r="AZ218">
            <v>20.747919121953732</v>
          </cell>
          <cell r="BA218">
            <v>21.337050816736379</v>
          </cell>
          <cell r="BB218">
            <v>21.556443314535535</v>
          </cell>
          <cell r="BC218">
            <v>21.7520769676842</v>
          </cell>
          <cell r="BD218">
            <v>22.190869344693919</v>
          </cell>
          <cell r="BE218">
            <v>22.607374933201172</v>
          </cell>
          <cell r="BF218">
            <v>22.978034795216775</v>
          </cell>
          <cell r="BG218">
            <v>23.347165920247736</v>
          </cell>
          <cell r="BH218">
            <v>23.6073255312909</v>
          </cell>
          <cell r="BI218">
            <v>23.730953868718252</v>
          </cell>
          <cell r="BJ218">
            <v>23.844588125733821</v>
          </cell>
          <cell r="BK218">
            <v>23.908864597102561</v>
          </cell>
        </row>
        <row r="219">
          <cell r="B219" t="str">
            <v>SSD</v>
          </cell>
          <cell r="C219" t="str">
            <v>Wage and salaried workers, total (% of total employment) (modeled ILO estimate)</v>
          </cell>
          <cell r="D219" t="str">
            <v>SL.EMP.WORK.ZS</v>
          </cell>
          <cell r="AJ219">
            <v>10.6269998550415</v>
          </cell>
          <cell r="AK219">
            <v>11.1420001983643</v>
          </cell>
          <cell r="AL219">
            <v>11.5509996414185</v>
          </cell>
          <cell r="AM219">
            <v>11.9670000076294</v>
          </cell>
          <cell r="AN219">
            <v>12.5539999008179</v>
          </cell>
          <cell r="AO219">
            <v>12.918000221252401</v>
          </cell>
          <cell r="AP219">
            <v>13.2340002059937</v>
          </cell>
          <cell r="AQ219">
            <v>13.5920000076294</v>
          </cell>
          <cell r="AR219">
            <v>13.7550001144409</v>
          </cell>
          <cell r="AS219">
            <v>14.088000297546399</v>
          </cell>
          <cell r="AT219">
            <v>14.5279998779297</v>
          </cell>
          <cell r="AU219">
            <v>14.7399997711182</v>
          </cell>
          <cell r="AV219">
            <v>14.9359998703003</v>
          </cell>
          <cell r="AW219">
            <v>15.0410003662109</v>
          </cell>
          <cell r="AX219">
            <v>15.123999595642101</v>
          </cell>
          <cell r="AY219">
            <v>15.201000213623001</v>
          </cell>
          <cell r="AZ219">
            <v>15.206999778747599</v>
          </cell>
          <cell r="BA219">
            <v>15.1090002059937</v>
          </cell>
          <cell r="BB219">
            <v>14.6990003585815</v>
          </cell>
          <cell r="BC219">
            <v>14.5970001220703</v>
          </cell>
          <cell r="BD219">
            <v>14.211000442504901</v>
          </cell>
          <cell r="BE219">
            <v>13.076000213623001</v>
          </cell>
          <cell r="BF219">
            <v>13.461000442504901</v>
          </cell>
          <cell r="BG219">
            <v>13.413999557495099</v>
          </cell>
          <cell r="BH219">
            <v>12.725999832153301</v>
          </cell>
          <cell r="BI219">
            <v>12.029000282287599</v>
          </cell>
          <cell r="BJ219">
            <v>11.638999938964799</v>
          </cell>
          <cell r="BK219">
            <v>11.480999946594199</v>
          </cell>
        </row>
        <row r="220">
          <cell r="B220" t="str">
            <v>SSF</v>
          </cell>
          <cell r="C220" t="str">
            <v>Wage and salaried workers, total (% of total employment) (modeled ILO estimate)</v>
          </cell>
          <cell r="D220" t="str">
            <v>SL.EMP.WORK.ZS</v>
          </cell>
          <cell r="AJ220">
            <v>19.105759058786738</v>
          </cell>
          <cell r="AK220">
            <v>19.17188210136749</v>
          </cell>
          <cell r="AL220">
            <v>19.231393507717875</v>
          </cell>
          <cell r="AM220">
            <v>19.292400822526727</v>
          </cell>
          <cell r="AN220">
            <v>19.417778212450237</v>
          </cell>
          <cell r="AO220">
            <v>19.562734088773091</v>
          </cell>
          <cell r="AP220">
            <v>19.71892370266519</v>
          </cell>
          <cell r="AQ220">
            <v>19.841660880479576</v>
          </cell>
          <cell r="AR220">
            <v>19.948146808231659</v>
          </cell>
          <cell r="AS220">
            <v>20.022844136926434</v>
          </cell>
          <cell r="AT220">
            <v>20.058507036857453</v>
          </cell>
          <cell r="AU220">
            <v>19.967589445225034</v>
          </cell>
          <cell r="AV220">
            <v>20.015972683211547</v>
          </cell>
          <cell r="AW220">
            <v>20.167453900442471</v>
          </cell>
          <cell r="AX220">
            <v>20.128622719845559</v>
          </cell>
          <cell r="AY220">
            <v>20.280045709462378</v>
          </cell>
          <cell r="AZ220">
            <v>20.747919121953732</v>
          </cell>
          <cell r="BA220">
            <v>21.337050816736379</v>
          </cell>
          <cell r="BB220">
            <v>21.556443314535535</v>
          </cell>
          <cell r="BC220">
            <v>21.7520769676842</v>
          </cell>
          <cell r="BD220">
            <v>22.190869344693919</v>
          </cell>
          <cell r="BE220">
            <v>22.607374933201172</v>
          </cell>
          <cell r="BF220">
            <v>22.978034795216775</v>
          </cell>
          <cell r="BG220">
            <v>23.347165920247736</v>
          </cell>
          <cell r="BH220">
            <v>23.6073255312909</v>
          </cell>
          <cell r="BI220">
            <v>23.730953868718252</v>
          </cell>
          <cell r="BJ220">
            <v>23.844588125733821</v>
          </cell>
          <cell r="BK220">
            <v>23.908864597102557</v>
          </cell>
        </row>
        <row r="221">
          <cell r="B221" t="str">
            <v>SST</v>
          </cell>
          <cell r="C221" t="str">
            <v>Wage and salaried workers, total (% of total employment) (modeled ILO estimate)</v>
          </cell>
          <cell r="D221" t="str">
            <v>SL.EMP.WORK.ZS</v>
          </cell>
          <cell r="AJ221">
            <v>63.212515406747585</v>
          </cell>
          <cell r="AK221">
            <v>63.143913267011058</v>
          </cell>
          <cell r="AL221">
            <v>63.224501766725979</v>
          </cell>
          <cell r="AM221">
            <v>63.333422774141169</v>
          </cell>
          <cell r="AN221">
            <v>63.60246000282622</v>
          </cell>
          <cell r="AO221">
            <v>63.687413298737894</v>
          </cell>
          <cell r="AP221">
            <v>63.879515312104026</v>
          </cell>
          <cell r="AQ221">
            <v>63.815861613549593</v>
          </cell>
          <cell r="AR221">
            <v>63.721869764146973</v>
          </cell>
          <cell r="AS221">
            <v>63.906751884667649</v>
          </cell>
          <cell r="AT221">
            <v>64.061104757843907</v>
          </cell>
          <cell r="AU221">
            <v>64.275854292007892</v>
          </cell>
          <cell r="AV221">
            <v>64.22042269164892</v>
          </cell>
          <cell r="AW221">
            <v>64.589555206594554</v>
          </cell>
          <cell r="AX221">
            <v>65.193128403606664</v>
          </cell>
          <cell r="AY221">
            <v>65.741639856834368</v>
          </cell>
          <cell r="AZ221">
            <v>66.365205462583404</v>
          </cell>
          <cell r="BA221">
            <v>66.722199243841786</v>
          </cell>
          <cell r="BB221">
            <v>66.874394873465135</v>
          </cell>
          <cell r="BC221">
            <v>67.208198353101466</v>
          </cell>
          <cell r="BD221">
            <v>67.402018413722331</v>
          </cell>
          <cell r="BE221">
            <v>67.573535041903625</v>
          </cell>
          <cell r="BF221">
            <v>67.57565437945108</v>
          </cell>
          <cell r="BG221">
            <v>67.683597176781646</v>
          </cell>
          <cell r="BH221">
            <v>67.883026868767914</v>
          </cell>
          <cell r="BI221">
            <v>67.983416179332323</v>
          </cell>
          <cell r="BJ221">
            <v>67.847338842695635</v>
          </cell>
          <cell r="BK221">
            <v>67.706464315535996</v>
          </cell>
        </row>
        <row r="222">
          <cell r="B222" t="str">
            <v>STP</v>
          </cell>
          <cell r="C222" t="str">
            <v>Wage and salaried workers, total (% of total employment) (modeled ILO estimate)</v>
          </cell>
          <cell r="D222" t="str">
            <v>SL.EMP.WORK.ZS</v>
          </cell>
          <cell r="AJ222">
            <v>46.230998992919901</v>
          </cell>
          <cell r="AK222">
            <v>46.306999206542997</v>
          </cell>
          <cell r="AL222">
            <v>46.396999359130902</v>
          </cell>
          <cell r="AM222">
            <v>46.513999938964801</v>
          </cell>
          <cell r="AN222">
            <v>46.629001617431598</v>
          </cell>
          <cell r="AO222">
            <v>46.745998382568402</v>
          </cell>
          <cell r="AP222">
            <v>46.8549995422363</v>
          </cell>
          <cell r="AQ222">
            <v>46.995998382568402</v>
          </cell>
          <cell r="AR222">
            <v>47.141998291015597</v>
          </cell>
          <cell r="AS222">
            <v>47.244998931884801</v>
          </cell>
          <cell r="AT222">
            <v>47.3950004577637</v>
          </cell>
          <cell r="AU222">
            <v>47.582000732421903</v>
          </cell>
          <cell r="AV222">
            <v>47.862998962402301</v>
          </cell>
          <cell r="AW222">
            <v>47.922000885009801</v>
          </cell>
          <cell r="AX222">
            <v>46.969001770019503</v>
          </cell>
          <cell r="AY222">
            <v>47.305999755859403</v>
          </cell>
          <cell r="AZ222">
            <v>47.505001068115199</v>
          </cell>
          <cell r="BA222">
            <v>47.811000823974602</v>
          </cell>
          <cell r="BB222">
            <v>47.9869995117188</v>
          </cell>
          <cell r="BC222">
            <v>48.272998809814503</v>
          </cell>
          <cell r="BD222">
            <v>48.514999389648402</v>
          </cell>
          <cell r="BE222">
            <v>48.7299995422363</v>
          </cell>
          <cell r="BF222">
            <v>48.981998443603501</v>
          </cell>
          <cell r="BG222">
            <v>49.269001007080099</v>
          </cell>
          <cell r="BH222">
            <v>49.497001647949197</v>
          </cell>
          <cell r="BI222">
            <v>49.719001770019503</v>
          </cell>
          <cell r="BJ222">
            <v>49.932998657226598</v>
          </cell>
          <cell r="BK222">
            <v>50.112998962402301</v>
          </cell>
        </row>
        <row r="223">
          <cell r="B223" t="str">
            <v>SUR</v>
          </cell>
          <cell r="C223" t="str">
            <v>Wage and salaried workers, total (% of total employment) (modeled ILO estimate)</v>
          </cell>
          <cell r="D223" t="str">
            <v>SL.EMP.WORK.ZS</v>
          </cell>
          <cell r="AJ223">
            <v>80.963996887207003</v>
          </cell>
          <cell r="AK223">
            <v>80.988998413085895</v>
          </cell>
          <cell r="AL223">
            <v>80.987998962402301</v>
          </cell>
          <cell r="AM223">
            <v>82.486000061035199</v>
          </cell>
          <cell r="AN223">
            <v>83.864997863769503</v>
          </cell>
          <cell r="AO223">
            <v>81.094001770019503</v>
          </cell>
          <cell r="AP223">
            <v>80.000999450683594</v>
          </cell>
          <cell r="AQ223">
            <v>82.450996398925795</v>
          </cell>
          <cell r="AR223">
            <v>82.666999816894503</v>
          </cell>
          <cell r="AS223">
            <v>82.894996643066406</v>
          </cell>
          <cell r="AT223">
            <v>83.129997253417997</v>
          </cell>
          <cell r="AU223">
            <v>83.357002258300795</v>
          </cell>
          <cell r="AV223">
            <v>83.599998474121094</v>
          </cell>
          <cell r="AW223">
            <v>83.861999511718807</v>
          </cell>
          <cell r="AX223">
            <v>84.110000610351605</v>
          </cell>
          <cell r="AY223">
            <v>84.364997863769503</v>
          </cell>
          <cell r="AZ223">
            <v>84.606002807617202</v>
          </cell>
          <cell r="BA223">
            <v>84.827003479003906</v>
          </cell>
          <cell r="BB223">
            <v>85.022003173828097</v>
          </cell>
          <cell r="BC223">
            <v>85.231002807617202</v>
          </cell>
          <cell r="BD223">
            <v>85.436996459960895</v>
          </cell>
          <cell r="BE223">
            <v>85.586997985839801</v>
          </cell>
          <cell r="BF223">
            <v>85.724998474121094</v>
          </cell>
          <cell r="BG223">
            <v>85.809997558593807</v>
          </cell>
          <cell r="BH223">
            <v>85.832000732421903</v>
          </cell>
          <cell r="BI223">
            <v>85.779998779296903</v>
          </cell>
          <cell r="BJ223">
            <v>85.811996459960895</v>
          </cell>
          <cell r="BK223">
            <v>85.845001220703097</v>
          </cell>
        </row>
        <row r="224">
          <cell r="B224" t="str">
            <v>SVK</v>
          </cell>
          <cell r="C224" t="str">
            <v>Wage and salaried workers, total (% of total employment) (modeled ILO estimate)</v>
          </cell>
          <cell r="D224" t="str">
            <v>SL.EMP.WORK.ZS</v>
          </cell>
          <cell r="AJ224">
            <v>92.594001770019503</v>
          </cell>
          <cell r="AK224">
            <v>92.818000793457003</v>
          </cell>
          <cell r="AL224">
            <v>92.892997741699205</v>
          </cell>
          <cell r="AM224">
            <v>92.922996520996094</v>
          </cell>
          <cell r="AN224">
            <v>92.9739990234375</v>
          </cell>
          <cell r="AO224">
            <v>93.017997741699205</v>
          </cell>
          <cell r="AP224">
            <v>93.089996337890597</v>
          </cell>
          <cell r="AQ224">
            <v>93.147003173828097</v>
          </cell>
          <cell r="AR224">
            <v>92.416000366210895</v>
          </cell>
          <cell r="AS224">
            <v>92.095001220703097</v>
          </cell>
          <cell r="AT224">
            <v>91.475997924804702</v>
          </cell>
          <cell r="AU224">
            <v>91.523002624511705</v>
          </cell>
          <cell r="AV224">
            <v>90.494003295898395</v>
          </cell>
          <cell r="AW224">
            <v>87.886001586914105</v>
          </cell>
          <cell r="AX224">
            <v>87.317001342773395</v>
          </cell>
          <cell r="AY224">
            <v>87.349998474121094</v>
          </cell>
          <cell r="AZ224">
            <v>87.105003356933594</v>
          </cell>
          <cell r="BA224">
            <v>86.224998474121094</v>
          </cell>
          <cell r="BB224">
            <v>84.325996398925795</v>
          </cell>
          <cell r="BC224">
            <v>84.027999877929702</v>
          </cell>
          <cell r="BD224">
            <v>84.003997802734403</v>
          </cell>
          <cell r="BE224">
            <v>84.475997924804702</v>
          </cell>
          <cell r="BF224">
            <v>84.387001037597699</v>
          </cell>
          <cell r="BG224">
            <v>84.544998168945298</v>
          </cell>
          <cell r="BH224">
            <v>84.845001220703097</v>
          </cell>
          <cell r="BI224">
            <v>84.573997497558594</v>
          </cell>
          <cell r="BJ224">
            <v>84.736999511718807</v>
          </cell>
          <cell r="BK224">
            <v>85.186996459960895</v>
          </cell>
        </row>
        <row r="225">
          <cell r="B225" t="str">
            <v>SVN</v>
          </cell>
          <cell r="C225" t="str">
            <v>Wage and salaried workers, total (% of total employment) (modeled ILO estimate)</v>
          </cell>
          <cell r="D225" t="str">
            <v>SL.EMP.WORK.ZS</v>
          </cell>
          <cell r="AJ225">
            <v>84.282997131347699</v>
          </cell>
          <cell r="AK225">
            <v>84.419998168945298</v>
          </cell>
          <cell r="AL225">
            <v>84.614997863769503</v>
          </cell>
          <cell r="AM225">
            <v>82.374000549316406</v>
          </cell>
          <cell r="AN225">
            <v>83.107002258300795</v>
          </cell>
          <cell r="AO225">
            <v>83.129997253417997</v>
          </cell>
          <cell r="AP225">
            <v>81.292999267578097</v>
          </cell>
          <cell r="AQ225">
            <v>80.787002563476605</v>
          </cell>
          <cell r="AR225">
            <v>81.542999267578097</v>
          </cell>
          <cell r="AS225">
            <v>83.942001342773395</v>
          </cell>
          <cell r="AT225">
            <v>82.919998168945298</v>
          </cell>
          <cell r="AU225">
            <v>83.750999450683594</v>
          </cell>
          <cell r="AV225">
            <v>85.988998413085895</v>
          </cell>
          <cell r="AW225">
            <v>84.383003234863295</v>
          </cell>
          <cell r="AX225">
            <v>84.861999511718807</v>
          </cell>
          <cell r="AY225">
            <v>83.803001403808594</v>
          </cell>
          <cell r="AZ225">
            <v>84.112998962402301</v>
          </cell>
          <cell r="BA225">
            <v>85.878997802734403</v>
          </cell>
          <cell r="BB225">
            <v>83.808998107910199</v>
          </cell>
          <cell r="BC225">
            <v>82.744003295898395</v>
          </cell>
          <cell r="BD225">
            <v>83.185997009277301</v>
          </cell>
          <cell r="BE225">
            <v>83.763999938964801</v>
          </cell>
          <cell r="BF225">
            <v>83.123001098632798</v>
          </cell>
          <cell r="BG225">
            <v>81.430000305175795</v>
          </cell>
          <cell r="BH225">
            <v>83.5</v>
          </cell>
          <cell r="BI225">
            <v>85.805999755859403</v>
          </cell>
          <cell r="BJ225">
            <v>85.418998718261705</v>
          </cell>
          <cell r="BK225">
            <v>84.800003051757798</v>
          </cell>
        </row>
        <row r="226">
          <cell r="B226" t="str">
            <v>SWE</v>
          </cell>
          <cell r="C226" t="str">
            <v>Wage and salaried workers, total (% of total employment) (modeled ILO estimate)</v>
          </cell>
          <cell r="D226" t="str">
            <v>SL.EMP.WORK.ZS</v>
          </cell>
          <cell r="AJ226">
            <v>87.301002502441406</v>
          </cell>
          <cell r="AK226">
            <v>87.357002258300795</v>
          </cell>
          <cell r="AL226">
            <v>87.431999206542997</v>
          </cell>
          <cell r="AM226">
            <v>87.5780029296875</v>
          </cell>
          <cell r="AN226">
            <v>87.740997314453097</v>
          </cell>
          <cell r="AO226">
            <v>87.772003173828097</v>
          </cell>
          <cell r="AP226">
            <v>88.238998413085895</v>
          </cell>
          <cell r="AQ226">
            <v>88.586997985839801</v>
          </cell>
          <cell r="AR226">
            <v>88.527000427246094</v>
          </cell>
          <cell r="AS226">
            <v>88.915000915527301</v>
          </cell>
          <cell r="AT226">
            <v>89.306999206542997</v>
          </cell>
          <cell r="AU226">
            <v>89.305000305175795</v>
          </cell>
          <cell r="AV226">
            <v>89.616996765136705</v>
          </cell>
          <cell r="AW226">
            <v>89.497001647949205</v>
          </cell>
          <cell r="AX226">
            <v>89.218002319335895</v>
          </cell>
          <cell r="AY226">
            <v>89.301002502441406</v>
          </cell>
          <cell r="AZ226">
            <v>89.402000427246094</v>
          </cell>
          <cell r="BA226">
            <v>89.593002319335895</v>
          </cell>
          <cell r="BB226">
            <v>89.311996459960895</v>
          </cell>
          <cell r="BC226">
            <v>89.054000854492202</v>
          </cell>
          <cell r="BD226">
            <v>89.582000732421903</v>
          </cell>
          <cell r="BE226">
            <v>89.551002502441406</v>
          </cell>
          <cell r="BF226">
            <v>89.407997131347699</v>
          </cell>
          <cell r="BG226">
            <v>89.667999267578097</v>
          </cell>
          <cell r="BH226">
            <v>89.746002197265597</v>
          </cell>
          <cell r="BI226">
            <v>90.011001586914105</v>
          </cell>
          <cell r="BJ226">
            <v>90.141998291015597</v>
          </cell>
          <cell r="BK226">
            <v>90.403999328613295</v>
          </cell>
        </row>
        <row r="227">
          <cell r="B227" t="str">
            <v>SWZ</v>
          </cell>
          <cell r="C227" t="str">
            <v>Wage and salaried workers, total (% of total employment) (modeled ILO estimate)</v>
          </cell>
          <cell r="D227" t="str">
            <v>SL.EMP.WORK.ZS</v>
          </cell>
          <cell r="AJ227">
            <v>76.989997863769503</v>
          </cell>
          <cell r="AK227">
            <v>77.113998413085895</v>
          </cell>
          <cell r="AL227">
            <v>77.236000061035199</v>
          </cell>
          <cell r="AM227">
            <v>77.364997863769503</v>
          </cell>
          <cell r="AN227">
            <v>77.503997802734403</v>
          </cell>
          <cell r="AO227">
            <v>77.648002624511705</v>
          </cell>
          <cell r="AP227">
            <v>77.7760009765625</v>
          </cell>
          <cell r="AQ227">
            <v>77.180000305175795</v>
          </cell>
          <cell r="AR227">
            <v>76.580001831054702</v>
          </cell>
          <cell r="AS227">
            <v>75.956001281738295</v>
          </cell>
          <cell r="AT227">
            <v>75.314002990722699</v>
          </cell>
          <cell r="AU227">
            <v>74.698997497558594</v>
          </cell>
          <cell r="AV227">
            <v>74.079002380371094</v>
          </cell>
          <cell r="AW227">
            <v>73.434997558593807</v>
          </cell>
          <cell r="AX227">
            <v>72.814002990722699</v>
          </cell>
          <cell r="AY227">
            <v>72.183998107910199</v>
          </cell>
          <cell r="AZ227">
            <v>71.519996643066406</v>
          </cell>
          <cell r="BA227">
            <v>70.801002502441406</v>
          </cell>
          <cell r="BB227">
            <v>70.068000793457003</v>
          </cell>
          <cell r="BC227">
            <v>69.366996765136705</v>
          </cell>
          <cell r="BD227">
            <v>68.623001098632798</v>
          </cell>
          <cell r="BE227">
            <v>67.893997192382798</v>
          </cell>
          <cell r="BF227">
            <v>67.198997497558594</v>
          </cell>
          <cell r="BG227">
            <v>66.398002624511705</v>
          </cell>
          <cell r="BH227">
            <v>65.541000366210895</v>
          </cell>
          <cell r="BI227">
            <v>64.726997375488295</v>
          </cell>
          <cell r="BJ227">
            <v>64.897003173828097</v>
          </cell>
          <cell r="BK227">
            <v>65.036003112792997</v>
          </cell>
        </row>
        <row r="228">
          <cell r="B228" t="str">
            <v>SXM</v>
          </cell>
          <cell r="C228" t="str">
            <v>Wage and salaried workers, total (% of total employment) (modeled ILO estimate)</v>
          </cell>
          <cell r="D228" t="str">
            <v>SL.EMP.WORK.ZS</v>
          </cell>
        </row>
        <row r="229">
          <cell r="B229" t="str">
            <v>SYC</v>
          </cell>
          <cell r="C229" t="str">
            <v>Wage and salaried workers, total (% of total employment) (modeled ILO estimate)</v>
          </cell>
          <cell r="D229" t="str">
            <v>SL.EMP.WORK.ZS</v>
          </cell>
        </row>
        <row r="230">
          <cell r="B230" t="str">
            <v>SYR</v>
          </cell>
          <cell r="C230" t="str">
            <v>Wage and salaried workers, total (% of total employment) (modeled ILO estimate)</v>
          </cell>
          <cell r="D230" t="str">
            <v>SL.EMP.WORK.ZS</v>
          </cell>
          <cell r="AJ230">
            <v>48.650001525878899</v>
          </cell>
          <cell r="AK230">
            <v>49.275001525878899</v>
          </cell>
          <cell r="AL230">
            <v>49.530998229980497</v>
          </cell>
          <cell r="AM230">
            <v>49.666999816894503</v>
          </cell>
          <cell r="AN230">
            <v>49.792999267578097</v>
          </cell>
          <cell r="AO230">
            <v>49.763999938964801</v>
          </cell>
          <cell r="AP230">
            <v>49.478000640869098</v>
          </cell>
          <cell r="AQ230">
            <v>49.619998931884801</v>
          </cell>
          <cell r="AR230">
            <v>49.198001861572301</v>
          </cell>
          <cell r="AS230">
            <v>49.143001556396499</v>
          </cell>
          <cell r="AT230">
            <v>49.238998413085902</v>
          </cell>
          <cell r="AU230">
            <v>50.821998596191399</v>
          </cell>
          <cell r="AV230">
            <v>51.801998138427699</v>
          </cell>
          <cell r="AW230">
            <v>53.2560005187988</v>
          </cell>
          <cell r="AX230">
            <v>54.541000366210902</v>
          </cell>
          <cell r="AY230">
            <v>55.5859985351563</v>
          </cell>
          <cell r="AZ230">
            <v>53.740001678466797</v>
          </cell>
          <cell r="BA230">
            <v>61.771999359130902</v>
          </cell>
          <cell r="BB230">
            <v>61.819999694824197</v>
          </cell>
          <cell r="BC230">
            <v>63.187000274658203</v>
          </cell>
          <cell r="BD230">
            <v>62.602001190185497</v>
          </cell>
          <cell r="BE230">
            <v>62.629001617431598</v>
          </cell>
          <cell r="BF230">
            <v>62.659000396728501</v>
          </cell>
          <cell r="BG230">
            <v>62.694000244140597</v>
          </cell>
          <cell r="BH230">
            <v>62.735000610351598</v>
          </cell>
          <cell r="BI230">
            <v>62.778999328613303</v>
          </cell>
          <cell r="BJ230">
            <v>62.826999664306598</v>
          </cell>
          <cell r="BK230">
            <v>62.880001068115199</v>
          </cell>
        </row>
        <row r="231">
          <cell r="B231" t="str">
            <v>TCA</v>
          </cell>
          <cell r="C231" t="str">
            <v>Wage and salaried workers, total (% of total employment) (modeled ILO estimate)</v>
          </cell>
          <cell r="D231" t="str">
            <v>SL.EMP.WORK.ZS</v>
          </cell>
        </row>
        <row r="232">
          <cell r="B232" t="str">
            <v>TCD</v>
          </cell>
          <cell r="C232" t="str">
            <v>Wage and salaried workers, total (% of total employment) (modeled ILO estimate)</v>
          </cell>
          <cell r="D232" t="str">
            <v>SL.EMP.WORK.ZS</v>
          </cell>
          <cell r="AJ232">
            <v>5.1059999465942401</v>
          </cell>
          <cell r="AK232">
            <v>5.1869997978210396</v>
          </cell>
          <cell r="AL232">
            <v>5.0489997863769496</v>
          </cell>
          <cell r="AM232">
            <v>5.1409997940063503</v>
          </cell>
          <cell r="AN232">
            <v>5.1609997749328604</v>
          </cell>
          <cell r="AO232">
            <v>5.19099998474121</v>
          </cell>
          <cell r="AP232">
            <v>5.25</v>
          </cell>
          <cell r="AQ232">
            <v>5.32200002670288</v>
          </cell>
          <cell r="AR232">
            <v>5.3270001411437997</v>
          </cell>
          <cell r="AS232">
            <v>5.3319997787475604</v>
          </cell>
          <cell r="AT232">
            <v>5.4439997673034703</v>
          </cell>
          <cell r="AU232">
            <v>5.5329999923706099</v>
          </cell>
          <cell r="AV232">
            <v>5.6789999008178702</v>
          </cell>
          <cell r="AW232">
            <v>6</v>
          </cell>
          <cell r="AX232">
            <v>6.1989998817443803</v>
          </cell>
          <cell r="AY232">
            <v>6.21799993515015</v>
          </cell>
          <cell r="AZ232">
            <v>6.2680001258850098</v>
          </cell>
          <cell r="BA232">
            <v>6.3150000572204599</v>
          </cell>
          <cell r="BB232">
            <v>6.375</v>
          </cell>
          <cell r="BC232">
            <v>6.5409998893737802</v>
          </cell>
          <cell r="BD232">
            <v>6.5440001487731898</v>
          </cell>
          <cell r="BE232">
            <v>6.6550002098083496</v>
          </cell>
          <cell r="BF232">
            <v>6.7259998321533203</v>
          </cell>
          <cell r="BG232">
            <v>6.8119997978210396</v>
          </cell>
          <cell r="BH232">
            <v>6.84299993515015</v>
          </cell>
          <cell r="BI232">
            <v>6.7490000724792498</v>
          </cell>
          <cell r="BJ232">
            <v>6.7020001411437997</v>
          </cell>
          <cell r="BK232">
            <v>6.7290000915527299</v>
          </cell>
        </row>
        <row r="233">
          <cell r="B233" t="str">
            <v>TEA</v>
          </cell>
          <cell r="C233" t="str">
            <v>Wage and salaried workers, total (% of total employment) (modeled ILO estimate)</v>
          </cell>
          <cell r="D233" t="str">
            <v>SL.EMP.WORK.ZS</v>
          </cell>
          <cell r="AJ233">
            <v>30.941258825673614</v>
          </cell>
          <cell r="AK233">
            <v>31.581815016871975</v>
          </cell>
          <cell r="AL233">
            <v>32.318289001061785</v>
          </cell>
          <cell r="AM233">
            <v>32.971515354322783</v>
          </cell>
          <cell r="AN233">
            <v>33.656027378064231</v>
          </cell>
          <cell r="AO233">
            <v>34.387324673121995</v>
          </cell>
          <cell r="AP233">
            <v>35.118193059979646</v>
          </cell>
          <cell r="AQ233">
            <v>35.513536037886034</v>
          </cell>
          <cell r="AR233">
            <v>36.078114485081578</v>
          </cell>
          <cell r="AS233">
            <v>36.761503920346058</v>
          </cell>
          <cell r="AT233">
            <v>37.774553361982392</v>
          </cell>
          <cell r="AU233">
            <v>38.397338162917023</v>
          </cell>
          <cell r="AV233">
            <v>39.003407389615596</v>
          </cell>
          <cell r="AW233">
            <v>40.122249101654049</v>
          </cell>
          <cell r="AX233">
            <v>41.051553661594838</v>
          </cell>
          <cell r="AY233">
            <v>41.852770284733182</v>
          </cell>
          <cell r="AZ233">
            <v>42.585937456435012</v>
          </cell>
          <cell r="BA233">
            <v>43.305624718425449</v>
          </cell>
          <cell r="BB233">
            <v>44.110344621616335</v>
          </cell>
          <cell r="BC233">
            <v>44.913732683209261</v>
          </cell>
          <cell r="BD233">
            <v>45.8505194699596</v>
          </cell>
          <cell r="BE233">
            <v>46.831358163073475</v>
          </cell>
          <cell r="BF233">
            <v>47.772169190502424</v>
          </cell>
          <cell r="BG233">
            <v>48.601756042271816</v>
          </cell>
          <cell r="BH233">
            <v>49.770319120756177</v>
          </cell>
          <cell r="BI233">
            <v>50.60664970604784</v>
          </cell>
          <cell r="BJ233">
            <v>51.320595529242944</v>
          </cell>
          <cell r="BK233">
            <v>51.877141689701659</v>
          </cell>
        </row>
        <row r="234">
          <cell r="B234" t="str">
            <v>TEC</v>
          </cell>
          <cell r="C234" t="str">
            <v>Wage and salaried workers, total (% of total employment) (modeled ILO estimate)</v>
          </cell>
          <cell r="D234" t="str">
            <v>SL.EMP.WORK.ZS</v>
          </cell>
          <cell r="AJ234">
            <v>78.066229209896505</v>
          </cell>
          <cell r="AK234">
            <v>77.716571920962608</v>
          </cell>
          <cell r="AL234">
            <v>77.442704133184435</v>
          </cell>
          <cell r="AM234">
            <v>76.774858540965411</v>
          </cell>
          <cell r="AN234">
            <v>76.419969303370792</v>
          </cell>
          <cell r="AO234">
            <v>76.439605855893248</v>
          </cell>
          <cell r="AP234">
            <v>75.609895190817667</v>
          </cell>
          <cell r="AQ234">
            <v>75.517403977530591</v>
          </cell>
          <cell r="AR234">
            <v>72.958588549525885</v>
          </cell>
          <cell r="AS234">
            <v>73.367580994203578</v>
          </cell>
          <cell r="AT234">
            <v>73.985284503774565</v>
          </cell>
          <cell r="AU234">
            <v>74.946550323140343</v>
          </cell>
          <cell r="AV234">
            <v>75.312305489281272</v>
          </cell>
          <cell r="AW234">
            <v>75.88595516344013</v>
          </cell>
          <cell r="AX234">
            <v>76.027072289325403</v>
          </cell>
          <cell r="AY234">
            <v>76.453446118181105</v>
          </cell>
          <cell r="AZ234">
            <v>76.98777607117816</v>
          </cell>
          <cell r="BA234">
            <v>77.193487284579348</v>
          </cell>
          <cell r="BB234">
            <v>76.984916808562275</v>
          </cell>
          <cell r="BC234">
            <v>77.469963307998711</v>
          </cell>
          <cell r="BD234">
            <v>77.434690656900273</v>
          </cell>
          <cell r="BE234">
            <v>77.789053032743524</v>
          </cell>
          <cell r="BF234">
            <v>77.693826770087796</v>
          </cell>
          <cell r="BG234">
            <v>78.403913761392886</v>
          </cell>
          <cell r="BH234">
            <v>78.665268998626516</v>
          </cell>
          <cell r="BI234">
            <v>78.80399355279333</v>
          </cell>
          <cell r="BJ234">
            <v>79.111449095850929</v>
          </cell>
          <cell r="BK234">
            <v>79.171849236618542</v>
          </cell>
        </row>
        <row r="235">
          <cell r="B235" t="str">
            <v>TGO</v>
          </cell>
          <cell r="C235" t="str">
            <v>Wage and salaried workers, total (% of total employment) (modeled ILO estimate)</v>
          </cell>
          <cell r="D235" t="str">
            <v>SL.EMP.WORK.ZS</v>
          </cell>
          <cell r="AJ235">
            <v>10.244000434875501</v>
          </cell>
          <cell r="AK235">
            <v>10.208000183105501</v>
          </cell>
          <cell r="AL235">
            <v>10.041999816894499</v>
          </cell>
          <cell r="AM235">
            <v>10.203000068664601</v>
          </cell>
          <cell r="AN235">
            <v>10.296999931335399</v>
          </cell>
          <cell r="AO235">
            <v>10.402000427246101</v>
          </cell>
          <cell r="AP235">
            <v>10.5670003890991</v>
          </cell>
          <cell r="AQ235">
            <v>10.5329999923706</v>
          </cell>
          <cell r="AR235">
            <v>10.5590000152588</v>
          </cell>
          <cell r="AS235">
            <v>10.548999786376999</v>
          </cell>
          <cell r="AT235">
            <v>10.53600025177</v>
          </cell>
          <cell r="AU235">
            <v>10.5349998474121</v>
          </cell>
          <cell r="AV235">
            <v>10.6070003509521</v>
          </cell>
          <cell r="AW235">
            <v>10.6510000228882</v>
          </cell>
          <cell r="AX235">
            <v>10.685000419616699</v>
          </cell>
          <cell r="AY235">
            <v>10.751000404357899</v>
          </cell>
          <cell r="AZ235">
            <v>11.289999961853001</v>
          </cell>
          <cell r="BA235">
            <v>11.883999824523899</v>
          </cell>
          <cell r="BB235">
            <v>12.5329999923706</v>
          </cell>
          <cell r="BC235">
            <v>13.2299995422363</v>
          </cell>
          <cell r="BD235">
            <v>13.972999572753899</v>
          </cell>
          <cell r="BE235">
            <v>14.7650003433228</v>
          </cell>
          <cell r="BF235">
            <v>15.5950002670288</v>
          </cell>
          <cell r="BG235">
            <v>16.469999313354499</v>
          </cell>
          <cell r="BH235">
            <v>16.6380004882813</v>
          </cell>
          <cell r="BI235">
            <v>16.795000076293899</v>
          </cell>
          <cell r="BJ235">
            <v>16.950000762939499</v>
          </cell>
          <cell r="BK235">
            <v>17.1159992218018</v>
          </cell>
        </row>
        <row r="236">
          <cell r="B236" t="str">
            <v>THA</v>
          </cell>
          <cell r="C236" t="str">
            <v>Wage and salaried workers, total (% of total employment) (modeled ILO estimate)</v>
          </cell>
          <cell r="D236" t="str">
            <v>SL.EMP.WORK.ZS</v>
          </cell>
          <cell r="AJ236">
            <v>30.708000183105501</v>
          </cell>
          <cell r="AK236">
            <v>31.231000900268601</v>
          </cell>
          <cell r="AL236">
            <v>34.332000732421903</v>
          </cell>
          <cell r="AM236">
            <v>34.763999938964801</v>
          </cell>
          <cell r="AN236">
            <v>35.652999877929702</v>
          </cell>
          <cell r="AO236">
            <v>37.698001861572301</v>
          </cell>
          <cell r="AP236">
            <v>37.660999298095703</v>
          </cell>
          <cell r="AQ236">
            <v>36.495998382568402</v>
          </cell>
          <cell r="AR236">
            <v>38.259998321533203</v>
          </cell>
          <cell r="AS236">
            <v>39.6049995422363</v>
          </cell>
          <cell r="AT236">
            <v>40.492000579833999</v>
          </cell>
          <cell r="AU236">
            <v>40.068000793457003</v>
          </cell>
          <cell r="AV236">
            <v>40.636001586914098</v>
          </cell>
          <cell r="AW236">
            <v>43.944000244140597</v>
          </cell>
          <cell r="AX236">
            <v>43.793998718261697</v>
          </cell>
          <cell r="AY236">
            <v>43.758998870849602</v>
          </cell>
          <cell r="AZ236">
            <v>43.712001800537102</v>
          </cell>
          <cell r="BA236">
            <v>43.308998107910199</v>
          </cell>
          <cell r="BB236">
            <v>44.715999603271499</v>
          </cell>
          <cell r="BC236">
            <v>44.544998168945298</v>
          </cell>
          <cell r="BD236">
            <v>42.326999664306598</v>
          </cell>
          <cell r="BE236">
            <v>41.669998168945298</v>
          </cell>
          <cell r="BF236">
            <v>44.583000183105497</v>
          </cell>
          <cell r="BG236">
            <v>47.358001708984403</v>
          </cell>
          <cell r="BH236">
            <v>48.423000335693402</v>
          </cell>
          <cell r="BI236">
            <v>49.062000274658203</v>
          </cell>
          <cell r="BJ236">
            <v>49.402999877929702</v>
          </cell>
          <cell r="BK236">
            <v>48.534000396728501</v>
          </cell>
        </row>
        <row r="237">
          <cell r="B237" t="str">
            <v>TJK</v>
          </cell>
          <cell r="C237" t="str">
            <v>Wage and salaried workers, total (% of total employment) (modeled ILO estimate)</v>
          </cell>
          <cell r="D237" t="str">
            <v>SL.EMP.WORK.ZS</v>
          </cell>
          <cell r="AJ237">
            <v>55.074001312255902</v>
          </cell>
          <cell r="AK237">
            <v>53.946998596191399</v>
          </cell>
          <cell r="AL237">
            <v>53.472999572753899</v>
          </cell>
          <cell r="AM237">
            <v>53.237998962402301</v>
          </cell>
          <cell r="AN237">
            <v>53.152000427246101</v>
          </cell>
          <cell r="AO237">
            <v>53.285999298095703</v>
          </cell>
          <cell r="AP237">
            <v>53.1450004577637</v>
          </cell>
          <cell r="AQ237">
            <v>52.963001251220703</v>
          </cell>
          <cell r="AR237">
            <v>52.840000152587898</v>
          </cell>
          <cell r="AS237">
            <v>52.728000640869098</v>
          </cell>
          <cell r="AT237">
            <v>52.689998626708999</v>
          </cell>
          <cell r="AU237">
            <v>52.694999694824197</v>
          </cell>
          <cell r="AV237">
            <v>52.755001068115199</v>
          </cell>
          <cell r="AW237">
            <v>52.869998931884801</v>
          </cell>
          <cell r="AX237">
            <v>53.027999877929702</v>
          </cell>
          <cell r="AY237">
            <v>53.2109985351563</v>
          </cell>
          <cell r="AZ237">
            <v>53.425998687744098</v>
          </cell>
          <cell r="BA237">
            <v>53.672000885009801</v>
          </cell>
          <cell r="BB237">
            <v>53.894001007080099</v>
          </cell>
          <cell r="BC237">
            <v>54.148998260497997</v>
          </cell>
          <cell r="BD237">
            <v>54.441001892089801</v>
          </cell>
          <cell r="BE237">
            <v>54.745998382568402</v>
          </cell>
          <cell r="BF237">
            <v>55.061000823974602</v>
          </cell>
          <cell r="BG237">
            <v>55.380001068115199</v>
          </cell>
          <cell r="BH237">
            <v>55.689998626708999</v>
          </cell>
          <cell r="BI237">
            <v>56.023998260497997</v>
          </cell>
          <cell r="BJ237">
            <v>56.390998840332003</v>
          </cell>
          <cell r="BK237">
            <v>56.756999969482401</v>
          </cell>
        </row>
        <row r="238">
          <cell r="B238" t="str">
            <v>TKM</v>
          </cell>
          <cell r="C238" t="str">
            <v>Wage and salaried workers, total (% of total employment) (modeled ILO estimate)</v>
          </cell>
          <cell r="D238" t="str">
            <v>SL.EMP.WORK.ZS</v>
          </cell>
          <cell r="AJ238">
            <v>68.818000793457003</v>
          </cell>
          <cell r="AK238">
            <v>68.849998474121094</v>
          </cell>
          <cell r="AL238">
            <v>68.900001525878906</v>
          </cell>
          <cell r="AM238">
            <v>68.922996520996094</v>
          </cell>
          <cell r="AN238">
            <v>68.983001708984403</v>
          </cell>
          <cell r="AO238">
            <v>69.092002868652301</v>
          </cell>
          <cell r="AP238">
            <v>69.172996520996094</v>
          </cell>
          <cell r="AQ238">
            <v>69.2969970703125</v>
          </cell>
          <cell r="AR238">
            <v>69.442001342773395</v>
          </cell>
          <cell r="AS238">
            <v>69.575996398925795</v>
          </cell>
          <cell r="AT238">
            <v>69.714996337890597</v>
          </cell>
          <cell r="AU238">
            <v>69.856002807617202</v>
          </cell>
          <cell r="AV238">
            <v>70.008003234863295</v>
          </cell>
          <cell r="AW238">
            <v>70.168998718261705</v>
          </cell>
          <cell r="AX238">
            <v>70.346000671386705</v>
          </cell>
          <cell r="AY238">
            <v>70.5260009765625</v>
          </cell>
          <cell r="AZ238">
            <v>70.709999084472699</v>
          </cell>
          <cell r="BA238">
            <v>70.900001525878906</v>
          </cell>
          <cell r="BB238">
            <v>71.086997985839801</v>
          </cell>
          <cell r="BC238">
            <v>71.277000427246094</v>
          </cell>
          <cell r="BD238">
            <v>71.469001770019503</v>
          </cell>
          <cell r="BE238">
            <v>71.660003662109403</v>
          </cell>
          <cell r="BF238">
            <v>71.8489990234375</v>
          </cell>
          <cell r="BG238">
            <v>72.035003662109403</v>
          </cell>
          <cell r="BH238">
            <v>72.222000122070298</v>
          </cell>
          <cell r="BI238">
            <v>72.404998779296903</v>
          </cell>
          <cell r="BJ238">
            <v>72.586997985839801</v>
          </cell>
          <cell r="BK238">
            <v>72.764999389648395</v>
          </cell>
        </row>
        <row r="239">
          <cell r="B239" t="str">
            <v>TLA</v>
          </cell>
          <cell r="C239" t="str">
            <v>Wage and salaried workers, total (% of total employment) (modeled ILO estimate)</v>
          </cell>
          <cell r="D239" t="str">
            <v>SL.EMP.WORK.ZS</v>
          </cell>
          <cell r="AJ239">
            <v>57.033203554836327</v>
          </cell>
          <cell r="AK239">
            <v>57.096432181519766</v>
          </cell>
          <cell r="AL239">
            <v>57.044844157301597</v>
          </cell>
          <cell r="AM239">
            <v>57.630122032173205</v>
          </cell>
          <cell r="AN239">
            <v>57.935599920399312</v>
          </cell>
          <cell r="AO239">
            <v>58.622124555709597</v>
          </cell>
          <cell r="AP239">
            <v>58.449778155406563</v>
          </cell>
          <cell r="AQ239">
            <v>58.741920972206877</v>
          </cell>
          <cell r="AR239">
            <v>58.600906702085375</v>
          </cell>
          <cell r="AS239">
            <v>59.146925188002051</v>
          </cell>
          <cell r="AT239">
            <v>59.011996903059625</v>
          </cell>
          <cell r="AU239">
            <v>58.941322510516109</v>
          </cell>
          <cell r="AV239">
            <v>58.98106483329434</v>
          </cell>
          <cell r="AW239">
            <v>59.466175857677968</v>
          </cell>
          <cell r="AX239">
            <v>59.972324145452312</v>
          </cell>
          <cell r="AY239">
            <v>60.759287423227335</v>
          </cell>
          <cell r="AZ239">
            <v>61.638610347720977</v>
          </cell>
          <cell r="BA239">
            <v>62.156693685240597</v>
          </cell>
          <cell r="BB239">
            <v>61.788566463111117</v>
          </cell>
          <cell r="BC239">
            <v>62.143707866818012</v>
          </cell>
          <cell r="BD239">
            <v>62.451087747367971</v>
          </cell>
          <cell r="BE239">
            <v>63.286280904563228</v>
          </cell>
          <cell r="BF239">
            <v>63.350972667202761</v>
          </cell>
          <cell r="BG239">
            <v>63.709420240495696</v>
          </cell>
          <cell r="BH239">
            <v>63.240350798267059</v>
          </cell>
          <cell r="BI239">
            <v>62.909504034955837</v>
          </cell>
          <cell r="BJ239">
            <v>62.411841715796704</v>
          </cell>
          <cell r="BK239">
            <v>62.170889999972395</v>
          </cell>
        </row>
        <row r="240">
          <cell r="B240" t="str">
            <v>TLS</v>
          </cell>
          <cell r="C240" t="str">
            <v>Wage and salaried workers, total (% of total employment) (modeled ILO estimate)</v>
          </cell>
          <cell r="D240" t="str">
            <v>SL.EMP.WORK.ZS</v>
          </cell>
          <cell r="AJ240">
            <v>19.3780002593994</v>
          </cell>
          <cell r="AK240">
            <v>19.823999404907202</v>
          </cell>
          <cell r="AL240">
            <v>20.2929992675781</v>
          </cell>
          <cell r="AM240">
            <v>20.781999588012699</v>
          </cell>
          <cell r="AN240">
            <v>21.278999328613299</v>
          </cell>
          <cell r="AO240">
            <v>21.927000045776399</v>
          </cell>
          <cell r="AP240">
            <v>22.350999832153299</v>
          </cell>
          <cell r="AQ240">
            <v>22.538999557495099</v>
          </cell>
          <cell r="AR240">
            <v>21.122999191284201</v>
          </cell>
          <cell r="AS240">
            <v>21.799999237060501</v>
          </cell>
          <cell r="AT240">
            <v>22.301000595092798</v>
          </cell>
          <cell r="AU240">
            <v>22.169000625610401</v>
          </cell>
          <cell r="AV240">
            <v>22.2399997711182</v>
          </cell>
          <cell r="AW240">
            <v>24.198999404907202</v>
          </cell>
          <cell r="AX240">
            <v>25.747999191284201</v>
          </cell>
          <cell r="AY240">
            <v>27.80299949646</v>
          </cell>
          <cell r="AZ240">
            <v>28.211000442504901</v>
          </cell>
          <cell r="BA240">
            <v>28.8719997406006</v>
          </cell>
          <cell r="BB240">
            <v>28.597000122070298</v>
          </cell>
          <cell r="BC240">
            <v>28.590999603271499</v>
          </cell>
          <cell r="BD240">
            <v>29.798000335693398</v>
          </cell>
          <cell r="BE240">
            <v>30.649000167846701</v>
          </cell>
          <cell r="BF240">
            <v>30.458000183105501</v>
          </cell>
          <cell r="BG240">
            <v>29.264999389648398</v>
          </cell>
          <cell r="BH240">
            <v>30.919000625610401</v>
          </cell>
          <cell r="BI240">
            <v>31.5230007171631</v>
          </cell>
          <cell r="BJ240">
            <v>30.906999588012699</v>
          </cell>
          <cell r="BK240">
            <v>31.070999145507798</v>
          </cell>
        </row>
        <row r="241">
          <cell r="B241" t="str">
            <v>TMN</v>
          </cell>
          <cell r="C241" t="str">
            <v>Wage and salaried workers, total (% of total employment) (modeled ILO estimate)</v>
          </cell>
          <cell r="D241" t="str">
            <v>SL.EMP.WORK.ZS</v>
          </cell>
          <cell r="AJ241">
            <v>54.954036192651436</v>
          </cell>
          <cell r="AK241">
            <v>55.275639212273255</v>
          </cell>
          <cell r="AL241">
            <v>55.582481160247255</v>
          </cell>
          <cell r="AM241">
            <v>56.018338300025796</v>
          </cell>
          <cell r="AN241">
            <v>56.335448192007703</v>
          </cell>
          <cell r="AO241">
            <v>56.989761818198559</v>
          </cell>
          <cell r="AP241">
            <v>57.375220497075546</v>
          </cell>
          <cell r="AQ241">
            <v>57.404829841188054</v>
          </cell>
          <cell r="AR241">
            <v>57.507008710051672</v>
          </cell>
          <cell r="AS241">
            <v>57.155130894294949</v>
          </cell>
          <cell r="AT241">
            <v>57.52862637075178</v>
          </cell>
          <cell r="AU241">
            <v>57.369433039461548</v>
          </cell>
          <cell r="AV241">
            <v>56.915462255672189</v>
          </cell>
          <cell r="AW241">
            <v>56.464734968786274</v>
          </cell>
          <cell r="AX241">
            <v>57.476302453031643</v>
          </cell>
          <cell r="AY241">
            <v>58.644856752224982</v>
          </cell>
          <cell r="AZ241">
            <v>57.863390299149863</v>
          </cell>
          <cell r="BA241">
            <v>59.170228380340816</v>
          </cell>
          <cell r="BB241">
            <v>59.586295865263672</v>
          </cell>
          <cell r="BC241">
            <v>60.666287785637685</v>
          </cell>
          <cell r="BD241">
            <v>60.487173198413359</v>
          </cell>
          <cell r="BE241">
            <v>61.19748313651175</v>
          </cell>
          <cell r="BF241">
            <v>61.220516248932739</v>
          </cell>
          <cell r="BG241">
            <v>61.295384671851572</v>
          </cell>
          <cell r="BH241">
            <v>61.846798536138877</v>
          </cell>
          <cell r="BI241">
            <v>63.630132461841427</v>
          </cell>
          <cell r="BJ241">
            <v>63.125902295505185</v>
          </cell>
          <cell r="BK241">
            <v>63.283946760312233</v>
          </cell>
        </row>
        <row r="242">
          <cell r="B242" t="str">
            <v>TON</v>
          </cell>
          <cell r="C242" t="str">
            <v>Wage and salaried workers, total (% of total employment) (modeled ILO estimate)</v>
          </cell>
          <cell r="D242" t="str">
            <v>SL.EMP.WORK.ZS</v>
          </cell>
          <cell r="AJ242">
            <v>41.712001800537102</v>
          </cell>
          <cell r="AK242">
            <v>41.840999603271499</v>
          </cell>
          <cell r="AL242">
            <v>42.1510009765625</v>
          </cell>
          <cell r="AM242">
            <v>42.444999694824197</v>
          </cell>
          <cell r="AN242">
            <v>42.722999572753899</v>
          </cell>
          <cell r="AO242">
            <v>42.826999664306598</v>
          </cell>
          <cell r="AP242">
            <v>42.926998138427699</v>
          </cell>
          <cell r="AQ242">
            <v>43.145999908447301</v>
          </cell>
          <cell r="AR242">
            <v>43.418998718261697</v>
          </cell>
          <cell r="AS242">
            <v>43.6640014648438</v>
          </cell>
          <cell r="AT242">
            <v>43.916999816894503</v>
          </cell>
          <cell r="AU242">
            <v>44.169998168945298</v>
          </cell>
          <cell r="AV242">
            <v>44.360000610351598</v>
          </cell>
          <cell r="AW242">
            <v>44.415000915527301</v>
          </cell>
          <cell r="AX242">
            <v>44.556999206542997</v>
          </cell>
          <cell r="AY242">
            <v>44.575000762939503</v>
          </cell>
          <cell r="AZ242">
            <v>44.394001007080099</v>
          </cell>
          <cell r="BA242">
            <v>44.605998992919901</v>
          </cell>
          <cell r="BB242">
            <v>44.790000915527301</v>
          </cell>
          <cell r="BC242">
            <v>45.063999176025398</v>
          </cell>
          <cell r="BD242">
            <v>45.331001281738303</v>
          </cell>
          <cell r="BE242">
            <v>45.5260009765625</v>
          </cell>
          <cell r="BF242">
            <v>45.525001525878899</v>
          </cell>
          <cell r="BG242">
            <v>45.766998291015597</v>
          </cell>
          <cell r="BH242">
            <v>46.058998107910199</v>
          </cell>
          <cell r="BI242">
            <v>46.297000885009801</v>
          </cell>
          <cell r="BJ242">
            <v>46.471000671386697</v>
          </cell>
          <cell r="BK242">
            <v>46.493000030517599</v>
          </cell>
        </row>
        <row r="243">
          <cell r="B243" t="str">
            <v>TSA</v>
          </cell>
          <cell r="C243" t="str">
            <v>Wage and salaried workers, total (% of total employment) (modeled ILO estimate)</v>
          </cell>
          <cell r="D243" t="str">
            <v>SL.EMP.WORK.ZS</v>
          </cell>
          <cell r="AJ243">
            <v>18.007656204665281</v>
          </cell>
          <cell r="AK243">
            <v>18.158910913668191</v>
          </cell>
          <cell r="AL243">
            <v>18.328148807177858</v>
          </cell>
          <cell r="AM243">
            <v>18.565662184146621</v>
          </cell>
          <cell r="AN243">
            <v>18.646493449425776</v>
          </cell>
          <cell r="AO243">
            <v>18.803104526000766</v>
          </cell>
          <cell r="AP243">
            <v>19.063677168442549</v>
          </cell>
          <cell r="AQ243">
            <v>19.058409295926396</v>
          </cell>
          <cell r="AR243">
            <v>19.218327412014418</v>
          </cell>
          <cell r="AS243">
            <v>19.298975150098784</v>
          </cell>
          <cell r="AT243">
            <v>19.38654852168489</v>
          </cell>
          <cell r="AU243">
            <v>19.792549962023816</v>
          </cell>
          <cell r="AV243">
            <v>19.920523094372598</v>
          </cell>
          <cell r="AW243">
            <v>19.886622026766254</v>
          </cell>
          <cell r="AX243">
            <v>19.986979574490086</v>
          </cell>
          <cell r="AY243">
            <v>20.278816765624406</v>
          </cell>
          <cell r="AZ243">
            <v>20.549322703298309</v>
          </cell>
          <cell r="BA243">
            <v>20.622333000696432</v>
          </cell>
          <cell r="BB243">
            <v>20.924295163562675</v>
          </cell>
          <cell r="BC243">
            <v>21.184732134554917</v>
          </cell>
          <cell r="BD243">
            <v>22.301254739076644</v>
          </cell>
          <cell r="BE243">
            <v>23.580861657235218</v>
          </cell>
          <cell r="BF243">
            <v>24.282288003666988</v>
          </cell>
          <cell r="BG243">
            <v>24.883876756648725</v>
          </cell>
          <cell r="BH243">
            <v>25.434460564552275</v>
          </cell>
          <cell r="BI243">
            <v>25.947514271437335</v>
          </cell>
          <cell r="BJ243">
            <v>26.802228835289565</v>
          </cell>
          <cell r="BK243">
            <v>27.635745034819475</v>
          </cell>
        </row>
        <row r="244">
          <cell r="B244" t="str">
            <v>TSS</v>
          </cell>
          <cell r="C244" t="str">
            <v>Wage and salaried workers, total (% of total employment) (modeled ILO estimate)</v>
          </cell>
          <cell r="D244" t="str">
            <v>SL.EMP.WORK.ZS</v>
          </cell>
          <cell r="AJ244">
            <v>19.105759058786735</v>
          </cell>
          <cell r="AK244">
            <v>19.171882101367498</v>
          </cell>
          <cell r="AL244">
            <v>19.231393507717875</v>
          </cell>
          <cell r="AM244">
            <v>19.29240082252673</v>
          </cell>
          <cell r="AN244">
            <v>19.417778212450237</v>
          </cell>
          <cell r="AO244">
            <v>19.562734088773087</v>
          </cell>
          <cell r="AP244">
            <v>19.71892370266519</v>
          </cell>
          <cell r="AQ244">
            <v>19.841660880479576</v>
          </cell>
          <cell r="AR244">
            <v>19.948146808231662</v>
          </cell>
          <cell r="AS244">
            <v>20.022844136926427</v>
          </cell>
          <cell r="AT244">
            <v>20.058507036857456</v>
          </cell>
          <cell r="AU244">
            <v>19.967589445225034</v>
          </cell>
          <cell r="AV244">
            <v>20.015972683211544</v>
          </cell>
          <cell r="AW244">
            <v>20.167453900442471</v>
          </cell>
          <cell r="AX244">
            <v>20.128622719845559</v>
          </cell>
          <cell r="AY244">
            <v>20.280045709462378</v>
          </cell>
          <cell r="AZ244">
            <v>20.747919121953732</v>
          </cell>
          <cell r="BA244">
            <v>21.337050816736383</v>
          </cell>
          <cell r="BB244">
            <v>21.556443314535535</v>
          </cell>
          <cell r="BC244">
            <v>21.752076967684204</v>
          </cell>
          <cell r="BD244">
            <v>22.190869344693908</v>
          </cell>
          <cell r="BE244">
            <v>22.607374933201172</v>
          </cell>
          <cell r="BF244">
            <v>22.978034795216772</v>
          </cell>
          <cell r="BG244">
            <v>23.347165920247736</v>
          </cell>
          <cell r="BH244">
            <v>23.6073255312909</v>
          </cell>
          <cell r="BI244">
            <v>23.730953868718252</v>
          </cell>
          <cell r="BJ244">
            <v>23.844588125733814</v>
          </cell>
          <cell r="BK244">
            <v>23.908864597102557</v>
          </cell>
        </row>
        <row r="245">
          <cell r="B245" t="str">
            <v>TTO</v>
          </cell>
          <cell r="C245" t="str">
            <v>Wage and salaried workers, total (% of total employment) (modeled ILO estimate)</v>
          </cell>
          <cell r="D245" t="str">
            <v>SL.EMP.WORK.ZS</v>
          </cell>
          <cell r="AJ245">
            <v>76.735000610351605</v>
          </cell>
          <cell r="AK245">
            <v>75.699996948242202</v>
          </cell>
          <cell r="AL245">
            <v>74.649002075195298</v>
          </cell>
          <cell r="AM245">
            <v>75.027999877929702</v>
          </cell>
          <cell r="AN245">
            <v>75.236999511718807</v>
          </cell>
          <cell r="AO245">
            <v>76.4219970703125</v>
          </cell>
          <cell r="AP245">
            <v>76.935997009277301</v>
          </cell>
          <cell r="AQ245">
            <v>77.969001770019503</v>
          </cell>
          <cell r="AR245">
            <v>77.364997863769503</v>
          </cell>
          <cell r="AS245">
            <v>77.555000305175795</v>
          </cell>
          <cell r="AT245">
            <v>77.177001953125</v>
          </cell>
          <cell r="AU245">
            <v>78.180000305175795</v>
          </cell>
          <cell r="AV245">
            <v>78.806999206542997</v>
          </cell>
          <cell r="AW245">
            <v>79.609001159667997</v>
          </cell>
          <cell r="AX245">
            <v>79.911003112792997</v>
          </cell>
          <cell r="AY245">
            <v>80.317001342773395</v>
          </cell>
          <cell r="AZ245">
            <v>80.017997741699205</v>
          </cell>
          <cell r="BA245">
            <v>79.916000366210895</v>
          </cell>
          <cell r="BB245">
            <v>79.208000183105497</v>
          </cell>
          <cell r="BC245">
            <v>78.512001037597699</v>
          </cell>
          <cell r="BD245">
            <v>78.192001342773395</v>
          </cell>
          <cell r="BE245">
            <v>79.791999816894503</v>
          </cell>
          <cell r="BF245">
            <v>78.501998901367202</v>
          </cell>
          <cell r="BG245">
            <v>78.515998840332003</v>
          </cell>
          <cell r="BH245">
            <v>77.799003601074205</v>
          </cell>
          <cell r="BI245">
            <v>76.480003356933594</v>
          </cell>
          <cell r="BJ245">
            <v>76.502998352050795</v>
          </cell>
          <cell r="BK245">
            <v>76.5469970703125</v>
          </cell>
        </row>
        <row r="246">
          <cell r="B246" t="str">
            <v>TUN</v>
          </cell>
          <cell r="C246" t="str">
            <v>Wage and salaried workers, total (% of total employment) (modeled ILO estimate)</v>
          </cell>
          <cell r="D246" t="str">
            <v>SL.EMP.WORK.ZS</v>
          </cell>
          <cell r="AJ246">
            <v>69.390998840332003</v>
          </cell>
          <cell r="AK246">
            <v>69.870002746582003</v>
          </cell>
          <cell r="AL246">
            <v>70.221000671386705</v>
          </cell>
          <cell r="AM246">
            <v>70.600997924804702</v>
          </cell>
          <cell r="AN246">
            <v>70.482002258300795</v>
          </cell>
          <cell r="AO246">
            <v>70.441001892089801</v>
          </cell>
          <cell r="AP246">
            <v>70.3489990234375</v>
          </cell>
          <cell r="AQ246">
            <v>70.240997314453097</v>
          </cell>
          <cell r="AR246">
            <v>70.144996643066406</v>
          </cell>
          <cell r="AS246">
            <v>70.012001037597699</v>
          </cell>
          <cell r="AT246">
            <v>69.860000610351605</v>
          </cell>
          <cell r="AU246">
            <v>69.663002014160199</v>
          </cell>
          <cell r="AV246">
            <v>69.504997253417997</v>
          </cell>
          <cell r="AW246">
            <v>69.338996887207003</v>
          </cell>
          <cell r="AX246">
            <v>69.114997863769503</v>
          </cell>
          <cell r="AY246">
            <v>68.261001586914105</v>
          </cell>
          <cell r="AZ246">
            <v>69.976997375488295</v>
          </cell>
          <cell r="BA246">
            <v>70.262001037597699</v>
          </cell>
          <cell r="BB246">
            <v>70.125999450683594</v>
          </cell>
          <cell r="BC246">
            <v>68.533996582031307</v>
          </cell>
          <cell r="BD246">
            <v>71.233001708984403</v>
          </cell>
          <cell r="BE246">
            <v>71.467002868652301</v>
          </cell>
          <cell r="BF246">
            <v>72.129997253417997</v>
          </cell>
          <cell r="BG246">
            <v>72.283996582031307</v>
          </cell>
          <cell r="BH246">
            <v>72.418998718261705</v>
          </cell>
          <cell r="BI246">
            <v>72.552001953125</v>
          </cell>
          <cell r="BJ246">
            <v>72.685997009277301</v>
          </cell>
          <cell r="BK246">
            <v>72.821998596191406</v>
          </cell>
        </row>
        <row r="247">
          <cell r="B247" t="str">
            <v>TUR</v>
          </cell>
          <cell r="C247" t="str">
            <v>Wage and salaried workers, total (% of total employment) (modeled ILO estimate)</v>
          </cell>
          <cell r="D247" t="str">
            <v>SL.EMP.WORK.ZS</v>
          </cell>
          <cell r="AJ247">
            <v>45.243000030517599</v>
          </cell>
          <cell r="AK247">
            <v>46.262001037597699</v>
          </cell>
          <cell r="AL247">
            <v>47.5200004577637</v>
          </cell>
          <cell r="AM247">
            <v>47.611000061035199</v>
          </cell>
          <cell r="AN247">
            <v>48.873001098632798</v>
          </cell>
          <cell r="AO247">
            <v>50.0460014343262</v>
          </cell>
          <cell r="AP247">
            <v>51.278999328613303</v>
          </cell>
          <cell r="AQ247">
            <v>51.926998138427699</v>
          </cell>
          <cell r="AR247">
            <v>52.083000183105497</v>
          </cell>
          <cell r="AS247">
            <v>53.173999786377003</v>
          </cell>
          <cell r="AT247">
            <v>53.125</v>
          </cell>
          <cell r="AU247">
            <v>54.215999603271499</v>
          </cell>
          <cell r="AV247">
            <v>55.264999389648402</v>
          </cell>
          <cell r="AW247">
            <v>56.597000122070298</v>
          </cell>
          <cell r="AX247">
            <v>57.823001861572301</v>
          </cell>
          <cell r="AY247">
            <v>58.903999328613303</v>
          </cell>
          <cell r="AZ247">
            <v>60.462001800537102</v>
          </cell>
          <cell r="BA247">
            <v>60.990001678466797</v>
          </cell>
          <cell r="BB247">
            <v>60.027000427246101</v>
          </cell>
          <cell r="BC247">
            <v>60.897998809814503</v>
          </cell>
          <cell r="BD247">
            <v>61.709999084472699</v>
          </cell>
          <cell r="BE247">
            <v>62.931999206542997</v>
          </cell>
          <cell r="BF247">
            <v>64.073997497558594</v>
          </cell>
          <cell r="BG247">
            <v>66.060997009277301</v>
          </cell>
          <cell r="BH247">
            <v>67.138000488281307</v>
          </cell>
          <cell r="BI247">
            <v>67.553001403808594</v>
          </cell>
          <cell r="BJ247">
            <v>67.264999389648395</v>
          </cell>
          <cell r="BK247">
            <v>67.990997314453097</v>
          </cell>
        </row>
        <row r="248">
          <cell r="B248" t="str">
            <v>TUV</v>
          </cell>
          <cell r="C248" t="str">
            <v>Wage and salaried workers, total (% of total employment) (modeled ILO estimate)</v>
          </cell>
          <cell r="D248" t="str">
            <v>SL.EMP.WORK.ZS</v>
          </cell>
        </row>
        <row r="249">
          <cell r="B249" t="str">
            <v>TZA</v>
          </cell>
          <cell r="C249" t="str">
            <v>Wage and salaried workers, total (% of total employment) (modeled ILO estimate)</v>
          </cell>
          <cell r="D249" t="str">
            <v>SL.EMP.WORK.ZS</v>
          </cell>
          <cell r="AJ249">
            <v>8.5340003967285192</v>
          </cell>
          <cell r="AK249">
            <v>8.5500001907348597</v>
          </cell>
          <cell r="AL249">
            <v>8.5740003585815394</v>
          </cell>
          <cell r="AM249">
            <v>8.6049995422363299</v>
          </cell>
          <cell r="AN249">
            <v>8.6630001068115199</v>
          </cell>
          <cell r="AO249">
            <v>8.7390003204345703</v>
          </cell>
          <cell r="AP249">
            <v>8.8070001602172905</v>
          </cell>
          <cell r="AQ249">
            <v>8.8789997100830096</v>
          </cell>
          <cell r="AR249">
            <v>8.9670000076293892</v>
          </cell>
          <cell r="AS249">
            <v>9.0520000457763707</v>
          </cell>
          <cell r="AT249">
            <v>9.1549997329711896</v>
          </cell>
          <cell r="AU249">
            <v>9.2709999084472692</v>
          </cell>
          <cell r="AV249">
            <v>9.3870000839233398</v>
          </cell>
          <cell r="AW249">
            <v>9.5170001983642596</v>
          </cell>
          <cell r="AX249">
            <v>9.6490001678466797</v>
          </cell>
          <cell r="AY249">
            <v>9.7720003128051793</v>
          </cell>
          <cell r="AZ249">
            <v>10.225999832153301</v>
          </cell>
          <cell r="BA249">
            <v>10.6789999008179</v>
          </cell>
          <cell r="BB249">
            <v>11.1330003738403</v>
          </cell>
          <cell r="BC249">
            <v>11.602999687194799</v>
          </cell>
          <cell r="BD249">
            <v>12.0920000076294</v>
          </cell>
          <cell r="BE249">
            <v>12.5200004577637</v>
          </cell>
          <cell r="BF249">
            <v>12.9700002670288</v>
          </cell>
          <cell r="BG249">
            <v>13.4010000228882</v>
          </cell>
          <cell r="BH249">
            <v>13.611000061035201</v>
          </cell>
          <cell r="BI249">
            <v>13.83899974823</v>
          </cell>
          <cell r="BJ249">
            <v>14.069999694824199</v>
          </cell>
          <cell r="BK249">
            <v>14.3030004501343</v>
          </cell>
        </row>
        <row r="250">
          <cell r="B250" t="str">
            <v>UGA</v>
          </cell>
          <cell r="C250" t="str">
            <v>Wage and salaried workers, total (% of total employment) (modeled ILO estimate)</v>
          </cell>
          <cell r="D250" t="str">
            <v>SL.EMP.WORK.ZS</v>
          </cell>
          <cell r="AJ250">
            <v>12.513999938964799</v>
          </cell>
          <cell r="AK250">
            <v>12.628999710083001</v>
          </cell>
          <cell r="AL250">
            <v>12.795000076293899</v>
          </cell>
          <cell r="AM250">
            <v>12.9460000991821</v>
          </cell>
          <cell r="AN250">
            <v>13.1560001373291</v>
          </cell>
          <cell r="AO250">
            <v>13.347999572753899</v>
          </cell>
          <cell r="AP250">
            <v>13.4969997406006</v>
          </cell>
          <cell r="AQ250">
            <v>13.645999908447299</v>
          </cell>
          <cell r="AR250">
            <v>13.8339996337891</v>
          </cell>
          <cell r="AS250">
            <v>13.961000442504901</v>
          </cell>
          <cell r="AT250">
            <v>14.112999916076699</v>
          </cell>
          <cell r="AU250">
            <v>14.3140001296997</v>
          </cell>
          <cell r="AV250">
            <v>14.486000061035201</v>
          </cell>
          <cell r="AW250">
            <v>15.1350002288818</v>
          </cell>
          <cell r="AX250">
            <v>15.789999961853001</v>
          </cell>
          <cell r="AY250">
            <v>16.525999069213899</v>
          </cell>
          <cell r="AZ250">
            <v>17.232000350952099</v>
          </cell>
          <cell r="BA250">
            <v>17.945999145507798</v>
          </cell>
          <cell r="BB250">
            <v>18.624000549316399</v>
          </cell>
          <cell r="BC250">
            <v>19.260999679565401</v>
          </cell>
          <cell r="BD250">
            <v>19.945999145507798</v>
          </cell>
          <cell r="BE250">
            <v>20.489000320434599</v>
          </cell>
          <cell r="BF250">
            <v>20.6310005187988</v>
          </cell>
          <cell r="BG250">
            <v>20.805000305175799</v>
          </cell>
          <cell r="BH250">
            <v>20.972999572753899</v>
          </cell>
          <cell r="BI250">
            <v>21.128999710083001</v>
          </cell>
          <cell r="BJ250">
            <v>21.260999679565401</v>
          </cell>
          <cell r="BK250">
            <v>21.4409999847412</v>
          </cell>
        </row>
        <row r="251">
          <cell r="B251" t="str">
            <v>UKR</v>
          </cell>
          <cell r="C251" t="str">
            <v>Wage and salaried workers, total (% of total employment) (modeled ILO estimate)</v>
          </cell>
          <cell r="D251" t="str">
            <v>SL.EMP.WORK.ZS</v>
          </cell>
          <cell r="AJ251">
            <v>81.341003417968807</v>
          </cell>
          <cell r="AK251">
            <v>81.301002502441406</v>
          </cell>
          <cell r="AL251">
            <v>81.289001464843807</v>
          </cell>
          <cell r="AM251">
            <v>81.194999694824205</v>
          </cell>
          <cell r="AN251">
            <v>81.152999877929702</v>
          </cell>
          <cell r="AO251">
            <v>81.123001098632798</v>
          </cell>
          <cell r="AP251">
            <v>81.115997314453097</v>
          </cell>
          <cell r="AQ251">
            <v>81.110000610351605</v>
          </cell>
          <cell r="AR251">
            <v>81.109001159667997</v>
          </cell>
          <cell r="AS251">
            <v>81.136001586914105</v>
          </cell>
          <cell r="AT251">
            <v>81.180999755859403</v>
          </cell>
          <cell r="AU251">
            <v>81.213996887207003</v>
          </cell>
          <cell r="AV251">
            <v>81.258003234863295</v>
          </cell>
          <cell r="AW251">
            <v>81.315002441406307</v>
          </cell>
          <cell r="AX251">
            <v>81.355003356933594</v>
          </cell>
          <cell r="AY251">
            <v>81.399002075195298</v>
          </cell>
          <cell r="AZ251">
            <v>81.448997497558594</v>
          </cell>
          <cell r="BA251">
            <v>81.498001098632798</v>
          </cell>
          <cell r="BB251">
            <v>81.517997741699205</v>
          </cell>
          <cell r="BC251">
            <v>81.091003417968807</v>
          </cell>
          <cell r="BD251">
            <v>80.732002258300795</v>
          </cell>
          <cell r="BE251">
            <v>81.230003356933594</v>
          </cell>
          <cell r="BF251">
            <v>80.876998901367202</v>
          </cell>
          <cell r="BG251">
            <v>84.133003234863295</v>
          </cell>
          <cell r="BH251">
            <v>84.068000793457003</v>
          </cell>
          <cell r="BI251">
            <v>84.362998962402301</v>
          </cell>
          <cell r="BJ251">
            <v>84.288002014160199</v>
          </cell>
          <cell r="BK251">
            <v>84.1719970703125</v>
          </cell>
        </row>
        <row r="252">
          <cell r="B252" t="str">
            <v>UMC</v>
          </cell>
          <cell r="C252" t="str">
            <v>Wage and salaried workers, total (% of total employment) (modeled ILO estimate)</v>
          </cell>
          <cell r="D252" t="str">
            <v>SL.EMP.WORK.ZS</v>
          </cell>
          <cell r="AJ252">
            <v>43.413085934781044</v>
          </cell>
          <cell r="AK252">
            <v>43.776503378442669</v>
          </cell>
          <cell r="AL252">
            <v>44.154203834640207</v>
          </cell>
          <cell r="AM252">
            <v>44.507771854565938</v>
          </cell>
          <cell r="AN252">
            <v>44.907530643481572</v>
          </cell>
          <cell r="AO252">
            <v>45.489271220648831</v>
          </cell>
          <cell r="AP252">
            <v>45.775996916185314</v>
          </cell>
          <cell r="AQ252">
            <v>46.218395158743974</v>
          </cell>
          <cell r="AR252">
            <v>46.459623281634578</v>
          </cell>
          <cell r="AS252">
            <v>47.197939216030221</v>
          </cell>
          <cell r="AT252">
            <v>47.938351354235486</v>
          </cell>
          <cell r="AU252">
            <v>48.656959838066179</v>
          </cell>
          <cell r="AV252">
            <v>49.277683950142134</v>
          </cell>
          <cell r="AW252">
            <v>50.146832107265098</v>
          </cell>
          <cell r="AX252">
            <v>50.860089059097824</v>
          </cell>
          <cell r="AY252">
            <v>51.606084138610072</v>
          </cell>
          <cell r="AZ252">
            <v>52.460240343655244</v>
          </cell>
          <cell r="BA252">
            <v>53.257135002270097</v>
          </cell>
          <cell r="BB252">
            <v>53.760950688212851</v>
          </cell>
          <cell r="BC252">
            <v>54.515395095050032</v>
          </cell>
          <cell r="BD252">
            <v>55.083498096550663</v>
          </cell>
          <cell r="BE252">
            <v>55.871733184463316</v>
          </cell>
          <cell r="BF252">
            <v>56.560674286819385</v>
          </cell>
          <cell r="BG252">
            <v>57.349588882251851</v>
          </cell>
          <cell r="BH252">
            <v>57.84751888472983</v>
          </cell>
          <cell r="BI252">
            <v>58.32050921924413</v>
          </cell>
          <cell r="BJ252">
            <v>58.803700409844723</v>
          </cell>
          <cell r="BK252">
            <v>59.267320103231221</v>
          </cell>
        </row>
        <row r="253">
          <cell r="B253" t="str">
            <v>URY</v>
          </cell>
          <cell r="C253" t="str">
            <v>Wage and salaried workers, total (% of total employment) (modeled ILO estimate)</v>
          </cell>
          <cell r="D253" t="str">
            <v>SL.EMP.WORK.ZS</v>
          </cell>
          <cell r="AJ253">
            <v>71.593002319335895</v>
          </cell>
          <cell r="AK253">
            <v>71.829002380371094</v>
          </cell>
          <cell r="AL253">
            <v>72.024002075195298</v>
          </cell>
          <cell r="AM253">
            <v>72.289001464843807</v>
          </cell>
          <cell r="AN253">
            <v>72.294998168945298</v>
          </cell>
          <cell r="AO253">
            <v>72.508003234863295</v>
          </cell>
          <cell r="AP253">
            <v>72.806999206542997</v>
          </cell>
          <cell r="AQ253">
            <v>73.004997253417997</v>
          </cell>
          <cell r="AR253">
            <v>72.702003479003906</v>
          </cell>
          <cell r="AS253">
            <v>73.060997009277301</v>
          </cell>
          <cell r="AT253">
            <v>71.233001708984403</v>
          </cell>
          <cell r="AU253">
            <v>70.120002746582003</v>
          </cell>
          <cell r="AV253">
            <v>70.264999389648395</v>
          </cell>
          <cell r="AW253">
            <v>70.523002624511705</v>
          </cell>
          <cell r="AX253">
            <v>71.366996765136705</v>
          </cell>
          <cell r="AY253">
            <v>70.218002319335895</v>
          </cell>
          <cell r="AZ253">
            <v>70.123001098632798</v>
          </cell>
          <cell r="BA253">
            <v>70.502998352050795</v>
          </cell>
          <cell r="BB253">
            <v>70.751998901367202</v>
          </cell>
          <cell r="BC253">
            <v>71.500999450683594</v>
          </cell>
          <cell r="BD253">
            <v>71.906997680664105</v>
          </cell>
          <cell r="BE253">
            <v>72.890998840332003</v>
          </cell>
          <cell r="BF253">
            <v>72.682998657226605</v>
          </cell>
          <cell r="BG253">
            <v>73.207000732421903</v>
          </cell>
          <cell r="BH253">
            <v>72.676002502441406</v>
          </cell>
          <cell r="BI253">
            <v>72.152999877929702</v>
          </cell>
          <cell r="BJ253">
            <v>71.955001831054702</v>
          </cell>
          <cell r="BK253">
            <v>71.819999694824205</v>
          </cell>
        </row>
        <row r="254">
          <cell r="B254" t="str">
            <v>USA</v>
          </cell>
          <cell r="C254" t="str">
            <v>Wage and salaried workers, total (% of total employment) (modeled ILO estimate)</v>
          </cell>
          <cell r="D254" t="str">
            <v>SL.EMP.WORK.ZS</v>
          </cell>
          <cell r="AJ254">
            <v>90.982002258300795</v>
          </cell>
          <cell r="AK254">
            <v>91.303001403808594</v>
          </cell>
          <cell r="AL254">
            <v>91.181999206542997</v>
          </cell>
          <cell r="AM254">
            <v>91.199996948242202</v>
          </cell>
          <cell r="AN254">
            <v>91.443000793457003</v>
          </cell>
          <cell r="AO254">
            <v>91.556999206542997</v>
          </cell>
          <cell r="AP254">
            <v>91.724998474121094</v>
          </cell>
          <cell r="AQ254">
            <v>92.055000305175795</v>
          </cell>
          <cell r="AR254">
            <v>92.343002319335895</v>
          </cell>
          <cell r="AS254">
            <v>92.434997558593807</v>
          </cell>
          <cell r="AT254">
            <v>92.518997192382798</v>
          </cell>
          <cell r="AU254">
            <v>92.638999938964801</v>
          </cell>
          <cell r="AV254">
            <v>92.432998657226605</v>
          </cell>
          <cell r="AW254">
            <v>92.426002502441406</v>
          </cell>
          <cell r="AX254">
            <v>92.529998779296903</v>
          </cell>
          <cell r="AY254">
            <v>92.597999572753906</v>
          </cell>
          <cell r="AZ254">
            <v>92.779998779296903</v>
          </cell>
          <cell r="BA254">
            <v>92.982002258300795</v>
          </cell>
          <cell r="BB254">
            <v>92.906997680664105</v>
          </cell>
          <cell r="BC254">
            <v>92.955001831054702</v>
          </cell>
          <cell r="BD254">
            <v>93.180000305175795</v>
          </cell>
          <cell r="BE254">
            <v>93.247001647949205</v>
          </cell>
          <cell r="BF254">
            <v>93.404998779296903</v>
          </cell>
          <cell r="BG254">
            <v>93.554000854492202</v>
          </cell>
          <cell r="BH254">
            <v>93.555999755859403</v>
          </cell>
          <cell r="BI254">
            <v>93.612998962402301</v>
          </cell>
          <cell r="BJ254">
            <v>93.748001098632798</v>
          </cell>
          <cell r="BK254">
            <v>93.719001770019503</v>
          </cell>
        </row>
        <row r="255">
          <cell r="B255" t="str">
            <v>UZB</v>
          </cell>
          <cell r="C255" t="str">
            <v>Wage and salaried workers, total (% of total employment) (modeled ILO estimate)</v>
          </cell>
          <cell r="D255" t="str">
            <v>SL.EMP.WORK.ZS</v>
          </cell>
          <cell r="AJ255">
            <v>49.222000122070298</v>
          </cell>
          <cell r="AK255">
            <v>49.150001525878899</v>
          </cell>
          <cell r="AL255">
            <v>49.233001708984403</v>
          </cell>
          <cell r="AM255">
            <v>49.318000793457003</v>
          </cell>
          <cell r="AN255">
            <v>49.437000274658203</v>
          </cell>
          <cell r="AO255">
            <v>49.587001800537102</v>
          </cell>
          <cell r="AP255">
            <v>49.791000366210902</v>
          </cell>
          <cell r="AQ255">
            <v>49.999000549316399</v>
          </cell>
          <cell r="AR255">
            <v>50.221000671386697</v>
          </cell>
          <cell r="AS255">
            <v>50.444999694824197</v>
          </cell>
          <cell r="AT255">
            <v>50.681999206542997</v>
          </cell>
          <cell r="AU255">
            <v>50.930999755859403</v>
          </cell>
          <cell r="AV255">
            <v>51.191001892089801</v>
          </cell>
          <cell r="AW255">
            <v>51.504001617431598</v>
          </cell>
          <cell r="AX255">
            <v>51.824001312255902</v>
          </cell>
          <cell r="AY255">
            <v>52.167999267578097</v>
          </cell>
          <cell r="AZ255">
            <v>52.557998657226598</v>
          </cell>
          <cell r="BA255">
            <v>52.946998596191399</v>
          </cell>
          <cell r="BB255">
            <v>53.327999114990199</v>
          </cell>
          <cell r="BC255">
            <v>53.7039985656738</v>
          </cell>
          <cell r="BD255">
            <v>54.058998107910199</v>
          </cell>
          <cell r="BE255">
            <v>54.4140014648438</v>
          </cell>
          <cell r="BF255">
            <v>54.769001007080099</v>
          </cell>
          <cell r="BG255">
            <v>55.104000091552699</v>
          </cell>
          <cell r="BH255">
            <v>55.445999145507798</v>
          </cell>
          <cell r="BI255">
            <v>55.756999969482401</v>
          </cell>
          <cell r="BJ255">
            <v>56.0260009765625</v>
          </cell>
          <cell r="BK255">
            <v>56.312000274658203</v>
          </cell>
        </row>
        <row r="256">
          <cell r="B256" t="str">
            <v>VCT</v>
          </cell>
          <cell r="C256" t="str">
            <v>Wage and salaried workers, total (% of total employment) (modeled ILO estimate)</v>
          </cell>
          <cell r="D256" t="str">
            <v>SL.EMP.WORK.ZS</v>
          </cell>
          <cell r="AJ256">
            <v>74.196998596191406</v>
          </cell>
          <cell r="AK256">
            <v>74.405998229980497</v>
          </cell>
          <cell r="AL256">
            <v>74.378997802734403</v>
          </cell>
          <cell r="AM256">
            <v>74.170997619628906</v>
          </cell>
          <cell r="AN256">
            <v>74.416000366210895</v>
          </cell>
          <cell r="AO256">
            <v>74.226997375488295</v>
          </cell>
          <cell r="AP256">
            <v>74.332000732421903</v>
          </cell>
          <cell r="AQ256">
            <v>74.379997253417997</v>
          </cell>
          <cell r="AR256">
            <v>74.260002136230497</v>
          </cell>
          <cell r="AS256">
            <v>74.172996520996094</v>
          </cell>
          <cell r="AT256">
            <v>74.126998901367202</v>
          </cell>
          <cell r="AU256">
            <v>74.272003173828097</v>
          </cell>
          <cell r="AV256">
            <v>74.458000183105497</v>
          </cell>
          <cell r="AW256">
            <v>74.470001220703097</v>
          </cell>
          <cell r="AX256">
            <v>74.426002502441406</v>
          </cell>
          <cell r="AY256">
            <v>74.660003662109403</v>
          </cell>
          <cell r="AZ256">
            <v>74.696998596191406</v>
          </cell>
          <cell r="BA256">
            <v>74.567001342773395</v>
          </cell>
          <cell r="BB256">
            <v>74.446998596191406</v>
          </cell>
          <cell r="BC256">
            <v>74.319999694824205</v>
          </cell>
          <cell r="BD256">
            <v>74.293998718261705</v>
          </cell>
          <cell r="BE256">
            <v>74.315002441406307</v>
          </cell>
          <cell r="BF256">
            <v>74.382003784179702</v>
          </cell>
          <cell r="BG256">
            <v>74.342002868652301</v>
          </cell>
          <cell r="BH256">
            <v>74.406997680664105</v>
          </cell>
          <cell r="BI256">
            <v>74.436996459960895</v>
          </cell>
          <cell r="BJ256">
            <v>74.456001281738295</v>
          </cell>
          <cell r="BK256">
            <v>74.555999755859403</v>
          </cell>
        </row>
        <row r="257">
          <cell r="B257" t="str">
            <v>VEN</v>
          </cell>
          <cell r="C257" t="str">
            <v>Wage and salaried workers, total (% of total employment) (modeled ILO estimate)</v>
          </cell>
          <cell r="D257" t="str">
            <v>SL.EMP.WORK.ZS</v>
          </cell>
          <cell r="AJ257">
            <v>61.7960014343262</v>
          </cell>
          <cell r="AK257">
            <v>61.875999450683601</v>
          </cell>
          <cell r="AL257">
            <v>61.823001861572301</v>
          </cell>
          <cell r="AM257">
            <v>61.712001800537102</v>
          </cell>
          <cell r="AN257">
            <v>62.101001739502003</v>
          </cell>
          <cell r="AO257">
            <v>61.273998260497997</v>
          </cell>
          <cell r="AP257">
            <v>63.872001647949197</v>
          </cell>
          <cell r="AQ257">
            <v>60.381999969482401</v>
          </cell>
          <cell r="AR257">
            <v>59.230998992919901</v>
          </cell>
          <cell r="AS257">
            <v>58.030998229980497</v>
          </cell>
          <cell r="AT257">
            <v>59.043998718261697</v>
          </cell>
          <cell r="AU257">
            <v>60.080001831054702</v>
          </cell>
          <cell r="AV257">
            <v>59.589000701904297</v>
          </cell>
          <cell r="AW257">
            <v>62.112998962402301</v>
          </cell>
          <cell r="AX257">
            <v>63.4539985656738</v>
          </cell>
          <cell r="AY257">
            <v>64.616996765136705</v>
          </cell>
          <cell r="AZ257">
            <v>66.047996520996094</v>
          </cell>
          <cell r="BA257">
            <v>65.377998352050795</v>
          </cell>
          <cell r="BB257">
            <v>64.748001098632798</v>
          </cell>
          <cell r="BC257">
            <v>63.334999084472699</v>
          </cell>
          <cell r="BD257">
            <v>64.055000305175795</v>
          </cell>
          <cell r="BE257">
            <v>64.7760009765625</v>
          </cell>
          <cell r="BF257">
            <v>64.5260009765625</v>
          </cell>
          <cell r="BG257">
            <v>64.108001708984403</v>
          </cell>
          <cell r="BH257">
            <v>63.612998962402301</v>
          </cell>
          <cell r="BI257">
            <v>62.895999908447301</v>
          </cell>
          <cell r="BJ257">
            <v>62.312999725341797</v>
          </cell>
          <cell r="BK257">
            <v>61.799999237060497</v>
          </cell>
        </row>
        <row r="258">
          <cell r="B258" t="str">
            <v>VGB</v>
          </cell>
          <cell r="C258" t="str">
            <v>Wage and salaried workers, total (% of total employment) (modeled ILO estimate)</v>
          </cell>
          <cell r="D258" t="str">
            <v>SL.EMP.WORK.ZS</v>
          </cell>
        </row>
        <row r="259">
          <cell r="B259" t="str">
            <v>VIR</v>
          </cell>
          <cell r="C259" t="str">
            <v>Wage and salaried workers, total (% of total employment) (modeled ILO estimate)</v>
          </cell>
          <cell r="D259" t="str">
            <v>SL.EMP.WORK.ZS</v>
          </cell>
          <cell r="AJ259">
            <v>87.198997497558594</v>
          </cell>
          <cell r="AK259">
            <v>87.265998840332003</v>
          </cell>
          <cell r="AL259">
            <v>87.277999877929702</v>
          </cell>
          <cell r="AM259">
            <v>87.380996704101605</v>
          </cell>
          <cell r="AN259">
            <v>87.449996948242202</v>
          </cell>
          <cell r="AO259">
            <v>87.533996582031307</v>
          </cell>
          <cell r="AP259">
            <v>87.670997619628906</v>
          </cell>
          <cell r="AQ259">
            <v>87.725997924804702</v>
          </cell>
          <cell r="AR259">
            <v>87.783996582031307</v>
          </cell>
          <cell r="AS259">
            <v>87.924003601074205</v>
          </cell>
          <cell r="AT259">
            <v>87.927001953125</v>
          </cell>
          <cell r="AU259">
            <v>87.978996276855497</v>
          </cell>
          <cell r="AV259">
            <v>87.918998718261705</v>
          </cell>
          <cell r="AW259">
            <v>88.033996582031307</v>
          </cell>
          <cell r="AX259">
            <v>88.148002624511705</v>
          </cell>
          <cell r="AY259">
            <v>88.262001037597699</v>
          </cell>
          <cell r="AZ259">
            <v>88.4010009765625</v>
          </cell>
          <cell r="BA259">
            <v>88.405998229980497</v>
          </cell>
          <cell r="BB259">
            <v>88.116996765136705</v>
          </cell>
          <cell r="BC259">
            <v>88.236999511718807</v>
          </cell>
          <cell r="BD259">
            <v>87.878997802734403</v>
          </cell>
          <cell r="BE259">
            <v>87.299003601074205</v>
          </cell>
          <cell r="BF259">
            <v>87.226997375488295</v>
          </cell>
          <cell r="BG259">
            <v>87.265998840332003</v>
          </cell>
          <cell r="BH259">
            <v>87.291999816894503</v>
          </cell>
          <cell r="BI259">
            <v>87.327003479003906</v>
          </cell>
          <cell r="BJ259">
            <v>87.237998962402301</v>
          </cell>
          <cell r="BK259">
            <v>87.278999328613295</v>
          </cell>
        </row>
        <row r="260">
          <cell r="B260" t="str">
            <v>VNM</v>
          </cell>
          <cell r="C260" t="str">
            <v>Wage and salaried workers, total (% of total employment) (modeled ILO estimate)</v>
          </cell>
          <cell r="D260" t="str">
            <v>SL.EMP.WORK.ZS</v>
          </cell>
          <cell r="AJ260">
            <v>15.411999702453601</v>
          </cell>
          <cell r="AK260">
            <v>15.6759996414185</v>
          </cell>
          <cell r="AL260">
            <v>15.9420003890991</v>
          </cell>
          <cell r="AM260">
            <v>16.239000320434599</v>
          </cell>
          <cell r="AN260">
            <v>16.563999176025401</v>
          </cell>
          <cell r="AO260">
            <v>16.899000167846701</v>
          </cell>
          <cell r="AP260">
            <v>18.5820007324219</v>
          </cell>
          <cell r="AQ260">
            <v>21.246000289916999</v>
          </cell>
          <cell r="AR260">
            <v>18.459999084472699</v>
          </cell>
          <cell r="AS260">
            <v>18.872999191284201</v>
          </cell>
          <cell r="AT260">
            <v>21.250999450683601</v>
          </cell>
          <cell r="AU260">
            <v>20.7339992523193</v>
          </cell>
          <cell r="AV260">
            <v>22.181999206543001</v>
          </cell>
          <cell r="AW260">
            <v>25.568000793456999</v>
          </cell>
          <cell r="AX260">
            <v>27.438999176025401</v>
          </cell>
          <cell r="AY260">
            <v>29.254999160766602</v>
          </cell>
          <cell r="AZ260">
            <v>30.975999832153299</v>
          </cell>
          <cell r="BA260">
            <v>32.4609985351563</v>
          </cell>
          <cell r="BB260">
            <v>33.639999389648402</v>
          </cell>
          <cell r="BC260">
            <v>33.863998413085902</v>
          </cell>
          <cell r="BD260">
            <v>34.680000305175803</v>
          </cell>
          <cell r="BE260">
            <v>34.786998748779297</v>
          </cell>
          <cell r="BF260">
            <v>34.860000610351598</v>
          </cell>
          <cell r="BG260">
            <v>35.672000885009801</v>
          </cell>
          <cell r="BH260">
            <v>39.340000152587898</v>
          </cell>
          <cell r="BI260">
            <v>41.245998382568402</v>
          </cell>
          <cell r="BJ260">
            <v>42.8489990234375</v>
          </cell>
          <cell r="BK260">
            <v>43.375</v>
          </cell>
        </row>
        <row r="261">
          <cell r="B261" t="str">
            <v>VUT</v>
          </cell>
          <cell r="C261" t="str">
            <v>Wage and salaried workers, total (% of total employment) (modeled ILO estimate)</v>
          </cell>
          <cell r="D261" t="str">
            <v>SL.EMP.WORK.ZS</v>
          </cell>
          <cell r="AJ261">
            <v>25.3619995117188</v>
          </cell>
          <cell r="AK261">
            <v>25.4440002441406</v>
          </cell>
          <cell r="AL261">
            <v>25.472000122070298</v>
          </cell>
          <cell r="AM261">
            <v>25.736000061035199</v>
          </cell>
          <cell r="AN261">
            <v>25.788999557495099</v>
          </cell>
          <cell r="AO261">
            <v>25.8880004882813</v>
          </cell>
          <cell r="AP261">
            <v>26.070999145507798</v>
          </cell>
          <cell r="AQ261">
            <v>26.243000030517599</v>
          </cell>
          <cell r="AR261">
            <v>26.291000366210898</v>
          </cell>
          <cell r="AS261">
            <v>26.479000091552699</v>
          </cell>
          <cell r="AT261">
            <v>26.406000137329102</v>
          </cell>
          <cell r="AU261">
            <v>26.2630004882813</v>
          </cell>
          <cell r="AV261">
            <v>26.402000427246101</v>
          </cell>
          <cell r="AW261">
            <v>26.534999847412099</v>
          </cell>
          <cell r="AX261">
            <v>26.704999923706101</v>
          </cell>
          <cell r="AY261">
            <v>26.965999603271499</v>
          </cell>
          <cell r="AZ261">
            <v>27.1410007476807</v>
          </cell>
          <cell r="BA261">
            <v>27.347000122070298</v>
          </cell>
          <cell r="BB261">
            <v>27.454999923706101</v>
          </cell>
          <cell r="BC261">
            <v>27.502000808715799</v>
          </cell>
          <cell r="BD261">
            <v>27.548000335693398</v>
          </cell>
          <cell r="BE261">
            <v>27.6019992828369</v>
          </cell>
          <cell r="BF261">
            <v>27.6480007171631</v>
          </cell>
          <cell r="BG261">
            <v>27.7070007324219</v>
          </cell>
          <cell r="BH261">
            <v>27.663000106811499</v>
          </cell>
          <cell r="BI261">
            <v>27.777000427246101</v>
          </cell>
          <cell r="BJ261">
            <v>27.912000656127901</v>
          </cell>
          <cell r="BK261">
            <v>28.0090007781982</v>
          </cell>
        </row>
        <row r="262">
          <cell r="B262" t="str">
            <v>WLD</v>
          </cell>
          <cell r="C262" t="str">
            <v>Wage and salaried workers, total (% of total employment) (modeled ILO estimate)</v>
          </cell>
          <cell r="D262" t="str">
            <v>SL.EMP.WORK.ZS</v>
          </cell>
          <cell r="AJ262">
            <v>43.99924071617761</v>
          </cell>
          <cell r="AK262">
            <v>44.061842785023572</v>
          </cell>
          <cell r="AL262">
            <v>44.123247842893818</v>
          </cell>
          <cell r="AM262">
            <v>44.247170379400856</v>
          </cell>
          <cell r="AN262">
            <v>44.442650370842692</v>
          </cell>
          <cell r="AO262">
            <v>44.685596371768625</v>
          </cell>
          <cell r="AP262">
            <v>44.863621255195561</v>
          </cell>
          <cell r="AQ262">
            <v>44.929683343704738</v>
          </cell>
          <cell r="AR262">
            <v>44.981329811513291</v>
          </cell>
          <cell r="AS262">
            <v>45.303422707337887</v>
          </cell>
          <cell r="AT262">
            <v>45.653244957544672</v>
          </cell>
          <cell r="AU262">
            <v>45.889787958789618</v>
          </cell>
          <cell r="AV262">
            <v>46.013163530800185</v>
          </cell>
          <cell r="AW262">
            <v>46.39131453851239</v>
          </cell>
          <cell r="AX262">
            <v>46.799383455970428</v>
          </cell>
          <cell r="AY262">
            <v>47.350839088158963</v>
          </cell>
          <cell r="AZ262">
            <v>47.858443633287337</v>
          </cell>
          <cell r="BA262">
            <v>48.291670021915685</v>
          </cell>
          <cell r="BB262">
            <v>48.406890101641608</v>
          </cell>
          <cell r="BC262">
            <v>48.804018976628313</v>
          </cell>
          <cell r="BD262">
            <v>49.405355975316411</v>
          </cell>
          <cell r="BE262">
            <v>50.176252155720633</v>
          </cell>
          <cell r="BF262">
            <v>50.650048500496915</v>
          </cell>
          <cell r="BG262">
            <v>51.13961176681434</v>
          </cell>
          <cell r="BH262">
            <v>51.650226434647202</v>
          </cell>
          <cell r="BI262">
            <v>52.068744440164167</v>
          </cell>
          <cell r="BJ262">
            <v>52.413482693427888</v>
          </cell>
          <cell r="BK262">
            <v>52.73083315106976</v>
          </cell>
        </row>
        <row r="263">
          <cell r="B263" t="str">
            <v>WSM</v>
          </cell>
          <cell r="C263" t="str">
            <v>Wage and salaried workers, total (% of total employment) (modeled ILO estimate)</v>
          </cell>
          <cell r="D263" t="str">
            <v>SL.EMP.WORK.ZS</v>
          </cell>
          <cell r="AJ263">
            <v>62.618000030517599</v>
          </cell>
          <cell r="AK263">
            <v>62.623001098632798</v>
          </cell>
          <cell r="AL263">
            <v>62.757999420166001</v>
          </cell>
          <cell r="AM263">
            <v>62.694999694824197</v>
          </cell>
          <cell r="AN263">
            <v>62.890998840332003</v>
          </cell>
          <cell r="AO263">
            <v>63.1049995422363</v>
          </cell>
          <cell r="AP263">
            <v>63.201999664306598</v>
          </cell>
          <cell r="AQ263">
            <v>63.264999389648402</v>
          </cell>
          <cell r="AR263">
            <v>63.354000091552699</v>
          </cell>
          <cell r="AS263">
            <v>63.494998931884801</v>
          </cell>
          <cell r="AT263">
            <v>63.641998291015597</v>
          </cell>
          <cell r="AU263">
            <v>63.745998382568402</v>
          </cell>
          <cell r="AV263">
            <v>63.803001403808601</v>
          </cell>
          <cell r="AW263">
            <v>63.895999908447301</v>
          </cell>
          <cell r="AX263">
            <v>63.9609985351563</v>
          </cell>
          <cell r="AY263">
            <v>64.018997192382798</v>
          </cell>
          <cell r="AZ263">
            <v>64.126998901367202</v>
          </cell>
          <cell r="BA263">
            <v>64.165000915527301</v>
          </cell>
          <cell r="BB263">
            <v>64.152999877929702</v>
          </cell>
          <cell r="BC263">
            <v>64.111999511718807</v>
          </cell>
          <cell r="BD263">
            <v>64.189002990722699</v>
          </cell>
          <cell r="BE263">
            <v>64.194999694824205</v>
          </cell>
          <cell r="BF263">
            <v>64.878997802734403</v>
          </cell>
          <cell r="BG263">
            <v>65.5260009765625</v>
          </cell>
          <cell r="BH263">
            <v>66.055000305175795</v>
          </cell>
          <cell r="BI263">
            <v>66.592002868652301</v>
          </cell>
          <cell r="BJ263">
            <v>66.879997253417997</v>
          </cell>
          <cell r="BK263">
            <v>66.913002014160199</v>
          </cell>
        </row>
        <row r="264">
          <cell r="B264" t="str">
            <v>XKX</v>
          </cell>
          <cell r="C264" t="str">
            <v>Wage and salaried workers, total (% of total employment) (modeled ILO estimate)</v>
          </cell>
          <cell r="D264" t="str">
            <v>SL.EMP.WORK.ZS</v>
          </cell>
        </row>
        <row r="265">
          <cell r="B265" t="str">
            <v>YEM</v>
          </cell>
          <cell r="C265" t="str">
            <v>Wage and salaried workers, total (% of total employment) (modeled ILO estimate)</v>
          </cell>
          <cell r="D265" t="str">
            <v>SL.EMP.WORK.ZS</v>
          </cell>
          <cell r="AJ265">
            <v>49.2179985046387</v>
          </cell>
          <cell r="AK265">
            <v>49.542999267578097</v>
          </cell>
          <cell r="AL265">
            <v>49.685001373291001</v>
          </cell>
          <cell r="AM265">
            <v>49.9609985351563</v>
          </cell>
          <cell r="AN265">
            <v>50.2039985656738</v>
          </cell>
          <cell r="AO265">
            <v>50.422000885009801</v>
          </cell>
          <cell r="AP265">
            <v>50.673999786377003</v>
          </cell>
          <cell r="AQ265">
            <v>50.9539985656738</v>
          </cell>
          <cell r="AR265">
            <v>51.131999969482401</v>
          </cell>
          <cell r="AS265">
            <v>51.391998291015597</v>
          </cell>
          <cell r="AT265">
            <v>51.533000946044901</v>
          </cell>
          <cell r="AU265">
            <v>51.6640014648438</v>
          </cell>
          <cell r="AV265">
            <v>51.764999389648402</v>
          </cell>
          <cell r="AW265">
            <v>51.849998474121101</v>
          </cell>
          <cell r="AX265">
            <v>51.971000671386697</v>
          </cell>
          <cell r="AY265">
            <v>51.970001220703097</v>
          </cell>
          <cell r="AZ265">
            <v>51.955001831054702</v>
          </cell>
          <cell r="BA265">
            <v>51.923999786377003</v>
          </cell>
          <cell r="BB265">
            <v>51.873001098632798</v>
          </cell>
          <cell r="BC265">
            <v>51.931999206542997</v>
          </cell>
          <cell r="BD265">
            <v>51.137001037597699</v>
          </cell>
          <cell r="BE265">
            <v>51.000999450683601</v>
          </cell>
          <cell r="BF265">
            <v>50.910999298095703</v>
          </cell>
          <cell r="BG265">
            <v>50.599998474121101</v>
          </cell>
          <cell r="BH265">
            <v>49.4140014648438</v>
          </cell>
          <cell r="BI265">
            <v>48.382999420166001</v>
          </cell>
          <cell r="BJ265">
            <v>47.722000122070298</v>
          </cell>
          <cell r="BK265">
            <v>47.259998321533203</v>
          </cell>
        </row>
        <row r="266">
          <cell r="B266" t="str">
            <v>ZAF</v>
          </cell>
          <cell r="C266" t="str">
            <v>Wage and salaried workers, total (% of total employment) (modeled ILO estimate)</v>
          </cell>
          <cell r="D266" t="str">
            <v>SL.EMP.WORK.ZS</v>
          </cell>
          <cell r="AJ266">
            <v>81.367996215820298</v>
          </cell>
          <cell r="AK266">
            <v>81.397003173828097</v>
          </cell>
          <cell r="AL266">
            <v>81.430999755859403</v>
          </cell>
          <cell r="AM266">
            <v>81.470001220703097</v>
          </cell>
          <cell r="AN266">
            <v>81.508003234863295</v>
          </cell>
          <cell r="AO266">
            <v>81.547996520996094</v>
          </cell>
          <cell r="AP266">
            <v>81.585998535156307</v>
          </cell>
          <cell r="AQ266">
            <v>81.619003295898395</v>
          </cell>
          <cell r="AR266">
            <v>81.655998229980497</v>
          </cell>
          <cell r="AS266">
            <v>81.695999145507798</v>
          </cell>
          <cell r="AT266">
            <v>81.490997314453097</v>
          </cell>
          <cell r="AU266">
            <v>81.262001037597699</v>
          </cell>
          <cell r="AV266">
            <v>81.332000732421903</v>
          </cell>
          <cell r="AW266">
            <v>81.517997741699205</v>
          </cell>
          <cell r="AX266">
            <v>80.769996643066406</v>
          </cell>
          <cell r="AY266">
            <v>80.299003601074205</v>
          </cell>
          <cell r="AZ266">
            <v>82.2239990234375</v>
          </cell>
          <cell r="BA266">
            <v>84.112998962402301</v>
          </cell>
          <cell r="BB266">
            <v>84.475997924804702</v>
          </cell>
          <cell r="BC266">
            <v>84.152999877929702</v>
          </cell>
          <cell r="BD266">
            <v>84.317001342773395</v>
          </cell>
          <cell r="BE266">
            <v>84.581001281738295</v>
          </cell>
          <cell r="BF266">
            <v>85.135002136230497</v>
          </cell>
          <cell r="BG266">
            <v>85.871002197265597</v>
          </cell>
          <cell r="BH266">
            <v>85.412002563476605</v>
          </cell>
          <cell r="BI266">
            <v>84.884002685546903</v>
          </cell>
          <cell r="BJ266">
            <v>84.530998229980497</v>
          </cell>
          <cell r="BK266">
            <v>84.428001403808594</v>
          </cell>
        </row>
        <row r="267">
          <cell r="B267" t="str">
            <v>ZMB</v>
          </cell>
          <cell r="C267" t="str">
            <v>Wage and salaried workers, total (% of total employment) (modeled ILO estimate)</v>
          </cell>
          <cell r="D267" t="str">
            <v>SL.EMP.WORK.ZS</v>
          </cell>
          <cell r="AJ267">
            <v>17.8390007019043</v>
          </cell>
          <cell r="AK267">
            <v>17.7929992675781</v>
          </cell>
          <cell r="AL267">
            <v>17.961000442504901</v>
          </cell>
          <cell r="AM267">
            <v>17.7399997711182</v>
          </cell>
          <cell r="AN267">
            <v>17.8120002746582</v>
          </cell>
          <cell r="AO267">
            <v>17.962999343872099</v>
          </cell>
          <cell r="AP267">
            <v>18.059999465942401</v>
          </cell>
          <cell r="AQ267">
            <v>18.059999465942401</v>
          </cell>
          <cell r="AR267">
            <v>18.184999465942401</v>
          </cell>
          <cell r="AS267">
            <v>18.299999237060501</v>
          </cell>
          <cell r="AT267">
            <v>18.031000137329102</v>
          </cell>
          <cell r="AU267">
            <v>17.767999649047901</v>
          </cell>
          <cell r="AV267">
            <v>17.5659999847412</v>
          </cell>
          <cell r="AW267">
            <v>17.367000579833999</v>
          </cell>
          <cell r="AX267">
            <v>17.172000885009801</v>
          </cell>
          <cell r="AY267">
            <v>17.466999053955099</v>
          </cell>
          <cell r="AZ267">
            <v>17.7600002288818</v>
          </cell>
          <cell r="BA267">
            <v>18.025999069213899</v>
          </cell>
          <cell r="BB267">
            <v>18.658000946044901</v>
          </cell>
          <cell r="BC267">
            <v>19.333999633789102</v>
          </cell>
          <cell r="BD267">
            <v>19.872999191284201</v>
          </cell>
          <cell r="BE267">
            <v>20.479000091552699</v>
          </cell>
          <cell r="BF267">
            <v>20.697999954223601</v>
          </cell>
          <cell r="BG267">
            <v>20.900999069213899</v>
          </cell>
          <cell r="BH267">
            <v>21.038000106811499</v>
          </cell>
          <cell r="BI267">
            <v>21.201999664306602</v>
          </cell>
          <cell r="BJ267">
            <v>21.349000930786101</v>
          </cell>
          <cell r="BK267">
            <v>21.506999969482401</v>
          </cell>
        </row>
        <row r="268">
          <cell r="B268" t="str">
            <v>ZWE</v>
          </cell>
          <cell r="C268" t="str">
            <v>Wage and salaried workers, total (% of total employment) (modeled ILO estimate)</v>
          </cell>
          <cell r="D268" t="str">
            <v>SL.EMP.WORK.ZS</v>
          </cell>
          <cell r="AJ268">
            <v>36.133998870849602</v>
          </cell>
          <cell r="AK268">
            <v>35.790000915527301</v>
          </cell>
          <cell r="AL268">
            <v>35.794998168945298</v>
          </cell>
          <cell r="AM268">
            <v>36.069999694824197</v>
          </cell>
          <cell r="AN268">
            <v>36.986000061035199</v>
          </cell>
          <cell r="AO268">
            <v>38.227001190185497</v>
          </cell>
          <cell r="AP268">
            <v>39.195999145507798</v>
          </cell>
          <cell r="AQ268">
            <v>39.334999084472699</v>
          </cell>
          <cell r="AR268">
            <v>39.345001220703097</v>
          </cell>
          <cell r="AS268">
            <v>38.819000244140597</v>
          </cell>
          <cell r="AT268">
            <v>38.425998687744098</v>
          </cell>
          <cell r="AU268">
            <v>37.666999816894503</v>
          </cell>
          <cell r="AV268">
            <v>36.7369995117188</v>
          </cell>
          <cell r="AW268">
            <v>36.189998626708999</v>
          </cell>
          <cell r="AX268">
            <v>35.6510009765625</v>
          </cell>
          <cell r="AY268">
            <v>35.179000854492202</v>
          </cell>
          <cell r="AZ268">
            <v>34.722999572753899</v>
          </cell>
          <cell r="BA268">
            <v>33.883998870849602</v>
          </cell>
          <cell r="BB268">
            <v>33.807998657226598</v>
          </cell>
          <cell r="BC268">
            <v>33.9210014343262</v>
          </cell>
          <cell r="BD268">
            <v>33.929000854492202</v>
          </cell>
          <cell r="BE268">
            <v>34.007999420166001</v>
          </cell>
          <cell r="BF268">
            <v>34.122001647949197</v>
          </cell>
          <cell r="BG268">
            <v>34.250999450683601</v>
          </cell>
          <cell r="BH268">
            <v>34.369998931884801</v>
          </cell>
          <cell r="BI268">
            <v>34.469001770019503</v>
          </cell>
          <cell r="BJ268">
            <v>34.679000854492202</v>
          </cell>
          <cell r="BK268">
            <v>34.933998107910199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U60"/>
  <sheetViews>
    <sheetView topLeftCell="A34" workbookViewId="0">
      <selection activeCell="B2" sqref="B2"/>
    </sheetView>
  </sheetViews>
  <sheetFormatPr defaultRowHeight="15" x14ac:dyDescent="0.25"/>
  <cols>
    <col min="2" max="21" width="14.28515625" bestFit="1" customWidth="1"/>
  </cols>
  <sheetData>
    <row r="1" spans="1:21" x14ac:dyDescent="0.25">
      <c r="B1" s="1">
        <v>1995</v>
      </c>
      <c r="C1" s="1">
        <v>1996</v>
      </c>
      <c r="D1" s="1">
        <v>1997</v>
      </c>
      <c r="E1" s="1">
        <v>1998</v>
      </c>
      <c r="F1" s="1">
        <v>1999</v>
      </c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</row>
    <row r="2" spans="1:21" x14ac:dyDescent="0.25">
      <c r="A2" t="s">
        <v>0</v>
      </c>
      <c r="B2" s="3">
        <f>VLOOKUP($A2,[1]Data!$B$1:$BK$65536,B$1-1956,FALSE)*VLOOKUP($A2,[2]Data!$B$1:$BK$65536,B$1-1956,FALSE)/100</f>
        <v>10534168.965454094</v>
      </c>
      <c r="C2" s="3">
        <f>VLOOKUP($A2,[1]Data!$B$1:$BK$65536,C$1-1956,FALSE)*VLOOKUP($A2,[2]Data!$B$1:$BK$65536,C$1-1956,FALSE)/100</f>
        <v>10667622.273826597</v>
      </c>
      <c r="D2" s="3">
        <f>VLOOKUP($A2,[1]Data!$B$1:$BK$65536,D$1-1956,FALSE)*VLOOKUP($A2,[2]Data!$B$1:$BK$65536,D$1-1956,FALSE)/100</f>
        <v>10743748.553047188</v>
      </c>
      <c r="E2" s="3">
        <f>VLOOKUP($A2,[1]Data!$B$1:$BK$65536,E$1-1956,FALSE)*VLOOKUP($A2,[2]Data!$B$1:$BK$65536,E$1-1956,FALSE)/100</f>
        <v>10920675.464057922</v>
      </c>
      <c r="F2" s="3">
        <f>VLOOKUP($A2,[1]Data!$B$1:$BK$65536,F$1-1956,FALSE)*VLOOKUP($A2,[2]Data!$B$1:$BK$65536,F$1-1956,FALSE)/100</f>
        <v>11104452.043533333</v>
      </c>
      <c r="G2" s="3">
        <f>VLOOKUP($A2,[1]Data!$B$1:$BK$65536,G$1-1956,FALSE)*VLOOKUP($A2,[2]Data!$B$1:$BK$65536,G$1-1956,FALSE)/100</f>
        <v>11375349.432678217</v>
      </c>
      <c r="H2" s="3">
        <f>VLOOKUP($A2,[1]Data!$B$1:$BK$65536,H$1-1956,FALSE)*VLOOKUP($A2,[2]Data!$B$1:$BK$65536,H$1-1956,FALSE)/100</f>
        <v>11506861.282310477</v>
      </c>
      <c r="I2" s="3">
        <f>VLOOKUP($A2,[1]Data!$B$1:$BK$65536,I$1-1956,FALSE)*VLOOKUP($A2,[2]Data!$B$1:$BK$65536,I$1-1956,FALSE)/100</f>
        <v>11705946.107925409</v>
      </c>
      <c r="J2" s="3">
        <f>VLOOKUP($A2,[1]Data!$B$1:$BK$65536,J$1-1956,FALSE)*VLOOKUP($A2,[2]Data!$B$1:$BK$65536,J$1-1956,FALSE)/100</f>
        <v>11941418.015785225</v>
      </c>
      <c r="K2" s="3">
        <f>VLOOKUP($A2,[1]Data!$B$1:$BK$65536,K$1-1956,FALSE)*VLOOKUP($A2,[2]Data!$B$1:$BK$65536,K$1-1956,FALSE)/100</f>
        <v>12119915.104148867</v>
      </c>
      <c r="L2" s="3">
        <f>VLOOKUP($A2,[1]Data!$B$1:$BK$65536,L$1-1956,FALSE)*VLOOKUP($A2,[2]Data!$B$1:$BK$65536,L$1-1956,FALSE)/100</f>
        <v>12503643.71014405</v>
      </c>
      <c r="M2" s="3">
        <f>VLOOKUP($A2,[1]Data!$B$1:$BK$65536,M$1-1956,FALSE)*VLOOKUP($A2,[2]Data!$B$1:$BK$65536,M$1-1956,FALSE)/100</f>
        <v>12793372.274242399</v>
      </c>
      <c r="N2" s="3">
        <f>VLOOKUP($A2,[1]Data!$B$1:$BK$65536,N$1-1956,FALSE)*VLOOKUP($A2,[2]Data!$B$1:$BK$65536,N$1-1956,FALSE)/100</f>
        <v>13019749.528106699</v>
      </c>
      <c r="O2" s="3">
        <f>VLOOKUP($A2,[1]Data!$B$1:$BK$65536,O$1-1956,FALSE)*VLOOKUP($A2,[2]Data!$B$1:$BK$65536,O$1-1956,FALSE)/100</f>
        <v>13362346.688064573</v>
      </c>
      <c r="P2" s="3">
        <f>VLOOKUP($A2,[1]Data!$B$1:$BK$65536,P$1-1956,FALSE)*VLOOKUP($A2,[2]Data!$B$1:$BK$65536,P$1-1956,FALSE)/100</f>
        <v>13436056.307426443</v>
      </c>
      <c r="Q2" s="3">
        <f>VLOOKUP($A2,[1]Data!$B$1:$BK$65536,Q$1-1956,FALSE)*VLOOKUP($A2,[2]Data!$B$1:$BK$65536,Q$1-1956,FALSE)/100</f>
        <v>13700223.003139505</v>
      </c>
      <c r="R2" s="3">
        <f>VLOOKUP($A2,[1]Data!$B$1:$BK$65536,R$1-1956,FALSE)*VLOOKUP($A2,[2]Data!$B$1:$BK$65536,R$1-1956,FALSE)/100</f>
        <v>13916494.264219355</v>
      </c>
      <c r="S2" s="3">
        <f>VLOOKUP($A2,[1]Data!$B$1:$BK$65536,S$1-1956,FALSE)*VLOOKUP($A2,[2]Data!$B$1:$BK$65536,S$1-1956,FALSE)/100</f>
        <v>14076333.901966471</v>
      </c>
      <c r="T2" s="3">
        <f>VLOOKUP($A2,[1]Data!$B$1:$BK$65536,T$1-1956,FALSE)*VLOOKUP($A2,[2]Data!$B$1:$BK$65536,T$1-1956,FALSE)/100</f>
        <v>14202752.829365881</v>
      </c>
      <c r="U2" s="3">
        <f>VLOOKUP($A2,[1]Data!$B$1:$BK$65536,U$1-1956,FALSE)*VLOOKUP($A2,[2]Data!$B$1:$BK$65536,U$1-1956,FALSE)/100</f>
        <v>14300214.341826314</v>
      </c>
    </row>
    <row r="3" spans="1:21" x14ac:dyDescent="0.25">
      <c r="A3" t="s">
        <v>1</v>
      </c>
      <c r="B3" s="3">
        <f>VLOOKUP($A3,[1]Data!$B$1:$BK$65536,B$1-1956,FALSE)*VLOOKUP($A3,[2]Data!$B$1:$BK$65536,B$1-1956,FALSE)/100</f>
        <v>4489584.8768124422</v>
      </c>
      <c r="C3" s="3">
        <f>VLOOKUP($A3,[1]Data!$B$1:$BK$65536,C$1-1956,FALSE)*VLOOKUP($A3,[2]Data!$B$1:$BK$65536,C$1-1956,FALSE)/100</f>
        <v>4412558.7655617483</v>
      </c>
      <c r="D3" s="3">
        <f>VLOOKUP($A3,[1]Data!$B$1:$BK$65536,D$1-1956,FALSE)*VLOOKUP($A3,[2]Data!$B$1:$BK$65536,D$1-1956,FALSE)/100</f>
        <v>4398279.0561510883</v>
      </c>
      <c r="E3" s="3">
        <f>VLOOKUP($A3,[1]Data!$B$1:$BK$65536,E$1-1956,FALSE)*VLOOKUP($A3,[2]Data!$B$1:$BK$65536,E$1-1956,FALSE)/100</f>
        <v>4407495.1230791053</v>
      </c>
      <c r="F3" s="3">
        <f>VLOOKUP($A3,[1]Data!$B$1:$BK$65536,F$1-1956,FALSE)*VLOOKUP($A3,[2]Data!$B$1:$BK$65536,F$1-1956,FALSE)/100</f>
        <v>4465551.2763262931</v>
      </c>
      <c r="G3" s="3">
        <f>VLOOKUP($A3,[1]Data!$B$1:$BK$65536,G$1-1956,FALSE)*VLOOKUP($A3,[2]Data!$B$1:$BK$65536,G$1-1956,FALSE)/100</f>
        <v>4468210.5381763494</v>
      </c>
      <c r="H3" s="3">
        <f>VLOOKUP($A3,[1]Data!$B$1:$BK$65536,H$1-1956,FALSE)*VLOOKUP($A3,[2]Data!$B$1:$BK$65536,H$1-1956,FALSE)/100</f>
        <v>4473927.681800954</v>
      </c>
      <c r="I3" s="3">
        <f>VLOOKUP($A3,[1]Data!$B$1:$BK$65536,I$1-1956,FALSE)*VLOOKUP($A3,[2]Data!$B$1:$BK$65536,I$1-1956,FALSE)/100</f>
        <v>4524522.1254293844</v>
      </c>
      <c r="J3" s="3">
        <f>VLOOKUP($A3,[1]Data!$B$1:$BK$65536,J$1-1956,FALSE)*VLOOKUP($A3,[2]Data!$B$1:$BK$65536,J$1-1956,FALSE)/100</f>
        <v>4543611.2421830734</v>
      </c>
      <c r="K3" s="3">
        <f>VLOOKUP($A3,[1]Data!$B$1:$BK$65536,K$1-1956,FALSE)*VLOOKUP($A3,[2]Data!$B$1:$BK$65536,K$1-1956,FALSE)/100</f>
        <v>4371756.7856898485</v>
      </c>
      <c r="L3" s="3">
        <f>VLOOKUP($A3,[1]Data!$B$1:$BK$65536,L$1-1956,FALSE)*VLOOKUP($A3,[2]Data!$B$1:$BK$65536,L$1-1956,FALSE)/100</f>
        <v>4511729.956821979</v>
      </c>
      <c r="M3" s="3">
        <f>VLOOKUP($A3,[1]Data!$B$1:$BK$65536,M$1-1956,FALSE)*VLOOKUP($A3,[2]Data!$B$1:$BK$65536,M$1-1956,FALSE)/100</f>
        <v>4583142.4495558934</v>
      </c>
      <c r="N3" s="3">
        <f>VLOOKUP($A3,[1]Data!$B$1:$BK$65536,N$1-1956,FALSE)*VLOOKUP($A3,[2]Data!$B$1:$BK$65536,N$1-1956,FALSE)/100</f>
        <v>4686784.336396941</v>
      </c>
      <c r="O3" s="3">
        <f>VLOOKUP($A3,[1]Data!$B$1:$BK$65536,O$1-1956,FALSE)*VLOOKUP($A3,[2]Data!$B$1:$BK$65536,O$1-1956,FALSE)/100</f>
        <v>4759230.1040588347</v>
      </c>
      <c r="P3" s="3">
        <f>VLOOKUP($A3,[1]Data!$B$1:$BK$65536,P$1-1956,FALSE)*VLOOKUP($A3,[2]Data!$B$1:$BK$65536,P$1-1956,FALSE)/100</f>
        <v>4738840.6255479846</v>
      </c>
      <c r="Q3" s="3">
        <f>VLOOKUP($A3,[1]Data!$B$1:$BK$65536,Q$1-1956,FALSE)*VLOOKUP($A3,[2]Data!$B$1:$BK$65536,Q$1-1956,FALSE)/100</f>
        <v>4772827.4610800147</v>
      </c>
      <c r="R3" s="3">
        <f>VLOOKUP($A3,[1]Data!$B$1:$BK$65536,R$1-1956,FALSE)*VLOOKUP($A3,[2]Data!$B$1:$BK$65536,R$1-1956,FALSE)/100</f>
        <v>4806816.8782962821</v>
      </c>
      <c r="S3" s="3">
        <f>VLOOKUP($A3,[1]Data!$B$1:$BK$65536,S$1-1956,FALSE)*VLOOKUP($A3,[2]Data!$B$1:$BK$65536,S$1-1956,FALSE)/100</f>
        <v>4835527.1426552618</v>
      </c>
      <c r="T3" s="3">
        <f>VLOOKUP($A3,[1]Data!$B$1:$BK$65536,T$1-1956,FALSE)*VLOOKUP($A3,[2]Data!$B$1:$BK$65536,T$1-1956,FALSE)/100</f>
        <v>4851221.9090159638</v>
      </c>
      <c r="U3" s="3">
        <f>VLOOKUP($A3,[1]Data!$B$1:$BK$65536,U$1-1956,FALSE)*VLOOKUP($A3,[2]Data!$B$1:$BK$65536,U$1-1956,FALSE)/100</f>
        <v>4852449.9992474373</v>
      </c>
    </row>
    <row r="4" spans="1:21" x14ac:dyDescent="0.25">
      <c r="A4" t="s">
        <v>2</v>
      </c>
      <c r="B4" s="3">
        <f>VLOOKUP($A4,[1]Data!$B$1:$BK$65536,B$1-1956,FALSE)*VLOOKUP($A4,[2]Data!$B$1:$BK$65536,B$1-1956,FALSE)/100</f>
        <v>4631711.8182344018</v>
      </c>
      <c r="C4" s="3">
        <f>VLOOKUP($A4,[1]Data!$B$1:$BK$65536,C$1-1956,FALSE)*VLOOKUP($A4,[2]Data!$B$1:$BK$65536,C$1-1956,FALSE)/100</f>
        <v>4626348.0760110049</v>
      </c>
      <c r="D4" s="3">
        <f>VLOOKUP($A4,[1]Data!$B$1:$BK$65536,D$1-1956,FALSE)*VLOOKUP($A4,[2]Data!$B$1:$BK$65536,D$1-1956,FALSE)/100</f>
        <v>4672885.9524015468</v>
      </c>
      <c r="E4" s="3">
        <f>VLOOKUP($A4,[1]Data!$B$1:$BK$65536,E$1-1956,FALSE)*VLOOKUP($A4,[2]Data!$B$1:$BK$65536,E$1-1956,FALSE)/100</f>
        <v>4689506.7206689445</v>
      </c>
      <c r="F4" s="3">
        <f>VLOOKUP($A4,[1]Data!$B$1:$BK$65536,F$1-1956,FALSE)*VLOOKUP($A4,[2]Data!$B$1:$BK$65536,F$1-1956,FALSE)/100</f>
        <v>4843334.308831715</v>
      </c>
      <c r="G4" s="3">
        <f>VLOOKUP($A4,[1]Data!$B$1:$BK$65536,G$1-1956,FALSE)*VLOOKUP($A4,[2]Data!$B$1:$BK$65536,G$1-1956,FALSE)/100</f>
        <v>4998714.6313667335</v>
      </c>
      <c r="H4" s="3">
        <f>VLOOKUP($A4,[1]Data!$B$1:$BK$65536,H$1-1956,FALSE)*VLOOKUP($A4,[2]Data!$B$1:$BK$65536,H$1-1956,FALSE)/100</f>
        <v>4895173.0603076937</v>
      </c>
      <c r="I4" s="3">
        <f>VLOOKUP($A4,[1]Data!$B$1:$BK$65536,I$1-1956,FALSE)*VLOOKUP($A4,[2]Data!$B$1:$BK$65536,I$1-1956,FALSE)/100</f>
        <v>4899910.1230558427</v>
      </c>
      <c r="J4" s="3">
        <f>VLOOKUP($A4,[1]Data!$B$1:$BK$65536,J$1-1956,FALSE)*VLOOKUP($A4,[2]Data!$B$1:$BK$65536,J$1-1956,FALSE)/100</f>
        <v>4890582.7067256533</v>
      </c>
      <c r="K4" s="3">
        <f>VLOOKUP($A4,[1]Data!$B$1:$BK$65536,K$1-1956,FALSE)*VLOOKUP($A4,[2]Data!$B$1:$BK$65536,K$1-1956,FALSE)/100</f>
        <v>4996935.2710069707</v>
      </c>
      <c r="L4" s="3">
        <f>VLOOKUP($A4,[1]Data!$B$1:$BK$65536,L$1-1956,FALSE)*VLOOKUP($A4,[2]Data!$B$1:$BK$65536,L$1-1956,FALSE)/100</f>
        <v>5101304.9734059181</v>
      </c>
      <c r="M4" s="3">
        <f>VLOOKUP($A4,[1]Data!$B$1:$BK$65536,M$1-1956,FALSE)*VLOOKUP($A4,[2]Data!$B$1:$BK$65536,M$1-1956,FALSE)/100</f>
        <v>5129788.3529793527</v>
      </c>
      <c r="N4" s="3">
        <f>VLOOKUP($A4,[1]Data!$B$1:$BK$65536,N$1-1956,FALSE)*VLOOKUP($A4,[2]Data!$B$1:$BK$65536,N$1-1956,FALSE)/100</f>
        <v>5268009.4519615136</v>
      </c>
      <c r="O4" s="3">
        <f>VLOOKUP($A4,[1]Data!$B$1:$BK$65536,O$1-1956,FALSE)*VLOOKUP($A4,[2]Data!$B$1:$BK$65536,O$1-1956,FALSE)/100</f>
        <v>5340099.6440668534</v>
      </c>
      <c r="P4" s="3">
        <f>VLOOKUP($A4,[1]Data!$B$1:$BK$65536,P$1-1956,FALSE)*VLOOKUP($A4,[2]Data!$B$1:$BK$65536,P$1-1956,FALSE)/100</f>
        <v>5307771.753572044</v>
      </c>
      <c r="Q4" s="3">
        <f>VLOOKUP($A4,[1]Data!$B$1:$BK$65536,Q$1-1956,FALSE)*VLOOKUP($A4,[2]Data!$B$1:$BK$65536,Q$1-1956,FALSE)/100</f>
        <v>5392552.3823050717</v>
      </c>
      <c r="R4" s="3">
        <f>VLOOKUP($A4,[1]Data!$B$1:$BK$65536,R$1-1956,FALSE)*VLOOKUP($A4,[2]Data!$B$1:$BK$65536,R$1-1956,FALSE)/100</f>
        <v>5439987.7515469333</v>
      </c>
      <c r="S4" s="3">
        <f>VLOOKUP($A4,[1]Data!$B$1:$BK$65536,S$1-1956,FALSE)*VLOOKUP($A4,[2]Data!$B$1:$BK$65536,S$1-1956,FALSE)/100</f>
        <v>5456946.8185426295</v>
      </c>
      <c r="T4" s="3">
        <f>VLOOKUP($A4,[1]Data!$B$1:$BK$65536,T$1-1956,FALSE)*VLOOKUP($A4,[2]Data!$B$1:$BK$65536,T$1-1956,FALSE)/100</f>
        <v>5466547.1198311662</v>
      </c>
      <c r="U4" s="3">
        <f>VLOOKUP($A4,[1]Data!$B$1:$BK$65536,U$1-1956,FALSE)*VLOOKUP($A4,[2]Data!$B$1:$BK$65536,U$1-1956,FALSE)/100</f>
        <v>5490868.6688614702</v>
      </c>
    </row>
    <row r="5" spans="1:21" x14ac:dyDescent="0.25">
      <c r="A5" t="s">
        <v>3</v>
      </c>
      <c r="B5" s="3">
        <f>VLOOKUP($A5,[1]Data!$B$1:$BK$65536,B$1-1956,FALSE)*VLOOKUP($A5,[2]Data!$B$1:$BK$65536,B$1-1956,FALSE)/100</f>
        <v>3983467.0710052531</v>
      </c>
      <c r="C5" s="3">
        <f>VLOOKUP($A5,[1]Data!$B$1:$BK$65536,C$1-1956,FALSE)*VLOOKUP($A5,[2]Data!$B$1:$BK$65536,C$1-1956,FALSE)/100</f>
        <v>3893564.4167861966</v>
      </c>
      <c r="D5" s="3">
        <f>VLOOKUP($A5,[1]Data!$B$1:$BK$65536,D$1-1956,FALSE)*VLOOKUP($A5,[2]Data!$B$1:$BK$65536,D$1-1956,FALSE)/100</f>
        <v>3802937.2600408946</v>
      </c>
      <c r="E5" s="3">
        <f>VLOOKUP($A5,[1]Data!$B$1:$BK$65536,E$1-1956,FALSE)*VLOOKUP($A5,[2]Data!$B$1:$BK$65536,E$1-1956,FALSE)/100</f>
        <v>3772608.2474858058</v>
      </c>
      <c r="F5" s="3">
        <f>VLOOKUP($A5,[1]Data!$B$1:$BK$65536,F$1-1956,FALSE)*VLOOKUP($A5,[2]Data!$B$1:$BK$65536,F$1-1956,FALSE)/100</f>
        <v>3596992.1128076208</v>
      </c>
      <c r="G5" s="3">
        <f>VLOOKUP($A5,[1]Data!$B$1:$BK$65536,G$1-1956,FALSE)*VLOOKUP($A5,[2]Data!$B$1:$BK$65536,G$1-1956,FALSE)/100</f>
        <v>3414151.3282530219</v>
      </c>
      <c r="H5" s="3">
        <f>VLOOKUP($A5,[1]Data!$B$1:$BK$65536,H$1-1956,FALSE)*VLOOKUP($A5,[2]Data!$B$1:$BK$65536,H$1-1956,FALSE)/100</f>
        <v>3312260.6848615245</v>
      </c>
      <c r="I5" s="3">
        <f>VLOOKUP($A5,[1]Data!$B$1:$BK$65536,I$1-1956,FALSE)*VLOOKUP($A5,[2]Data!$B$1:$BK$65536,I$1-1956,FALSE)/100</f>
        <v>3283535.2939440571</v>
      </c>
      <c r="J5" s="3">
        <f>VLOOKUP($A5,[1]Data!$B$1:$BK$65536,J$1-1956,FALSE)*VLOOKUP($A5,[2]Data!$B$1:$BK$65536,J$1-1956,FALSE)/100</f>
        <v>3372159.2368505509</v>
      </c>
      <c r="K5" s="3">
        <f>VLOOKUP($A5,[1]Data!$B$1:$BK$65536,K$1-1956,FALSE)*VLOOKUP($A5,[2]Data!$B$1:$BK$65536,K$1-1956,FALSE)/100</f>
        <v>3466645.0437049903</v>
      </c>
      <c r="L5" s="3">
        <f>VLOOKUP($A5,[1]Data!$B$1:$BK$65536,L$1-1956,FALSE)*VLOOKUP($A5,[2]Data!$B$1:$BK$65536,L$1-1956,FALSE)/100</f>
        <v>3469208.0669746422</v>
      </c>
      <c r="M5" s="3">
        <f>VLOOKUP($A5,[1]Data!$B$1:$BK$65536,M$1-1956,FALSE)*VLOOKUP($A5,[2]Data!$B$1:$BK$65536,M$1-1956,FALSE)/100</f>
        <v>3620898.9290080289</v>
      </c>
      <c r="N5" s="3">
        <f>VLOOKUP($A5,[1]Data!$B$1:$BK$65536,N$1-1956,FALSE)*VLOOKUP($A5,[2]Data!$B$1:$BK$65536,N$1-1956,FALSE)/100</f>
        <v>3779459.8157132729</v>
      </c>
      <c r="O5" s="3">
        <f>VLOOKUP($A5,[1]Data!$B$1:$BK$65536,O$1-1956,FALSE)*VLOOKUP($A5,[2]Data!$B$1:$BK$65536,O$1-1956,FALSE)/100</f>
        <v>3898529.4515608572</v>
      </c>
      <c r="P5" s="3">
        <f>VLOOKUP($A5,[1]Data!$B$1:$BK$65536,P$1-1956,FALSE)*VLOOKUP($A5,[2]Data!$B$1:$BK$65536,P$1-1956,FALSE)/100</f>
        <v>3768526.0581406383</v>
      </c>
      <c r="Q5" s="3">
        <f>VLOOKUP($A5,[1]Data!$B$1:$BK$65536,Q$1-1956,FALSE)*VLOOKUP($A5,[2]Data!$B$1:$BK$65536,Q$1-1956,FALSE)/100</f>
        <v>3543527.4131939732</v>
      </c>
      <c r="R5" s="3">
        <f>VLOOKUP($A5,[1]Data!$B$1:$BK$65536,R$1-1956,FALSE)*VLOOKUP($A5,[2]Data!$B$1:$BK$65536,R$1-1956,FALSE)/100</f>
        <v>3425423.2205392458</v>
      </c>
      <c r="S5" s="3">
        <f>VLOOKUP($A5,[1]Data!$B$1:$BK$65536,S$1-1956,FALSE)*VLOOKUP($A5,[2]Data!$B$1:$BK$65536,S$1-1956,FALSE)/100</f>
        <v>3401548.2556860382</v>
      </c>
      <c r="T5" s="3">
        <f>VLOOKUP($A5,[1]Data!$B$1:$BK$65536,T$1-1956,FALSE)*VLOOKUP($A5,[2]Data!$B$1:$BK$65536,T$1-1956,FALSE)/100</f>
        <v>3406612.3791572545</v>
      </c>
      <c r="U5" s="3">
        <f>VLOOKUP($A5,[1]Data!$B$1:$BK$65536,U$1-1956,FALSE)*VLOOKUP($A5,[2]Data!$B$1:$BK$65536,U$1-1956,FALSE)/100</f>
        <v>3464817.4733274076</v>
      </c>
    </row>
    <row r="6" spans="1:21" x14ac:dyDescent="0.25">
      <c r="A6" t="s">
        <v>4</v>
      </c>
      <c r="B6" s="3">
        <f>VLOOKUP($A6,[1]Data!$B$1:$BK$65536,B$1-1956,FALSE)*VLOOKUP($A6,[2]Data!$B$1:$BK$65536,B$1-1956,FALSE)/100</f>
        <v>96690235.809329242</v>
      </c>
      <c r="C6" s="3">
        <f>VLOOKUP($A6,[1]Data!$B$1:$BK$65536,C$1-1956,FALSE)*VLOOKUP($A6,[2]Data!$B$1:$BK$65536,C$1-1956,FALSE)/100</f>
        <v>95282273.657923549</v>
      </c>
      <c r="D6" s="3">
        <f>VLOOKUP($A6,[1]Data!$B$1:$BK$65536,D$1-1956,FALSE)*VLOOKUP($A6,[2]Data!$B$1:$BK$65536,D$1-1956,FALSE)/100</f>
        <v>96867539.726068154</v>
      </c>
      <c r="E6" s="3">
        <f>VLOOKUP($A6,[1]Data!$B$1:$BK$65536,E$1-1956,FALSE)*VLOOKUP($A6,[2]Data!$B$1:$BK$65536,E$1-1956,FALSE)/100</f>
        <v>97319207.862014711</v>
      </c>
      <c r="F6" s="3">
        <f>VLOOKUP($A6,[1]Data!$B$1:$BK$65536,F$1-1956,FALSE)*VLOOKUP($A6,[2]Data!$B$1:$BK$65536,F$1-1956,FALSE)/100</f>
        <v>98812695.228463233</v>
      </c>
      <c r="G6" s="3">
        <f>VLOOKUP($A6,[1]Data!$B$1:$BK$65536,G$1-1956,FALSE)*VLOOKUP($A6,[2]Data!$B$1:$BK$65536,G$1-1956,FALSE)/100</f>
        <v>100946662.17974399</v>
      </c>
      <c r="H6" s="3">
        <f>VLOOKUP($A6,[1]Data!$B$1:$BK$65536,H$1-1956,FALSE)*VLOOKUP($A6,[2]Data!$B$1:$BK$65536,H$1-1956,FALSE)/100</f>
        <v>103035959.37095827</v>
      </c>
      <c r="I6" s="3">
        <f>VLOOKUP($A6,[1]Data!$B$1:$BK$65536,I$1-1956,FALSE)*VLOOKUP($A6,[2]Data!$B$1:$BK$65536,I$1-1956,FALSE)/100</f>
        <v>105810439.87757261</v>
      </c>
      <c r="J6" s="3">
        <f>VLOOKUP($A6,[1]Data!$B$1:$BK$65536,J$1-1956,FALSE)*VLOOKUP($A6,[2]Data!$B$1:$BK$65536,J$1-1956,FALSE)/100</f>
        <v>106447495.05215365</v>
      </c>
      <c r="K6" s="3">
        <f>VLOOKUP($A6,[1]Data!$B$1:$BK$65536,K$1-1956,FALSE)*VLOOKUP($A6,[2]Data!$B$1:$BK$65536,K$1-1956,FALSE)/100</f>
        <v>109947550.50556444</v>
      </c>
      <c r="L6" s="3">
        <f>VLOOKUP($A6,[1]Data!$B$1:$BK$65536,L$1-1956,FALSE)*VLOOKUP($A6,[2]Data!$B$1:$BK$65536,L$1-1956,FALSE)/100</f>
        <v>111704179.72942026</v>
      </c>
      <c r="M6" s="3">
        <f>VLOOKUP($A6,[1]Data!$B$1:$BK$65536,M$1-1956,FALSE)*VLOOKUP($A6,[2]Data!$B$1:$BK$65536,M$1-1956,FALSE)/100</f>
        <v>113399055.94491753</v>
      </c>
      <c r="N6" s="3">
        <f>VLOOKUP($A6,[1]Data!$B$1:$BK$65536,N$1-1956,FALSE)*VLOOKUP($A6,[2]Data!$B$1:$BK$65536,N$1-1956,FALSE)/100</f>
        <v>114428102.21768127</v>
      </c>
      <c r="O6" s="3">
        <f>VLOOKUP($A6,[1]Data!$B$1:$BK$65536,O$1-1956,FALSE)*VLOOKUP($A6,[2]Data!$B$1:$BK$65536,O$1-1956,FALSE)/100</f>
        <v>116790946.33360407</v>
      </c>
      <c r="P6" s="3">
        <f>VLOOKUP($A6,[1]Data!$B$1:$BK$65536,P$1-1956,FALSE)*VLOOKUP($A6,[2]Data!$B$1:$BK$65536,P$1-1956,FALSE)/100</f>
        <v>116797235.67352065</v>
      </c>
      <c r="Q6" s="3">
        <f>VLOOKUP($A6,[1]Data!$B$1:$BK$65536,Q$1-1956,FALSE)*VLOOKUP($A6,[2]Data!$B$1:$BK$65536,Q$1-1956,FALSE)/100</f>
        <v>116878229.14981951</v>
      </c>
      <c r="R6" s="3">
        <f>VLOOKUP($A6,[1]Data!$B$1:$BK$65536,R$1-1956,FALSE)*VLOOKUP($A6,[2]Data!$B$1:$BK$65536,R$1-1956,FALSE)/100</f>
        <v>116902927.78106987</v>
      </c>
      <c r="S6" s="3">
        <f>VLOOKUP($A6,[1]Data!$B$1:$BK$65536,S$1-1956,FALSE)*VLOOKUP($A6,[2]Data!$B$1:$BK$65536,S$1-1956,FALSE)/100</f>
        <v>118908750.539414</v>
      </c>
      <c r="T6" s="3">
        <f>VLOOKUP($A6,[1]Data!$B$1:$BK$65536,T$1-1956,FALSE)*VLOOKUP($A6,[2]Data!$B$1:$BK$65536,T$1-1956,FALSE)/100</f>
        <v>120008381.68233708</v>
      </c>
      <c r="U6" s="3">
        <f>VLOOKUP($A6,[1]Data!$B$1:$BK$65536,U$1-1956,FALSE)*VLOOKUP($A6,[2]Data!$B$1:$BK$65536,U$1-1956,FALSE)/100</f>
        <v>120930316.83996385</v>
      </c>
    </row>
    <row r="7" spans="1:21" x14ac:dyDescent="0.25">
      <c r="A7" t="s">
        <v>5</v>
      </c>
      <c r="B7" s="3">
        <f>VLOOKUP($A7,[1]Data!$B$1:$BK$65536,B$1-1956,FALSE)*VLOOKUP($A7,[2]Data!$B$1:$BK$65536,B$1-1956,FALSE)/100</f>
        <v>17081781.660908654</v>
      </c>
      <c r="C7" s="3">
        <f>VLOOKUP($A7,[1]Data!$B$1:$BK$65536,C$1-1956,FALSE)*VLOOKUP($A7,[2]Data!$B$1:$BK$65536,C$1-1956,FALSE)/100</f>
        <v>17186362.677342061</v>
      </c>
      <c r="D7" s="3">
        <f>VLOOKUP($A7,[1]Data!$B$1:$BK$65536,D$1-1956,FALSE)*VLOOKUP($A7,[2]Data!$B$1:$BK$65536,D$1-1956,FALSE)/100</f>
        <v>17511129.047463994</v>
      </c>
      <c r="E7" s="3">
        <f>VLOOKUP($A7,[1]Data!$B$1:$BK$65536,E$1-1956,FALSE)*VLOOKUP($A7,[2]Data!$B$1:$BK$65536,E$1-1956,FALSE)/100</f>
        <v>17888953.840150345</v>
      </c>
      <c r="F7" s="3">
        <f>VLOOKUP($A7,[1]Data!$B$1:$BK$65536,F$1-1956,FALSE)*VLOOKUP($A7,[2]Data!$B$1:$BK$65536,F$1-1956,FALSE)/100</f>
        <v>18283029.368984517</v>
      </c>
      <c r="G7" s="3">
        <f>VLOOKUP($A7,[1]Data!$B$1:$BK$65536,G$1-1956,FALSE)*VLOOKUP($A7,[2]Data!$B$1:$BK$65536,G$1-1956,FALSE)/100</f>
        <v>18660299.523142621</v>
      </c>
      <c r="H7" s="3">
        <f>VLOOKUP($A7,[1]Data!$B$1:$BK$65536,H$1-1956,FALSE)*VLOOKUP($A7,[2]Data!$B$1:$BK$65536,H$1-1956,FALSE)/100</f>
        <v>18814487.574958496</v>
      </c>
      <c r="I7" s="3">
        <f>VLOOKUP($A7,[1]Data!$B$1:$BK$65536,I$1-1956,FALSE)*VLOOKUP($A7,[2]Data!$B$1:$BK$65536,I$1-1956,FALSE)/100</f>
        <v>19205539.763016399</v>
      </c>
      <c r="J7" s="3">
        <f>VLOOKUP($A7,[1]Data!$B$1:$BK$65536,J$1-1956,FALSE)*VLOOKUP($A7,[2]Data!$B$1:$BK$65536,J$1-1956,FALSE)/100</f>
        <v>19612968.409545127</v>
      </c>
      <c r="K7" s="3">
        <f>VLOOKUP($A7,[1]Data!$B$1:$BK$65536,K$1-1956,FALSE)*VLOOKUP($A7,[2]Data!$B$1:$BK$65536,K$1-1956,FALSE)/100</f>
        <v>19863573.674767114</v>
      </c>
      <c r="L7" s="3">
        <f>VLOOKUP($A7,[1]Data!$B$1:$BK$65536,L$1-1956,FALSE)*VLOOKUP($A7,[2]Data!$B$1:$BK$65536,L$1-1956,FALSE)/100</f>
        <v>20043361.336419486</v>
      </c>
      <c r="M7" s="3">
        <f>VLOOKUP($A7,[1]Data!$B$1:$BK$65536,M$1-1956,FALSE)*VLOOKUP($A7,[2]Data!$B$1:$BK$65536,M$1-1956,FALSE)/100</f>
        <v>20315293.1840364</v>
      </c>
      <c r="N7" s="3">
        <f>VLOOKUP($A7,[1]Data!$B$1:$BK$65536,N$1-1956,FALSE)*VLOOKUP($A7,[2]Data!$B$1:$BK$65536,N$1-1956,FALSE)/100</f>
        <v>20723704.064670574</v>
      </c>
      <c r="O7" s="3">
        <f>VLOOKUP($A7,[1]Data!$B$1:$BK$65536,O$1-1956,FALSE)*VLOOKUP($A7,[2]Data!$B$1:$BK$65536,O$1-1956,FALSE)/100</f>
        <v>20979929.084610507</v>
      </c>
      <c r="P7" s="3">
        <f>VLOOKUP($A7,[1]Data!$B$1:$BK$65536,P$1-1956,FALSE)*VLOOKUP($A7,[2]Data!$B$1:$BK$65536,P$1-1956,FALSE)/100</f>
        <v>20582228.413451947</v>
      </c>
      <c r="Q7" s="3">
        <f>VLOOKUP($A7,[1]Data!$B$1:$BK$65536,Q$1-1956,FALSE)*VLOOKUP($A7,[2]Data!$B$1:$BK$65536,Q$1-1956,FALSE)/100</f>
        <v>20827314.788308863</v>
      </c>
      <c r="R7" s="3">
        <f>VLOOKUP($A7,[1]Data!$B$1:$BK$65536,R$1-1956,FALSE)*VLOOKUP($A7,[2]Data!$B$1:$BK$65536,R$1-1956,FALSE)/100</f>
        <v>21092588.757363297</v>
      </c>
      <c r="S7" s="3">
        <f>VLOOKUP($A7,[1]Data!$B$1:$BK$65536,S$1-1956,FALSE)*VLOOKUP($A7,[2]Data!$B$1:$BK$65536,S$1-1956,FALSE)/100</f>
        <v>21321474.516763605</v>
      </c>
      <c r="T7" s="3">
        <f>VLOOKUP($A7,[1]Data!$B$1:$BK$65536,T$1-1956,FALSE)*VLOOKUP($A7,[2]Data!$B$1:$BK$65536,T$1-1956,FALSE)/100</f>
        <v>21589347.6008384</v>
      </c>
      <c r="U7" s="3">
        <f>VLOOKUP($A7,[1]Data!$B$1:$BK$65536,U$1-1956,FALSE)*VLOOKUP($A7,[2]Data!$B$1:$BK$65536,U$1-1956,FALSE)/100</f>
        <v>21693380.069009595</v>
      </c>
    </row>
    <row r="8" spans="1:21" x14ac:dyDescent="0.25">
      <c r="A8" t="s">
        <v>6</v>
      </c>
      <c r="B8" s="3">
        <f>VLOOKUP($A8,[1]Data!$B$1:$BK$65536,B$1-1956,FALSE)*VLOOKUP($A8,[2]Data!$B$1:$BK$65536,B$1-1956,FALSE)/100</f>
        <v>920436894.87228382</v>
      </c>
      <c r="C8" s="3">
        <f>VLOOKUP($A8,[1]Data!$B$1:$BK$65536,C$1-1956,FALSE)*VLOOKUP($A8,[2]Data!$B$1:$BK$65536,C$1-1956,FALSE)/100</f>
        <v>926993887.32147264</v>
      </c>
      <c r="D8" s="3">
        <f>VLOOKUP($A8,[1]Data!$B$1:$BK$65536,D$1-1956,FALSE)*VLOOKUP($A8,[2]Data!$B$1:$BK$65536,D$1-1956,FALSE)/100</f>
        <v>932802777.00233495</v>
      </c>
      <c r="E8" s="3">
        <f>VLOOKUP($A8,[1]Data!$B$1:$BK$65536,E$1-1956,FALSE)*VLOOKUP($A8,[2]Data!$B$1:$BK$65536,E$1-1956,FALSE)/100</f>
        <v>938430880.73501539</v>
      </c>
      <c r="F8" s="3">
        <f>VLOOKUP($A8,[1]Data!$B$1:$BK$65536,F$1-1956,FALSE)*VLOOKUP($A8,[2]Data!$B$1:$BK$65536,F$1-1956,FALSE)/100</f>
        <v>942482664.42756689</v>
      </c>
      <c r="G8" s="3">
        <f>VLOOKUP($A8,[1]Data!$B$1:$BK$65536,G$1-1956,FALSE)*VLOOKUP($A8,[2]Data!$B$1:$BK$65536,G$1-1956,FALSE)/100</f>
        <v>945089763.23356628</v>
      </c>
      <c r="H8" s="3">
        <f>VLOOKUP($A8,[1]Data!$B$1:$BK$65536,H$1-1956,FALSE)*VLOOKUP($A8,[2]Data!$B$1:$BK$65536,H$1-1956,FALSE)/100</f>
        <v>937887585.85739124</v>
      </c>
      <c r="I8" s="3">
        <f>VLOOKUP($A8,[1]Data!$B$1:$BK$65536,I$1-1956,FALSE)*VLOOKUP($A8,[2]Data!$B$1:$BK$65536,I$1-1956,FALSE)/100</f>
        <v>929992973.41918957</v>
      </c>
      <c r="J8" s="3">
        <f>VLOOKUP($A8,[1]Data!$B$1:$BK$65536,J$1-1956,FALSE)*VLOOKUP($A8,[2]Data!$B$1:$BK$65536,J$1-1956,FALSE)/100</f>
        <v>922146506.8359375</v>
      </c>
      <c r="K8" s="3">
        <f>VLOOKUP($A8,[1]Data!$B$1:$BK$65536,K$1-1956,FALSE)*VLOOKUP($A8,[2]Data!$B$1:$BK$65536,K$1-1956,FALSE)/100</f>
        <v>918761652.32849193</v>
      </c>
      <c r="L8" s="3">
        <f>VLOOKUP($A8,[1]Data!$B$1:$BK$65536,L$1-1956,FALSE)*VLOOKUP($A8,[2]Data!$B$1:$BK$65536,L$1-1956,FALSE)/100</f>
        <v>915589470.26062047</v>
      </c>
      <c r="M8" s="3">
        <f>VLOOKUP($A8,[1]Data!$B$1:$BK$65536,M$1-1956,FALSE)*VLOOKUP($A8,[2]Data!$B$1:$BK$65536,M$1-1956,FALSE)/100</f>
        <v>914370935.00823939</v>
      </c>
      <c r="N8" s="3">
        <f>VLOOKUP($A8,[1]Data!$B$1:$BK$65536,N$1-1956,FALSE)*VLOOKUP($A8,[2]Data!$B$1:$BK$65536,N$1-1956,FALSE)/100</f>
        <v>914322233.58192456</v>
      </c>
      <c r="O8" s="3">
        <f>VLOOKUP($A8,[1]Data!$B$1:$BK$65536,O$1-1956,FALSE)*VLOOKUP($A8,[2]Data!$B$1:$BK$65536,O$1-1956,FALSE)/100</f>
        <v>911879214.21623194</v>
      </c>
      <c r="P8" s="3">
        <f>VLOOKUP($A8,[1]Data!$B$1:$BK$65536,P$1-1956,FALSE)*VLOOKUP($A8,[2]Data!$B$1:$BK$65536,P$1-1956,FALSE)/100</f>
        <v>909996122.97668469</v>
      </c>
      <c r="Q8" s="3">
        <f>VLOOKUP($A8,[1]Data!$B$1:$BK$65536,Q$1-1956,FALSE)*VLOOKUP($A8,[2]Data!$B$1:$BK$65536,Q$1-1956,FALSE)/100</f>
        <v>910067434.57412779</v>
      </c>
      <c r="R8" s="3">
        <f>VLOOKUP($A8,[1]Data!$B$1:$BK$65536,R$1-1956,FALSE)*VLOOKUP($A8,[2]Data!$B$1:$BK$65536,R$1-1956,FALSE)/100</f>
        <v>911172305.38940501</v>
      </c>
      <c r="S8" s="3">
        <f>VLOOKUP($A8,[1]Data!$B$1:$BK$65536,S$1-1956,FALSE)*VLOOKUP($A8,[2]Data!$B$1:$BK$65536,S$1-1956,FALSE)/100</f>
        <v>912191917.7139287</v>
      </c>
      <c r="T8" s="3">
        <f>VLOOKUP($A8,[1]Data!$B$1:$BK$65536,T$1-1956,FALSE)*VLOOKUP($A8,[2]Data!$B$1:$BK$65536,T$1-1956,FALSE)/100</f>
        <v>912810917.31262195</v>
      </c>
      <c r="U8" s="3">
        <f>VLOOKUP($A8,[1]Data!$B$1:$BK$65536,U$1-1956,FALSE)*VLOOKUP($A8,[2]Data!$B$1:$BK$65536,U$1-1956,FALSE)/100</f>
        <v>913160455.98678648</v>
      </c>
    </row>
    <row r="9" spans="1:21" x14ac:dyDescent="0.25">
      <c r="A9" t="s">
        <v>7</v>
      </c>
      <c r="B9" s="3">
        <f>VLOOKUP($A9,[1]Data!$B$1:$BK$65536,B$1-1956,FALSE)*VLOOKUP($A9,[2]Data!$B$1:$BK$65536,B$1-1956,FALSE)/100</f>
        <v>494608.128013573</v>
      </c>
      <c r="C9" s="3">
        <f>VLOOKUP($A9,[1]Data!$B$1:$BK$65536,C$1-1956,FALSE)*VLOOKUP($A9,[2]Data!$B$1:$BK$65536,C$1-1956,FALSE)/100</f>
        <v>504934.5777267837</v>
      </c>
      <c r="D9" s="3">
        <f>VLOOKUP($A9,[1]Data!$B$1:$BK$65536,D$1-1956,FALSE)*VLOOKUP($A9,[2]Data!$B$1:$BK$65536,D$1-1956,FALSE)/100</f>
        <v>516364.41476211511</v>
      </c>
      <c r="E9" s="3">
        <f>VLOOKUP($A9,[1]Data!$B$1:$BK$65536,E$1-1956,FALSE)*VLOOKUP($A9,[2]Data!$B$1:$BK$65536,E$1-1956,FALSE)/100</f>
        <v>520513.57653579733</v>
      </c>
      <c r="F9" s="3">
        <f>VLOOKUP($A9,[1]Data!$B$1:$BK$65536,F$1-1956,FALSE)*VLOOKUP($A9,[2]Data!$B$1:$BK$65536,F$1-1956,FALSE)/100</f>
        <v>528124.02249572787</v>
      </c>
      <c r="G9" s="3">
        <f>VLOOKUP($A9,[1]Data!$B$1:$BK$65536,G$1-1956,FALSE)*VLOOKUP($A9,[2]Data!$B$1:$BK$65536,G$1-1956,FALSE)/100</f>
        <v>545193.32964820892</v>
      </c>
      <c r="H9" s="3">
        <f>VLOOKUP($A9,[1]Data!$B$1:$BK$65536,H$1-1956,FALSE)*VLOOKUP($A9,[2]Data!$B$1:$BK$65536,H$1-1956,FALSE)/100</f>
        <v>572708.60053894005</v>
      </c>
      <c r="I9" s="3">
        <f>VLOOKUP($A9,[1]Data!$B$1:$BK$65536,I$1-1956,FALSE)*VLOOKUP($A9,[2]Data!$B$1:$BK$65536,I$1-1956,FALSE)/100</f>
        <v>585914.61554595944</v>
      </c>
      <c r="J9" s="3">
        <f>VLOOKUP($A9,[1]Data!$B$1:$BK$65536,J$1-1956,FALSE)*VLOOKUP($A9,[2]Data!$B$1:$BK$65536,J$1-1956,FALSE)/100</f>
        <v>600529.36180129973</v>
      </c>
      <c r="K9" s="3">
        <f>VLOOKUP($A9,[1]Data!$B$1:$BK$65536,K$1-1956,FALSE)*VLOOKUP($A9,[2]Data!$B$1:$BK$65536,K$1-1956,FALSE)/100</f>
        <v>613065.04629119823</v>
      </c>
      <c r="L9" s="3">
        <f>VLOOKUP($A9,[1]Data!$B$1:$BK$65536,L$1-1956,FALSE)*VLOOKUP($A9,[2]Data!$B$1:$BK$65536,L$1-1956,FALSE)/100</f>
        <v>613247.01968467759</v>
      </c>
      <c r="M9" s="3">
        <f>VLOOKUP($A9,[1]Data!$B$1:$BK$65536,M$1-1956,FALSE)*VLOOKUP($A9,[2]Data!$B$1:$BK$65536,M$1-1956,FALSE)/100</f>
        <v>630963.45854682929</v>
      </c>
      <c r="N9" s="3">
        <f>VLOOKUP($A9,[1]Data!$B$1:$BK$65536,N$1-1956,FALSE)*VLOOKUP($A9,[2]Data!$B$1:$BK$65536,N$1-1956,FALSE)/100</f>
        <v>649715.91987716686</v>
      </c>
      <c r="O9" s="3">
        <f>VLOOKUP($A9,[1]Data!$B$1:$BK$65536,O$1-1956,FALSE)*VLOOKUP($A9,[2]Data!$B$1:$BK$65536,O$1-1956,FALSE)/100</f>
        <v>660780.928052673</v>
      </c>
      <c r="P9" s="3">
        <f>VLOOKUP($A9,[1]Data!$B$1:$BK$65536,P$1-1956,FALSE)*VLOOKUP($A9,[2]Data!$B$1:$BK$65536,P$1-1956,FALSE)/100</f>
        <v>660892.24342792504</v>
      </c>
      <c r="Q9" s="3">
        <f>VLOOKUP($A9,[1]Data!$B$1:$BK$65536,Q$1-1956,FALSE)*VLOOKUP($A9,[2]Data!$B$1:$BK$65536,Q$1-1956,FALSE)/100</f>
        <v>668168.01998718281</v>
      </c>
      <c r="R9" s="3">
        <f>VLOOKUP($A9,[1]Data!$B$1:$BK$65536,R$1-1956,FALSE)*VLOOKUP($A9,[2]Data!$B$1:$BK$65536,R$1-1956,FALSE)/100</f>
        <v>654956.52429759922</v>
      </c>
      <c r="S9" s="3">
        <f>VLOOKUP($A9,[1]Data!$B$1:$BK$65536,S$1-1956,FALSE)*VLOOKUP($A9,[2]Data!$B$1:$BK$65536,S$1-1956,FALSE)/100</f>
        <v>629031.12819168065</v>
      </c>
      <c r="T9" s="3">
        <f>VLOOKUP($A9,[1]Data!$B$1:$BK$65536,T$1-1956,FALSE)*VLOOKUP($A9,[2]Data!$B$1:$BK$65536,T$1-1956,FALSE)/100</f>
        <v>603297.81235252391</v>
      </c>
      <c r="U9" s="3">
        <f>VLOOKUP($A9,[1]Data!$B$1:$BK$65536,U$1-1956,FALSE)*VLOOKUP($A9,[2]Data!$B$1:$BK$65536,U$1-1956,FALSE)/100</f>
        <v>611529.16250381456</v>
      </c>
    </row>
    <row r="10" spans="1:21" x14ac:dyDescent="0.25">
      <c r="A10" t="s">
        <v>8</v>
      </c>
      <c r="B10" s="3">
        <f>VLOOKUP($A10,[1]Data!$B$1:$BK$65536,B$1-1956,FALSE)*VLOOKUP($A10,[2]Data!$B$1:$BK$65536,B$1-1956,FALSE)/100</f>
        <v>6086263.0876190998</v>
      </c>
      <c r="C10" s="3">
        <f>VLOOKUP($A10,[1]Data!$B$1:$BK$65536,C$1-1956,FALSE)*VLOOKUP($A10,[2]Data!$B$1:$BK$65536,C$1-1956,FALSE)/100</f>
        <v>6052570.6737976409</v>
      </c>
      <c r="D10" s="3">
        <f>VLOOKUP($A10,[1]Data!$B$1:$BK$65536,D$1-1956,FALSE)*VLOOKUP($A10,[2]Data!$B$1:$BK$65536,D$1-1956,FALSE)/100</f>
        <v>5967637.562987132</v>
      </c>
      <c r="E10" s="3">
        <f>VLOOKUP($A10,[1]Data!$B$1:$BK$65536,E$1-1956,FALSE)*VLOOKUP($A10,[2]Data!$B$1:$BK$65536,E$1-1956,FALSE)/100</f>
        <v>5859351.1487417575</v>
      </c>
      <c r="F10" s="3">
        <f>VLOOKUP($A10,[1]Data!$B$1:$BK$65536,F$1-1956,FALSE)*VLOOKUP($A10,[2]Data!$B$1:$BK$65536,F$1-1956,FALSE)/100</f>
        <v>5701886.1456161477</v>
      </c>
      <c r="G10" s="3">
        <f>VLOOKUP($A10,[1]Data!$B$1:$BK$65536,G$1-1956,FALSE)*VLOOKUP($A10,[2]Data!$B$1:$BK$65536,G$1-1956,FALSE)/100</f>
        <v>5625619.7503005592</v>
      </c>
      <c r="H10" s="3">
        <f>VLOOKUP($A10,[1]Data!$B$1:$BK$65536,H$1-1956,FALSE)*VLOOKUP($A10,[2]Data!$B$1:$BK$65536,H$1-1956,FALSE)/100</f>
        <v>5615863.2836248418</v>
      </c>
      <c r="I10" s="3">
        <f>VLOOKUP($A10,[1]Data!$B$1:$BK$65536,I$1-1956,FALSE)*VLOOKUP($A10,[2]Data!$B$1:$BK$65536,I$1-1956,FALSE)/100</f>
        <v>5652660.5246333303</v>
      </c>
      <c r="J10" s="3">
        <f>VLOOKUP($A10,[1]Data!$B$1:$BK$65536,J$1-1956,FALSE)*VLOOKUP($A10,[2]Data!$B$1:$BK$65536,J$1-1956,FALSE)/100</f>
        <v>5595689.2079461645</v>
      </c>
      <c r="K10" s="3">
        <f>VLOOKUP($A10,[1]Data!$B$1:$BK$65536,K$1-1956,FALSE)*VLOOKUP($A10,[2]Data!$B$1:$BK$65536,K$1-1956,FALSE)/100</f>
        <v>5534578.6383410646</v>
      </c>
      <c r="L10" s="3">
        <f>VLOOKUP($A10,[1]Data!$B$1:$BK$65536,L$1-1956,FALSE)*VLOOKUP($A10,[2]Data!$B$1:$BK$65536,L$1-1956,FALSE)/100</f>
        <v>5593908.5018145731</v>
      </c>
      <c r="M10" s="3">
        <f>VLOOKUP($A10,[1]Data!$B$1:$BK$65536,M$1-1956,FALSE)*VLOOKUP($A10,[2]Data!$B$1:$BK$65536,M$1-1956,FALSE)/100</f>
        <v>5639486.3380907038</v>
      </c>
      <c r="N10" s="3">
        <f>VLOOKUP($A10,[1]Data!$B$1:$BK$65536,N$1-1956,FALSE)*VLOOKUP($A10,[2]Data!$B$1:$BK$65536,N$1-1956,FALSE)/100</f>
        <v>5739021.7458523568</v>
      </c>
      <c r="O10" s="3">
        <f>VLOOKUP($A10,[1]Data!$B$1:$BK$65536,O$1-1956,FALSE)*VLOOKUP($A10,[2]Data!$B$1:$BK$65536,O$1-1956,FALSE)/100</f>
        <v>5806654.6515095485</v>
      </c>
      <c r="P10" s="3">
        <f>VLOOKUP($A10,[1]Data!$B$1:$BK$65536,P$1-1956,FALSE)*VLOOKUP($A10,[2]Data!$B$1:$BK$65536,P$1-1956,FALSE)/100</f>
        <v>5712519.5273071276</v>
      </c>
      <c r="Q10" s="3">
        <f>VLOOKUP($A10,[1]Data!$B$1:$BK$65536,Q$1-1956,FALSE)*VLOOKUP($A10,[2]Data!$B$1:$BK$65536,Q$1-1956,FALSE)/100</f>
        <v>5666760.7363025714</v>
      </c>
      <c r="R10" s="3">
        <f>VLOOKUP($A10,[1]Data!$B$1:$BK$65536,R$1-1956,FALSE)*VLOOKUP($A10,[2]Data!$B$1:$BK$65536,R$1-1956,FALSE)/100</f>
        <v>5701160.2598986784</v>
      </c>
      <c r="S10" s="3">
        <f>VLOOKUP($A10,[1]Data!$B$1:$BK$65536,S$1-1956,FALSE)*VLOOKUP($A10,[2]Data!$B$1:$BK$65536,S$1-1956,FALSE)/100</f>
        <v>5735420.1920860251</v>
      </c>
      <c r="T10" s="3">
        <f>VLOOKUP($A10,[1]Data!$B$1:$BK$65536,T$1-1956,FALSE)*VLOOKUP($A10,[2]Data!$B$1:$BK$65536,T$1-1956,FALSE)/100</f>
        <v>5806612.0376159716</v>
      </c>
      <c r="U10" s="3">
        <f>VLOOKUP($A10,[1]Data!$B$1:$BK$65536,U$1-1956,FALSE)*VLOOKUP($A10,[2]Data!$B$1:$BK$65536,U$1-1956,FALSE)/100</f>
        <v>5874090.7080809828</v>
      </c>
    </row>
    <row r="11" spans="1:21" x14ac:dyDescent="0.25">
      <c r="A11" t="s">
        <v>9</v>
      </c>
      <c r="B11" s="3">
        <f>VLOOKUP($A11,[1]Data!$B$1:$BK$65536,B$1-1956,FALSE)*VLOOKUP($A11,[2]Data!$B$1:$BK$65536,B$1-1956,FALSE)/100</f>
        <v>43651201.44401022</v>
      </c>
      <c r="C11" s="3">
        <f>VLOOKUP($A11,[1]Data!$B$1:$BK$65536,C$1-1956,FALSE)*VLOOKUP($A11,[2]Data!$B$1:$BK$65536,C$1-1956,FALSE)/100</f>
        <v>43290349.536902077</v>
      </c>
      <c r="D11" s="3">
        <f>VLOOKUP($A11,[1]Data!$B$1:$BK$65536,D$1-1956,FALSE)*VLOOKUP($A11,[2]Data!$B$1:$BK$65536,D$1-1956,FALSE)/100</f>
        <v>42996063.150083959</v>
      </c>
      <c r="E11" s="3">
        <f>VLOOKUP($A11,[1]Data!$B$1:$BK$65536,E$1-1956,FALSE)*VLOOKUP($A11,[2]Data!$B$1:$BK$65536,E$1-1956,FALSE)/100</f>
        <v>43026371.082356602</v>
      </c>
      <c r="F11" s="3">
        <f>VLOOKUP($A11,[1]Data!$B$1:$BK$65536,F$1-1956,FALSE)*VLOOKUP($A11,[2]Data!$B$1:$BK$65536,F$1-1956,FALSE)/100</f>
        <v>43642847.950645164</v>
      </c>
      <c r="G11" s="3">
        <f>VLOOKUP($A11,[1]Data!$B$1:$BK$65536,G$1-1956,FALSE)*VLOOKUP($A11,[2]Data!$B$1:$BK$65536,G$1-1956,FALSE)/100</f>
        <v>43952739.55068741</v>
      </c>
      <c r="H11" s="3">
        <f>VLOOKUP($A11,[1]Data!$B$1:$BK$65536,H$1-1956,FALSE)*VLOOKUP($A11,[2]Data!$B$1:$BK$65536,H$1-1956,FALSE)/100</f>
        <v>44019327.728333451</v>
      </c>
      <c r="I11" s="3">
        <f>VLOOKUP($A11,[1]Data!$B$1:$BK$65536,I$1-1956,FALSE)*VLOOKUP($A11,[2]Data!$B$1:$BK$65536,I$1-1956,FALSE)/100</f>
        <v>43671884.562360741</v>
      </c>
      <c r="J11" s="3">
        <f>VLOOKUP($A11,[1]Data!$B$1:$BK$65536,J$1-1956,FALSE)*VLOOKUP($A11,[2]Data!$B$1:$BK$65536,J$1-1956,FALSE)/100</f>
        <v>43115854.927708738</v>
      </c>
      <c r="K11" s="3">
        <f>VLOOKUP($A11,[1]Data!$B$1:$BK$65536,K$1-1956,FALSE)*VLOOKUP($A11,[2]Data!$B$1:$BK$65536,K$1-1956,FALSE)/100</f>
        <v>42421609.140090175</v>
      </c>
      <c r="L11" s="3">
        <f>VLOOKUP($A11,[1]Data!$B$1:$BK$65536,L$1-1956,FALSE)*VLOOKUP($A11,[2]Data!$B$1:$BK$65536,L$1-1956,FALSE)/100</f>
        <v>42823895.226712085</v>
      </c>
      <c r="M11" s="3">
        <f>VLOOKUP($A11,[1]Data!$B$1:$BK$65536,M$1-1956,FALSE)*VLOOKUP($A11,[2]Data!$B$1:$BK$65536,M$1-1956,FALSE)/100</f>
        <v>43504651.528373681</v>
      </c>
      <c r="N11" s="3">
        <f>VLOOKUP($A11,[1]Data!$B$1:$BK$65536,N$1-1956,FALSE)*VLOOKUP($A11,[2]Data!$B$1:$BK$65536,N$1-1956,FALSE)/100</f>
        <v>44474846.256591342</v>
      </c>
      <c r="O11" s="3">
        <f>VLOOKUP($A11,[1]Data!$B$1:$BK$65536,O$1-1956,FALSE)*VLOOKUP($A11,[2]Data!$B$1:$BK$65536,O$1-1956,FALSE)/100</f>
        <v>44956098.757425778</v>
      </c>
      <c r="P11" s="3">
        <f>VLOOKUP($A11,[1]Data!$B$1:$BK$65536,P$1-1956,FALSE)*VLOOKUP($A11,[2]Data!$B$1:$BK$65536,P$1-1956,FALSE)/100</f>
        <v>44846427.645828187</v>
      </c>
      <c r="Q11" s="3">
        <f>VLOOKUP($A11,[1]Data!$B$1:$BK$65536,Q$1-1956,FALSE)*VLOOKUP($A11,[2]Data!$B$1:$BK$65536,Q$1-1956,FALSE)/100</f>
        <v>45216099.98586195</v>
      </c>
      <c r="R11" s="3">
        <f>VLOOKUP($A11,[1]Data!$B$1:$BK$65536,R$1-1956,FALSE)*VLOOKUP($A11,[2]Data!$B$1:$BK$65536,R$1-1956,FALSE)/100</f>
        <v>45360984.619312003</v>
      </c>
      <c r="S11" s="3">
        <f>VLOOKUP($A11,[1]Data!$B$1:$BK$65536,S$1-1956,FALSE)*VLOOKUP($A11,[2]Data!$B$1:$BK$65536,S$1-1956,FALSE)/100</f>
        <v>45615917.086483367</v>
      </c>
      <c r="T11" s="3">
        <f>VLOOKUP($A11,[1]Data!$B$1:$BK$65536,T$1-1956,FALSE)*VLOOKUP($A11,[2]Data!$B$1:$BK$65536,T$1-1956,FALSE)/100</f>
        <v>46035736.862867005</v>
      </c>
      <c r="U11" s="3">
        <f>VLOOKUP($A11,[1]Data!$B$1:$BK$65536,U$1-1956,FALSE)*VLOOKUP($A11,[2]Data!$B$1:$BK$65536,U$1-1956,FALSE)/100</f>
        <v>46354384.359264374</v>
      </c>
    </row>
    <row r="12" spans="1:21" x14ac:dyDescent="0.25">
      <c r="A12" t="s">
        <v>10</v>
      </c>
      <c r="B12" s="3">
        <f>VLOOKUP($A12,[1]Data!$B$1:$BK$65536,B$1-1956,FALSE)*VLOOKUP($A12,[2]Data!$B$1:$BK$65536,B$1-1956,FALSE)/100</f>
        <v>3180896.3504982768</v>
      </c>
      <c r="C12" s="3">
        <f>VLOOKUP($A12,[1]Data!$B$1:$BK$65536,C$1-1956,FALSE)*VLOOKUP($A12,[2]Data!$B$1:$BK$65536,C$1-1956,FALSE)/100</f>
        <v>3206422.5906877923</v>
      </c>
      <c r="D12" s="3">
        <f>VLOOKUP($A12,[1]Data!$B$1:$BK$65536,D$1-1956,FALSE)*VLOOKUP($A12,[2]Data!$B$1:$BK$65536,D$1-1956,FALSE)/100</f>
        <v>3288638.5915925242</v>
      </c>
      <c r="E12" s="3">
        <f>VLOOKUP($A12,[1]Data!$B$1:$BK$65536,E$1-1956,FALSE)*VLOOKUP($A12,[2]Data!$B$1:$BK$65536,E$1-1956,FALSE)/100</f>
        <v>3297314.776858523</v>
      </c>
      <c r="F12" s="3">
        <f>VLOOKUP($A12,[1]Data!$B$1:$BK$65536,F$1-1956,FALSE)*VLOOKUP($A12,[2]Data!$B$1:$BK$65536,F$1-1956,FALSE)/100</f>
        <v>3341185.1165166078</v>
      </c>
      <c r="G12" s="3">
        <f>VLOOKUP($A12,[1]Data!$B$1:$BK$65536,G$1-1956,FALSE)*VLOOKUP($A12,[2]Data!$B$1:$BK$65536,G$1-1956,FALSE)/100</f>
        <v>3354613.7927380395</v>
      </c>
      <c r="H12" s="3">
        <f>VLOOKUP($A12,[1]Data!$B$1:$BK$65536,H$1-1956,FALSE)*VLOOKUP($A12,[2]Data!$B$1:$BK$65536,H$1-1956,FALSE)/100</f>
        <v>3359045.8759336872</v>
      </c>
      <c r="I12" s="3">
        <f>VLOOKUP($A12,[1]Data!$B$1:$BK$65536,I$1-1956,FALSE)*VLOOKUP($A12,[2]Data!$B$1:$BK$65536,I$1-1956,FALSE)/100</f>
        <v>3401459.0278673195</v>
      </c>
      <c r="J12" s="3">
        <f>VLOOKUP($A12,[1]Data!$B$1:$BK$65536,J$1-1956,FALSE)*VLOOKUP($A12,[2]Data!$B$1:$BK$65536,J$1-1956,FALSE)/100</f>
        <v>3341077.7405239088</v>
      </c>
      <c r="K12" s="3">
        <f>VLOOKUP($A12,[1]Data!$B$1:$BK$65536,K$1-1956,FALSE)*VLOOKUP($A12,[2]Data!$B$1:$BK$65536,K$1-1956,FALSE)/100</f>
        <v>3381988.3395673726</v>
      </c>
      <c r="L12" s="3">
        <f>VLOOKUP($A12,[1]Data!$B$1:$BK$65536,L$1-1956,FALSE)*VLOOKUP($A12,[2]Data!$B$1:$BK$65536,L$1-1956,FALSE)/100</f>
        <v>3396899.994138795</v>
      </c>
      <c r="M12" s="3">
        <f>VLOOKUP($A12,[1]Data!$B$1:$BK$65536,M$1-1956,FALSE)*VLOOKUP($A12,[2]Data!$B$1:$BK$65536,M$1-1956,FALSE)/100</f>
        <v>3462128.5616647368</v>
      </c>
      <c r="N12" s="3">
        <f>VLOOKUP($A12,[1]Data!$B$1:$BK$65536,N$1-1956,FALSE)*VLOOKUP($A12,[2]Data!$B$1:$BK$65536,N$1-1956,FALSE)/100</f>
        <v>3459547.9677679427</v>
      </c>
      <c r="O12" s="3">
        <f>VLOOKUP($A12,[1]Data!$B$1:$BK$65536,O$1-1956,FALSE)*VLOOKUP($A12,[2]Data!$B$1:$BK$65536,O$1-1956,FALSE)/100</f>
        <v>3503996.3344021211</v>
      </c>
      <c r="P12" s="3">
        <f>VLOOKUP($A12,[1]Data!$B$1:$BK$65536,P$1-1956,FALSE)*VLOOKUP($A12,[2]Data!$B$1:$BK$65536,P$1-1956,FALSE)/100</f>
        <v>3391069.8023649245</v>
      </c>
      <c r="Q12" s="3">
        <f>VLOOKUP($A12,[1]Data!$B$1:$BK$65536,Q$1-1956,FALSE)*VLOOKUP($A12,[2]Data!$B$1:$BK$65536,Q$1-1956,FALSE)/100</f>
        <v>3304366.4100528336</v>
      </c>
      <c r="R12" s="3">
        <f>VLOOKUP($A12,[1]Data!$B$1:$BK$65536,R$1-1956,FALSE)*VLOOKUP($A12,[2]Data!$B$1:$BK$65536,R$1-1956,FALSE)/100</f>
        <v>3292987.8436798076</v>
      </c>
      <c r="S12" s="3">
        <f>VLOOKUP($A12,[1]Data!$B$1:$BK$65536,S$1-1956,FALSE)*VLOOKUP($A12,[2]Data!$B$1:$BK$65536,S$1-1956,FALSE)/100</f>
        <v>3266596.2600152581</v>
      </c>
      <c r="T12" s="3">
        <f>VLOOKUP($A12,[1]Data!$B$1:$BK$65536,T$1-1956,FALSE)*VLOOKUP($A12,[2]Data!$B$1:$BK$65536,T$1-1956,FALSE)/100</f>
        <v>3254639.2238914492</v>
      </c>
      <c r="U12" s="3">
        <f>VLOOKUP($A12,[1]Data!$B$1:$BK$65536,U$1-1956,FALSE)*VLOOKUP($A12,[2]Data!$B$1:$BK$65536,U$1-1956,FALSE)/100</f>
        <v>3272933.2659711856</v>
      </c>
    </row>
    <row r="13" spans="1:21" x14ac:dyDescent="0.25">
      <c r="A13" t="s">
        <v>11</v>
      </c>
      <c r="B13" s="3">
        <f>VLOOKUP($A13,[1]Data!$B$1:$BK$65536,B$1-1956,FALSE)*VLOOKUP($A13,[2]Data!$B$1:$BK$65536,B$1-1956,FALSE)/100</f>
        <v>15357317.669385908</v>
      </c>
      <c r="C13" s="3">
        <f>VLOOKUP($A13,[1]Data!$B$1:$BK$65536,C$1-1956,FALSE)*VLOOKUP($A13,[2]Data!$B$1:$BK$65536,C$1-1956,FALSE)/100</f>
        <v>15633232.652071822</v>
      </c>
      <c r="D13" s="3">
        <f>VLOOKUP($A13,[1]Data!$B$1:$BK$65536,D$1-1956,FALSE)*VLOOKUP($A13,[2]Data!$B$1:$BK$65536,D$1-1956,FALSE)/100</f>
        <v>16145130.758695459</v>
      </c>
      <c r="E13" s="3">
        <f>VLOOKUP($A13,[1]Data!$B$1:$BK$65536,E$1-1956,FALSE)*VLOOKUP($A13,[2]Data!$B$1:$BK$65536,E$1-1956,FALSE)/100</f>
        <v>16745449.240469081</v>
      </c>
      <c r="F13" s="3">
        <f>VLOOKUP($A13,[1]Data!$B$1:$BK$65536,F$1-1956,FALSE)*VLOOKUP($A13,[2]Data!$B$1:$BK$65536,F$1-1956,FALSE)/100</f>
        <v>17660372.958827004</v>
      </c>
      <c r="G13" s="3">
        <f>VLOOKUP($A13,[1]Data!$B$1:$BK$65536,G$1-1956,FALSE)*VLOOKUP($A13,[2]Data!$B$1:$BK$65536,G$1-1956,FALSE)/100</f>
        <v>18480285.113209233</v>
      </c>
      <c r="H13" s="3">
        <f>VLOOKUP($A13,[1]Data!$B$1:$BK$65536,H$1-1956,FALSE)*VLOOKUP($A13,[2]Data!$B$1:$BK$65536,H$1-1956,FALSE)/100</f>
        <v>19097567.609999999</v>
      </c>
      <c r="I13" s="3">
        <f>VLOOKUP($A13,[1]Data!$B$1:$BK$65536,I$1-1956,FALSE)*VLOOKUP($A13,[2]Data!$B$1:$BK$65536,I$1-1956,FALSE)/100</f>
        <v>19778182.640157491</v>
      </c>
      <c r="J13" s="3">
        <f>VLOOKUP($A13,[1]Data!$B$1:$BK$65536,J$1-1956,FALSE)*VLOOKUP($A13,[2]Data!$B$1:$BK$65536,J$1-1956,FALSE)/100</f>
        <v>20536102.425333787</v>
      </c>
      <c r="K13" s="3">
        <f>VLOOKUP($A13,[1]Data!$B$1:$BK$65536,K$1-1956,FALSE)*VLOOKUP($A13,[2]Data!$B$1:$BK$65536,K$1-1956,FALSE)/100</f>
        <v>21271232.147756208</v>
      </c>
      <c r="L13" s="3">
        <f>VLOOKUP($A13,[1]Data!$B$1:$BK$65536,L$1-1956,FALSE)*VLOOKUP($A13,[2]Data!$B$1:$BK$65536,L$1-1956,FALSE)/100</f>
        <v>22549910.931122385</v>
      </c>
      <c r="M13" s="3">
        <f>VLOOKUP($A13,[1]Data!$B$1:$BK$65536,M$1-1956,FALSE)*VLOOKUP($A13,[2]Data!$B$1:$BK$65536,M$1-1956,FALSE)/100</f>
        <v>23424913.911445562</v>
      </c>
      <c r="N13" s="3">
        <f>VLOOKUP($A13,[1]Data!$B$1:$BK$65536,N$1-1956,FALSE)*VLOOKUP($A13,[2]Data!$B$1:$BK$65536,N$1-1956,FALSE)/100</f>
        <v>24116741.02521139</v>
      </c>
      <c r="O13" s="3">
        <f>VLOOKUP($A13,[1]Data!$B$1:$BK$65536,O$1-1956,FALSE)*VLOOKUP($A13,[2]Data!$B$1:$BK$65536,O$1-1956,FALSE)/100</f>
        <v>23997694.002789754</v>
      </c>
      <c r="P13" s="3">
        <f>VLOOKUP($A13,[1]Data!$B$1:$BK$65536,P$1-1956,FALSE)*VLOOKUP($A13,[2]Data!$B$1:$BK$65536,P$1-1956,FALSE)/100</f>
        <v>22487418.934342202</v>
      </c>
      <c r="Q13" s="3">
        <f>VLOOKUP($A13,[1]Data!$B$1:$BK$65536,Q$1-1956,FALSE)*VLOOKUP($A13,[2]Data!$B$1:$BK$65536,Q$1-1956,FALSE)/100</f>
        <v>22133807.18072759</v>
      </c>
      <c r="R13" s="3">
        <f>VLOOKUP($A13,[1]Data!$B$1:$BK$65536,R$1-1956,FALSE)*VLOOKUP($A13,[2]Data!$B$1:$BK$65536,R$1-1956,FALSE)/100</f>
        <v>21784433.722878899</v>
      </c>
      <c r="S13" s="3">
        <f>VLOOKUP($A13,[1]Data!$B$1:$BK$65536,S$1-1956,FALSE)*VLOOKUP($A13,[2]Data!$B$1:$BK$65536,S$1-1956,FALSE)/100</f>
        <v>20860314.342681885</v>
      </c>
      <c r="T13" s="3">
        <f>VLOOKUP($A13,[1]Data!$B$1:$BK$65536,T$1-1956,FALSE)*VLOOKUP($A13,[2]Data!$B$1:$BK$65536,T$1-1956,FALSE)/100</f>
        <v>20319812.130789209</v>
      </c>
      <c r="U13" s="3">
        <f>VLOOKUP($A13,[1]Data!$B$1:$BK$65536,U$1-1956,FALSE)*VLOOKUP($A13,[2]Data!$B$1:$BK$65536,U$1-1956,FALSE)/100</f>
        <v>20583129.415790014</v>
      </c>
    </row>
    <row r="14" spans="1:21" x14ac:dyDescent="0.25">
      <c r="A14" t="s">
        <v>12</v>
      </c>
      <c r="B14" s="3">
        <f>VLOOKUP($A14,[1]Data!$B$1:$BK$65536,B$1-1956,FALSE)*VLOOKUP($A14,[2]Data!$B$1:$BK$65536,B$1-1956,FALSE)/100</f>
        <v>801584.32724601787</v>
      </c>
      <c r="C14" s="3">
        <f>VLOOKUP($A14,[1]Data!$B$1:$BK$65536,C$1-1956,FALSE)*VLOOKUP($A14,[2]Data!$B$1:$BK$65536,C$1-1956,FALSE)/100</f>
        <v>780459.43181190477</v>
      </c>
      <c r="D14" s="3">
        <f>VLOOKUP($A14,[1]Data!$B$1:$BK$65536,D$1-1956,FALSE)*VLOOKUP($A14,[2]Data!$B$1:$BK$65536,D$1-1956,FALSE)/100</f>
        <v>772235.44194679277</v>
      </c>
      <c r="E14" s="3">
        <f>VLOOKUP($A14,[1]Data!$B$1:$BK$65536,E$1-1956,FALSE)*VLOOKUP($A14,[2]Data!$B$1:$BK$65536,E$1-1956,FALSE)/100</f>
        <v>757991.66686706583</v>
      </c>
      <c r="F14" s="3">
        <f>VLOOKUP($A14,[1]Data!$B$1:$BK$65536,F$1-1956,FALSE)*VLOOKUP($A14,[2]Data!$B$1:$BK$65536,F$1-1956,FALSE)/100</f>
        <v>728112.50539367658</v>
      </c>
      <c r="G14" s="3">
        <f>VLOOKUP($A14,[1]Data!$B$1:$BK$65536,G$1-1956,FALSE)*VLOOKUP($A14,[2]Data!$B$1:$BK$65536,G$1-1956,FALSE)/100</f>
        <v>714110.79272632627</v>
      </c>
      <c r="H14" s="3">
        <f>VLOOKUP($A14,[1]Data!$B$1:$BK$65536,H$1-1956,FALSE)*VLOOKUP($A14,[2]Data!$B$1:$BK$65536,H$1-1956,FALSE)/100</f>
        <v>700539.98391780886</v>
      </c>
      <c r="I14" s="3">
        <f>VLOOKUP($A14,[1]Data!$B$1:$BK$65536,I$1-1956,FALSE)*VLOOKUP($A14,[2]Data!$B$1:$BK$65536,I$1-1956,FALSE)/100</f>
        <v>705372.00973510812</v>
      </c>
      <c r="J14" s="3">
        <f>VLOOKUP($A14,[1]Data!$B$1:$BK$65536,J$1-1956,FALSE)*VLOOKUP($A14,[2]Data!$B$1:$BK$65536,J$1-1956,FALSE)/100</f>
        <v>715488.45111694385</v>
      </c>
      <c r="K14" s="3">
        <f>VLOOKUP($A14,[1]Data!$B$1:$BK$65536,K$1-1956,FALSE)*VLOOKUP($A14,[2]Data!$B$1:$BK$65536,K$1-1956,FALSE)/100</f>
        <v>720448.3125</v>
      </c>
      <c r="L14" s="3">
        <f>VLOOKUP($A14,[1]Data!$B$1:$BK$65536,L$1-1956,FALSE)*VLOOKUP($A14,[2]Data!$B$1:$BK$65536,L$1-1956,FALSE)/100</f>
        <v>730399.82135677349</v>
      </c>
      <c r="M14" s="3">
        <f>VLOOKUP($A14,[1]Data!$B$1:$BK$65536,M$1-1956,FALSE)*VLOOKUP($A14,[2]Data!$B$1:$BK$65536,M$1-1956,FALSE)/100</f>
        <v>767600.88441276597</v>
      </c>
      <c r="N14" s="3">
        <f>VLOOKUP($A14,[1]Data!$B$1:$BK$65536,N$1-1956,FALSE)*VLOOKUP($A14,[2]Data!$B$1:$BK$65536,N$1-1956,FALSE)/100</f>
        <v>776079.44551086484</v>
      </c>
      <c r="O14" s="3">
        <f>VLOOKUP($A14,[1]Data!$B$1:$BK$65536,O$1-1956,FALSE)*VLOOKUP($A14,[2]Data!$B$1:$BK$65536,O$1-1956,FALSE)/100</f>
        <v>775552.29066543607</v>
      </c>
      <c r="P14" s="3">
        <f>VLOOKUP($A14,[1]Data!$B$1:$BK$65536,P$1-1956,FALSE)*VLOOKUP($A14,[2]Data!$B$1:$BK$65536,P$1-1956,FALSE)/100</f>
        <v>702341.92093486723</v>
      </c>
      <c r="Q14" s="3">
        <f>VLOOKUP($A14,[1]Data!$B$1:$BK$65536,Q$1-1956,FALSE)*VLOOKUP($A14,[2]Data!$B$1:$BK$65536,Q$1-1956,FALSE)/100</f>
        <v>671276.44087600661</v>
      </c>
      <c r="R14" s="3">
        <f>VLOOKUP($A14,[1]Data!$B$1:$BK$65536,R$1-1956,FALSE)*VLOOKUP($A14,[2]Data!$B$1:$BK$65536,R$1-1956,FALSE)/100</f>
        <v>712250.6463440709</v>
      </c>
      <c r="S14" s="3">
        <f>VLOOKUP($A14,[1]Data!$B$1:$BK$65536,S$1-1956,FALSE)*VLOOKUP($A14,[2]Data!$B$1:$BK$65536,S$1-1956,FALSE)/100</f>
        <v>729241.97801055899</v>
      </c>
      <c r="T14" s="3">
        <f>VLOOKUP($A14,[1]Data!$B$1:$BK$65536,T$1-1956,FALSE)*VLOOKUP($A14,[2]Data!$B$1:$BK$65536,T$1-1956,FALSE)/100</f>
        <v>737959.71515216841</v>
      </c>
      <c r="U14" s="3">
        <f>VLOOKUP($A14,[1]Data!$B$1:$BK$65536,U$1-1956,FALSE)*VLOOKUP($A14,[2]Data!$B$1:$BK$65536,U$1-1956,FALSE)/100</f>
        <v>744702.90078735352</v>
      </c>
    </row>
    <row r="15" spans="1:21" x14ac:dyDescent="0.25">
      <c r="A15" t="s">
        <v>13</v>
      </c>
      <c r="B15" s="3">
        <f>VLOOKUP($A15,[1]Data!$B$1:$BK$65536,B$1-1956,FALSE)*VLOOKUP($A15,[2]Data!$B$1:$BK$65536,B$1-1956,FALSE)/100</f>
        <v>2536426.4065219867</v>
      </c>
      <c r="C15" s="3">
        <f>VLOOKUP($A15,[1]Data!$B$1:$BK$65536,C$1-1956,FALSE)*VLOOKUP($A15,[2]Data!$B$1:$BK$65536,C$1-1956,FALSE)/100</f>
        <v>2560134.1887233751</v>
      </c>
      <c r="D15" s="3">
        <f>VLOOKUP($A15,[1]Data!$B$1:$BK$65536,D$1-1956,FALSE)*VLOOKUP($A15,[2]Data!$B$1:$BK$65536,D$1-1956,FALSE)/100</f>
        <v>2621367.2201160435</v>
      </c>
      <c r="E15" s="3">
        <f>VLOOKUP($A15,[1]Data!$B$1:$BK$65536,E$1-1956,FALSE)*VLOOKUP($A15,[2]Data!$B$1:$BK$65536,E$1-1956,FALSE)/100</f>
        <v>2687033.8257455425</v>
      </c>
      <c r="F15" s="3">
        <f>VLOOKUP($A15,[1]Data!$B$1:$BK$65536,F$1-1956,FALSE)*VLOOKUP($A15,[2]Data!$B$1:$BK$65536,F$1-1956,FALSE)/100</f>
        <v>2773911.2037746403</v>
      </c>
      <c r="G15" s="3">
        <f>VLOOKUP($A15,[1]Data!$B$1:$BK$65536,G$1-1956,FALSE)*VLOOKUP($A15,[2]Data!$B$1:$BK$65536,G$1-1956,FALSE)/100</f>
        <v>2807213.5154306041</v>
      </c>
      <c r="H15" s="3">
        <f>VLOOKUP($A15,[1]Data!$B$1:$BK$65536,H$1-1956,FALSE)*VLOOKUP($A15,[2]Data!$B$1:$BK$65536,H$1-1956,FALSE)/100</f>
        <v>2849253.8986047357</v>
      </c>
      <c r="I15" s="3">
        <f>VLOOKUP($A15,[1]Data!$B$1:$BK$65536,I$1-1956,FALSE)*VLOOKUP($A15,[2]Data!$B$1:$BK$65536,I$1-1956,FALSE)/100</f>
        <v>2856272.4795858022</v>
      </c>
      <c r="J15" s="3">
        <f>VLOOKUP($A15,[1]Data!$B$1:$BK$65536,J$1-1956,FALSE)*VLOOKUP($A15,[2]Data!$B$1:$BK$65536,J$1-1956,FALSE)/100</f>
        <v>2848495.0207904042</v>
      </c>
      <c r="K15" s="3">
        <f>VLOOKUP($A15,[1]Data!$B$1:$BK$65536,K$1-1956,FALSE)*VLOOKUP($A15,[2]Data!$B$1:$BK$65536,K$1-1956,FALSE)/100</f>
        <v>2837956.4032200612</v>
      </c>
      <c r="L15" s="3">
        <f>VLOOKUP($A15,[1]Data!$B$1:$BK$65536,L$1-1956,FALSE)*VLOOKUP($A15,[2]Data!$B$1:$BK$65536,L$1-1956,FALSE)/100</f>
        <v>2912580.0910723889</v>
      </c>
      <c r="M15" s="3">
        <f>VLOOKUP($A15,[1]Data!$B$1:$BK$65536,M$1-1956,FALSE)*VLOOKUP($A15,[2]Data!$B$1:$BK$65536,M$1-1956,FALSE)/100</f>
        <v>2965751.5865225196</v>
      </c>
      <c r="N15" s="3">
        <f>VLOOKUP($A15,[1]Data!$B$1:$BK$65536,N$1-1956,FALSE)*VLOOKUP($A15,[2]Data!$B$1:$BK$65536,N$1-1956,FALSE)/100</f>
        <v>3020017.8154937718</v>
      </c>
      <c r="O15" s="3">
        <f>VLOOKUP($A15,[1]Data!$B$1:$BK$65536,O$1-1956,FALSE)*VLOOKUP($A15,[2]Data!$B$1:$BK$65536,O$1-1956,FALSE)/100</f>
        <v>3060358.428516082</v>
      </c>
      <c r="P15" s="3">
        <f>VLOOKUP($A15,[1]Data!$B$1:$BK$65536,P$1-1956,FALSE)*VLOOKUP($A15,[2]Data!$B$1:$BK$65536,P$1-1956,FALSE)/100</f>
        <v>2960617.4477631743</v>
      </c>
      <c r="Q15" s="3">
        <f>VLOOKUP($A15,[1]Data!$B$1:$BK$65536,Q$1-1956,FALSE)*VLOOKUP($A15,[2]Data!$B$1:$BK$65536,Q$1-1956,FALSE)/100</f>
        <v>2940028.737857664</v>
      </c>
      <c r="R15" s="3">
        <f>VLOOKUP($A15,[1]Data!$B$1:$BK$65536,R$1-1956,FALSE)*VLOOKUP($A15,[2]Data!$B$1:$BK$65536,R$1-1956,FALSE)/100</f>
        <v>2972709.5637377924</v>
      </c>
      <c r="S15" s="3">
        <f>VLOOKUP($A15,[1]Data!$B$1:$BK$65536,S$1-1956,FALSE)*VLOOKUP($A15,[2]Data!$B$1:$BK$65536,S$1-1956,FALSE)/100</f>
        <v>2981961.009435995</v>
      </c>
      <c r="T15" s="3">
        <f>VLOOKUP($A15,[1]Data!$B$1:$BK$65536,T$1-1956,FALSE)*VLOOKUP($A15,[2]Data!$B$1:$BK$65536,T$1-1956,FALSE)/100</f>
        <v>2948956.324950865</v>
      </c>
      <c r="U15" s="3">
        <f>VLOOKUP($A15,[1]Data!$B$1:$BK$65536,U$1-1956,FALSE)*VLOOKUP($A15,[2]Data!$B$1:$BK$65536,U$1-1956,FALSE)/100</f>
        <v>2937310.4655093364</v>
      </c>
    </row>
    <row r="16" spans="1:21" x14ac:dyDescent="0.25">
      <c r="A16" t="s">
        <v>14</v>
      </c>
      <c r="B16" s="3">
        <f>VLOOKUP($A16,[1]Data!$B$1:$BK$65536,B$1-1956,FALSE)*VLOOKUP($A16,[2]Data!$B$1:$BK$65536,B$1-1956,FALSE)/100</f>
        <v>28926050.716361329</v>
      </c>
      <c r="C16" s="3">
        <f>VLOOKUP($A16,[1]Data!$B$1:$BK$65536,C$1-1956,FALSE)*VLOOKUP($A16,[2]Data!$B$1:$BK$65536,C$1-1956,FALSE)/100</f>
        <v>29063907.475296002</v>
      </c>
      <c r="D16" s="3">
        <f>VLOOKUP($A16,[1]Data!$B$1:$BK$65536,D$1-1956,FALSE)*VLOOKUP($A16,[2]Data!$B$1:$BK$65536,D$1-1956,FALSE)/100</f>
        <v>28917449.160645753</v>
      </c>
      <c r="E16" s="3">
        <f>VLOOKUP($A16,[1]Data!$B$1:$BK$65536,E$1-1956,FALSE)*VLOOKUP($A16,[2]Data!$B$1:$BK$65536,E$1-1956,FALSE)/100</f>
        <v>29216229.343022443</v>
      </c>
      <c r="F16" s="3">
        <f>VLOOKUP($A16,[1]Data!$B$1:$BK$65536,F$1-1956,FALSE)*VLOOKUP($A16,[2]Data!$B$1:$BK$65536,F$1-1956,FALSE)/100</f>
        <v>29527841.943967767</v>
      </c>
      <c r="G16" s="3">
        <f>VLOOKUP($A16,[1]Data!$B$1:$BK$65536,G$1-1956,FALSE)*VLOOKUP($A16,[2]Data!$B$1:$BK$65536,G$1-1956,FALSE)/100</f>
        <v>30293003.55195998</v>
      </c>
      <c r="H16" s="3">
        <f>VLOOKUP($A16,[1]Data!$B$1:$BK$65536,H$1-1956,FALSE)*VLOOKUP($A16,[2]Data!$B$1:$BK$65536,H$1-1956,FALSE)/100</f>
        <v>30886717.118370436</v>
      </c>
      <c r="I16" s="3">
        <f>VLOOKUP($A16,[1]Data!$B$1:$BK$65536,I$1-1956,FALSE)*VLOOKUP($A16,[2]Data!$B$1:$BK$65536,I$1-1956,FALSE)/100</f>
        <v>31196207.575176474</v>
      </c>
      <c r="J16" s="3">
        <f>VLOOKUP($A16,[1]Data!$B$1:$BK$65536,J$1-1956,FALSE)*VLOOKUP($A16,[2]Data!$B$1:$BK$65536,J$1-1956,FALSE)/100</f>
        <v>31921045.476244569</v>
      </c>
      <c r="K16" s="3">
        <f>VLOOKUP($A16,[1]Data!$B$1:$BK$65536,K$1-1956,FALSE)*VLOOKUP($A16,[2]Data!$B$1:$BK$65536,K$1-1956,FALSE)/100</f>
        <v>31879168.713680081</v>
      </c>
      <c r="L16" s="3">
        <f>VLOOKUP($A16,[1]Data!$B$1:$BK$65536,L$1-1956,FALSE)*VLOOKUP($A16,[2]Data!$B$1:$BK$65536,L$1-1956,FALSE)/100</f>
        <v>32314973.69752853</v>
      </c>
      <c r="M16" s="3">
        <f>VLOOKUP($A16,[1]Data!$B$1:$BK$65536,M$1-1956,FALSE)*VLOOKUP($A16,[2]Data!$B$1:$BK$65536,M$1-1956,FALSE)/100</f>
        <v>32500346.03705157</v>
      </c>
      <c r="N16" s="3">
        <f>VLOOKUP($A16,[1]Data!$B$1:$BK$65536,N$1-1956,FALSE)*VLOOKUP($A16,[2]Data!$B$1:$BK$65536,N$1-1956,FALSE)/100</f>
        <v>33064381.18931007</v>
      </c>
      <c r="O16" s="3">
        <f>VLOOKUP($A16,[1]Data!$B$1:$BK$65536,O$1-1956,FALSE)*VLOOKUP($A16,[2]Data!$B$1:$BK$65536,O$1-1956,FALSE)/100</f>
        <v>33521986.61670687</v>
      </c>
      <c r="P16" s="3">
        <f>VLOOKUP($A16,[1]Data!$B$1:$BK$65536,P$1-1956,FALSE)*VLOOKUP($A16,[2]Data!$B$1:$BK$65536,P$1-1956,FALSE)/100</f>
        <v>33190828.268225085</v>
      </c>
      <c r="Q16" s="3">
        <f>VLOOKUP($A16,[1]Data!$B$1:$BK$65536,Q$1-1956,FALSE)*VLOOKUP($A16,[2]Data!$B$1:$BK$65536,Q$1-1956,FALSE)/100</f>
        <v>33247915.105805445</v>
      </c>
      <c r="R16" s="3">
        <f>VLOOKUP($A16,[1]Data!$B$1:$BK$65536,R$1-1956,FALSE)*VLOOKUP($A16,[2]Data!$B$1:$BK$65536,R$1-1956,FALSE)/100</f>
        <v>33276463.285335511</v>
      </c>
      <c r="S16" s="3">
        <f>VLOOKUP($A16,[1]Data!$B$1:$BK$65536,S$1-1956,FALSE)*VLOOKUP($A16,[2]Data!$B$1:$BK$65536,S$1-1956,FALSE)/100</f>
        <v>33326949.234092202</v>
      </c>
      <c r="T16" s="3">
        <f>VLOOKUP($A16,[1]Data!$B$1:$BK$65536,T$1-1956,FALSE)*VLOOKUP($A16,[2]Data!$B$1:$BK$65536,T$1-1956,FALSE)/100</f>
        <v>33285116.928497184</v>
      </c>
      <c r="U16" s="3">
        <f>VLOOKUP($A16,[1]Data!$B$1:$BK$65536,U$1-1956,FALSE)*VLOOKUP($A16,[2]Data!$B$1:$BK$65536,U$1-1956,FALSE)/100</f>
        <v>33065848.036564458</v>
      </c>
    </row>
    <row r="17" spans="1:21" x14ac:dyDescent="0.25">
      <c r="A17" t="s">
        <v>15</v>
      </c>
      <c r="B17" s="3">
        <f>VLOOKUP($A17,[1]Data!$B$1:$BK$65536,B$1-1956,FALSE)*VLOOKUP($A17,[2]Data!$B$1:$BK$65536,B$1-1956,FALSE)/100</f>
        <v>32222027.965153884</v>
      </c>
      <c r="C17" s="3">
        <f>VLOOKUP($A17,[1]Data!$B$1:$BK$65536,C$1-1956,FALSE)*VLOOKUP($A17,[2]Data!$B$1:$BK$65536,C$1-1956,FALSE)/100</f>
        <v>32506017.681207653</v>
      </c>
      <c r="D17" s="3">
        <f>VLOOKUP($A17,[1]Data!$B$1:$BK$65536,D$1-1956,FALSE)*VLOOKUP($A17,[2]Data!$B$1:$BK$65536,D$1-1956,FALSE)/100</f>
        <v>33081459.189659931</v>
      </c>
      <c r="E17" s="3">
        <f>VLOOKUP($A17,[1]Data!$B$1:$BK$65536,E$1-1956,FALSE)*VLOOKUP($A17,[2]Data!$B$1:$BK$65536,E$1-1956,FALSE)/100</f>
        <v>33430080.606094614</v>
      </c>
      <c r="F17" s="3">
        <f>VLOOKUP($A17,[1]Data!$B$1:$BK$65536,F$1-1956,FALSE)*VLOOKUP($A17,[2]Data!$B$1:$BK$65536,F$1-1956,FALSE)/100</f>
        <v>33772345.237595879</v>
      </c>
      <c r="G17" s="3">
        <f>VLOOKUP($A17,[1]Data!$B$1:$BK$65536,G$1-1956,FALSE)*VLOOKUP($A17,[2]Data!$B$1:$BK$65536,G$1-1956,FALSE)/100</f>
        <v>34172382.14712844</v>
      </c>
      <c r="H17" s="3">
        <f>VLOOKUP($A17,[1]Data!$B$1:$BK$65536,H$1-1956,FALSE)*VLOOKUP($A17,[2]Data!$B$1:$BK$65536,H$1-1956,FALSE)/100</f>
        <v>34364491.675201885</v>
      </c>
      <c r="I17" s="3">
        <f>VLOOKUP($A17,[1]Data!$B$1:$BK$65536,I$1-1956,FALSE)*VLOOKUP($A17,[2]Data!$B$1:$BK$65536,I$1-1956,FALSE)/100</f>
        <v>34533433.032561168</v>
      </c>
      <c r="J17" s="3">
        <f>VLOOKUP($A17,[1]Data!$B$1:$BK$65536,J$1-1956,FALSE)*VLOOKUP($A17,[2]Data!$B$1:$BK$65536,J$1-1956,FALSE)/100</f>
        <v>34845517.24310416</v>
      </c>
      <c r="K17" s="3">
        <f>VLOOKUP($A17,[1]Data!$B$1:$BK$65536,K$1-1956,FALSE)*VLOOKUP($A17,[2]Data!$B$1:$BK$65536,K$1-1956,FALSE)/100</f>
        <v>35149314.117497616</v>
      </c>
      <c r="L17" s="3">
        <f>VLOOKUP($A17,[1]Data!$B$1:$BK$65536,L$1-1956,FALSE)*VLOOKUP($A17,[2]Data!$B$1:$BK$65536,L$1-1956,FALSE)/100</f>
        <v>35530406.210058391</v>
      </c>
      <c r="M17" s="3">
        <f>VLOOKUP($A17,[1]Data!$B$1:$BK$65536,M$1-1956,FALSE)*VLOOKUP($A17,[2]Data!$B$1:$BK$65536,M$1-1956,FALSE)/100</f>
        <v>35760892.660451531</v>
      </c>
      <c r="N17" s="3">
        <f>VLOOKUP($A17,[1]Data!$B$1:$BK$65536,N$1-1956,FALSE)*VLOOKUP($A17,[2]Data!$B$1:$BK$65536,N$1-1956,FALSE)/100</f>
        <v>35985860.13886828</v>
      </c>
      <c r="O17" s="3">
        <f>VLOOKUP($A17,[1]Data!$B$1:$BK$65536,O$1-1956,FALSE)*VLOOKUP($A17,[2]Data!$B$1:$BK$65536,O$1-1956,FALSE)/100</f>
        <v>36292450.488045864</v>
      </c>
      <c r="P17" s="3">
        <f>VLOOKUP($A17,[1]Data!$B$1:$BK$65536,P$1-1956,FALSE)*VLOOKUP($A17,[2]Data!$B$1:$BK$65536,P$1-1956,FALSE)/100</f>
        <v>35729142.650681287</v>
      </c>
      <c r="Q17" s="3">
        <f>VLOOKUP($A17,[1]Data!$B$1:$BK$65536,Q$1-1956,FALSE)*VLOOKUP($A17,[2]Data!$B$1:$BK$65536,Q$1-1956,FALSE)/100</f>
        <v>35809465.391358733</v>
      </c>
      <c r="R17" s="3">
        <f>VLOOKUP($A17,[1]Data!$B$1:$BK$65536,R$1-1956,FALSE)*VLOOKUP($A17,[2]Data!$B$1:$BK$65536,R$1-1956,FALSE)/100</f>
        <v>35947451.505735368</v>
      </c>
      <c r="S17" s="3">
        <f>VLOOKUP($A17,[1]Data!$B$1:$BK$65536,S$1-1956,FALSE)*VLOOKUP($A17,[2]Data!$B$1:$BK$65536,S$1-1956,FALSE)/100</f>
        <v>36404673.844488136</v>
      </c>
      <c r="T17" s="3">
        <f>VLOOKUP($A17,[1]Data!$B$1:$BK$65536,T$1-1956,FALSE)*VLOOKUP($A17,[2]Data!$B$1:$BK$65536,T$1-1956,FALSE)/100</f>
        <v>36891712.813158423</v>
      </c>
      <c r="U17" s="3">
        <f>VLOOKUP($A17,[1]Data!$B$1:$BK$65536,U$1-1956,FALSE)*VLOOKUP($A17,[2]Data!$B$1:$BK$65536,U$1-1956,FALSE)/100</f>
        <v>37792344.329999998</v>
      </c>
    </row>
    <row r="18" spans="1:21" x14ac:dyDescent="0.25">
      <c r="A18" t="s">
        <v>16</v>
      </c>
      <c r="B18" s="3">
        <f>VLOOKUP($A18,[1]Data!$B$1:$BK$65536,B$1-1956,FALSE)*VLOOKUP($A18,[2]Data!$B$1:$BK$65536,B$1-1956,FALSE)/100</f>
        <v>4959459.1345487991</v>
      </c>
      <c r="C18" s="3">
        <f>VLOOKUP($A18,[1]Data!$B$1:$BK$65536,C$1-1956,FALSE)*VLOOKUP($A18,[2]Data!$B$1:$BK$65536,C$1-1956,FALSE)/100</f>
        <v>5012445.9405517559</v>
      </c>
      <c r="D18" s="3">
        <f>VLOOKUP($A18,[1]Data!$B$1:$BK$65536,D$1-1956,FALSE)*VLOOKUP($A18,[2]Data!$B$1:$BK$65536,D$1-1956,FALSE)/100</f>
        <v>5020813.5021663634</v>
      </c>
      <c r="E18" s="3">
        <f>VLOOKUP($A18,[1]Data!$B$1:$BK$65536,E$1-1956,FALSE)*VLOOKUP($A18,[2]Data!$B$1:$BK$65536,E$1-1956,FALSE)/100</f>
        <v>5065761.9411014579</v>
      </c>
      <c r="F18" s="3">
        <f>VLOOKUP($A18,[1]Data!$B$1:$BK$65536,F$1-1956,FALSE)*VLOOKUP($A18,[2]Data!$B$1:$BK$65536,F$1-1956,FALSE)/100</f>
        <v>5064455.2265894301</v>
      </c>
      <c r="G18" s="3">
        <f>VLOOKUP($A18,[1]Data!$B$1:$BK$65536,G$1-1956,FALSE)*VLOOKUP($A18,[2]Data!$B$1:$BK$65536,G$1-1956,FALSE)/100</f>
        <v>5118279.1392938234</v>
      </c>
      <c r="H18" s="3">
        <f>VLOOKUP($A18,[1]Data!$B$1:$BK$65536,H$1-1956,FALSE)*VLOOKUP($A18,[2]Data!$B$1:$BK$65536,H$1-1956,FALSE)/100</f>
        <v>5094122.5360804806</v>
      </c>
      <c r="I18" s="3">
        <f>VLOOKUP($A18,[1]Data!$B$1:$BK$65536,I$1-1956,FALSE)*VLOOKUP($A18,[2]Data!$B$1:$BK$65536,I$1-1956,FALSE)/100</f>
        <v>5173336.4031760367</v>
      </c>
      <c r="J18" s="3">
        <f>VLOOKUP($A18,[1]Data!$B$1:$BK$65536,J$1-1956,FALSE)*VLOOKUP($A18,[2]Data!$B$1:$BK$65536,J$1-1956,FALSE)/100</f>
        <v>5255964.6205696082</v>
      </c>
      <c r="K18" s="3">
        <f>VLOOKUP($A18,[1]Data!$B$1:$BK$65536,K$1-1956,FALSE)*VLOOKUP($A18,[2]Data!$B$1:$BK$65536,K$1-1956,FALSE)/100</f>
        <v>5298015.7456964925</v>
      </c>
      <c r="L18" s="3">
        <f>VLOOKUP($A18,[1]Data!$B$1:$BK$65536,L$1-1956,FALSE)*VLOOKUP($A18,[2]Data!$B$1:$BK$65536,L$1-1956,FALSE)/100</f>
        <v>5313355.3046763642</v>
      </c>
      <c r="M18" s="3">
        <f>VLOOKUP($A18,[1]Data!$B$1:$BK$65536,M$1-1956,FALSE)*VLOOKUP($A18,[2]Data!$B$1:$BK$65536,M$1-1956,FALSE)/100</f>
        <v>5391050.7455277992</v>
      </c>
      <c r="N18" s="3">
        <f>VLOOKUP($A18,[1]Data!$B$1:$BK$65536,N$1-1956,FALSE)*VLOOKUP($A18,[2]Data!$B$1:$BK$65536,N$1-1956,FALSE)/100</f>
        <v>5408890.58349251</v>
      </c>
      <c r="O18" s="3">
        <f>VLOOKUP($A18,[1]Data!$B$1:$BK$65536,O$1-1956,FALSE)*VLOOKUP($A18,[2]Data!$B$1:$BK$65536,O$1-1956,FALSE)/100</f>
        <v>5437780.0111306366</v>
      </c>
      <c r="P18" s="3">
        <f>VLOOKUP($A18,[1]Data!$B$1:$BK$65536,P$1-1956,FALSE)*VLOOKUP($A18,[2]Data!$B$1:$BK$65536,P$1-1956,FALSE)/100</f>
        <v>5366466.5438747359</v>
      </c>
      <c r="Q18" s="3">
        <f>VLOOKUP($A18,[1]Data!$B$1:$BK$65536,Q$1-1956,FALSE)*VLOOKUP($A18,[2]Data!$B$1:$BK$65536,Q$1-1956,FALSE)/100</f>
        <v>5183990.5649352213</v>
      </c>
      <c r="R18" s="3">
        <f>VLOOKUP($A18,[1]Data!$B$1:$BK$65536,R$1-1956,FALSE)*VLOOKUP($A18,[2]Data!$B$1:$BK$65536,R$1-1956,FALSE)/100</f>
        <v>4819526.3354473105</v>
      </c>
      <c r="S18" s="3">
        <f>VLOOKUP($A18,[1]Data!$B$1:$BK$65536,S$1-1956,FALSE)*VLOOKUP($A18,[2]Data!$B$1:$BK$65536,S$1-1956,FALSE)/100</f>
        <v>4393374.0726593789</v>
      </c>
      <c r="T18" s="3">
        <f>VLOOKUP($A18,[1]Data!$B$1:$BK$65536,T$1-1956,FALSE)*VLOOKUP($A18,[2]Data!$B$1:$BK$65536,T$1-1956,FALSE)/100</f>
        <v>4167766.9251762764</v>
      </c>
      <c r="U18" s="3">
        <f>VLOOKUP($A18,[1]Data!$B$1:$BK$65536,U$1-1956,FALSE)*VLOOKUP($A18,[2]Data!$B$1:$BK$65536,U$1-1956,FALSE)/100</f>
        <v>4169397.8348435992</v>
      </c>
    </row>
    <row r="19" spans="1:21" x14ac:dyDescent="0.25">
      <c r="A19" t="s">
        <v>17</v>
      </c>
      <c r="B19" s="3">
        <f>VLOOKUP($A19,[1]Data!$B$1:$BK$65536,B$1-1956,FALSE)*VLOOKUP($A19,[2]Data!$B$1:$BK$65536,B$1-1956,FALSE)/100</f>
        <v>4587093.3407392493</v>
      </c>
      <c r="C19" s="3">
        <f>VLOOKUP($A19,[1]Data!$B$1:$BK$65536,C$1-1956,FALSE)*VLOOKUP($A19,[2]Data!$B$1:$BK$65536,C$1-1956,FALSE)/100</f>
        <v>4462084.9527558079</v>
      </c>
      <c r="D19" s="3">
        <f>VLOOKUP($A19,[1]Data!$B$1:$BK$65536,D$1-1956,FALSE)*VLOOKUP($A19,[2]Data!$B$1:$BK$65536,D$1-1956,FALSE)/100</f>
        <v>4423159.7732428005</v>
      </c>
      <c r="E19" s="3">
        <f>VLOOKUP($A19,[1]Data!$B$1:$BK$65536,E$1-1956,FALSE)*VLOOKUP($A19,[2]Data!$B$1:$BK$65536,E$1-1956,FALSE)/100</f>
        <v>4475505.7065776857</v>
      </c>
      <c r="F19" s="3">
        <f>VLOOKUP($A19,[1]Data!$B$1:$BK$65536,F$1-1956,FALSE)*VLOOKUP($A19,[2]Data!$B$1:$BK$65536,F$1-1956,FALSE)/100</f>
        <v>4644460.2944606794</v>
      </c>
      <c r="G19" s="3">
        <f>VLOOKUP($A19,[1]Data!$B$1:$BK$65536,G$1-1956,FALSE)*VLOOKUP($A19,[2]Data!$B$1:$BK$65536,G$1-1956,FALSE)/100</f>
        <v>4673969.6879199548</v>
      </c>
      <c r="H19" s="3">
        <f>VLOOKUP($A19,[1]Data!$B$1:$BK$65536,H$1-1956,FALSE)*VLOOKUP($A19,[2]Data!$B$1:$BK$65536,H$1-1956,FALSE)/100</f>
        <v>4684553.2461840846</v>
      </c>
      <c r="I19" s="3">
        <f>VLOOKUP($A19,[1]Data!$B$1:$BK$65536,I$1-1956,FALSE)*VLOOKUP($A19,[2]Data!$B$1:$BK$65536,I$1-1956,FALSE)/100</f>
        <v>4676312.1167449923</v>
      </c>
      <c r="J19" s="3">
        <f>VLOOKUP($A19,[1]Data!$B$1:$BK$65536,J$1-1956,FALSE)*VLOOKUP($A19,[2]Data!$B$1:$BK$65536,J$1-1956,FALSE)/100</f>
        <v>4734856.4944512965</v>
      </c>
      <c r="K19" s="3">
        <f>VLOOKUP($A19,[1]Data!$B$1:$BK$65536,K$1-1956,FALSE)*VLOOKUP($A19,[2]Data!$B$1:$BK$65536,K$1-1956,FALSE)/100</f>
        <v>4698104.8479095493</v>
      </c>
      <c r="L19" s="3">
        <f>VLOOKUP($A19,[1]Data!$B$1:$BK$65536,L$1-1956,FALSE)*VLOOKUP($A19,[2]Data!$B$1:$BK$65536,L$1-1956,FALSE)/100</f>
        <v>4694721.7738300292</v>
      </c>
      <c r="M19" s="3">
        <f>VLOOKUP($A19,[1]Data!$B$1:$BK$65536,M$1-1956,FALSE)*VLOOKUP($A19,[2]Data!$B$1:$BK$65536,M$1-1956,FALSE)/100</f>
        <v>4710379.7951030759</v>
      </c>
      <c r="N19" s="3">
        <f>VLOOKUP($A19,[1]Data!$B$1:$BK$65536,N$1-1956,FALSE)*VLOOKUP($A19,[2]Data!$B$1:$BK$65536,N$1-1956,FALSE)/100</f>
        <v>4688808.9326858548</v>
      </c>
      <c r="O19" s="3">
        <f>VLOOKUP($A19,[1]Data!$B$1:$BK$65536,O$1-1956,FALSE)*VLOOKUP($A19,[2]Data!$B$1:$BK$65536,O$1-1956,FALSE)/100</f>
        <v>4627303.5346136466</v>
      </c>
      <c r="P19" s="3">
        <f>VLOOKUP($A19,[1]Data!$B$1:$BK$65536,P$1-1956,FALSE)*VLOOKUP($A19,[2]Data!$B$1:$BK$65536,P$1-1956,FALSE)/100</f>
        <v>4507085.6559028598</v>
      </c>
      <c r="Q19" s="3">
        <f>VLOOKUP($A19,[1]Data!$B$1:$BK$65536,Q$1-1956,FALSE)*VLOOKUP($A19,[2]Data!$B$1:$BK$65536,Q$1-1956,FALSE)/100</f>
        <v>4485910.4335370669</v>
      </c>
      <c r="R19" s="3">
        <f>VLOOKUP($A19,[1]Data!$B$1:$BK$65536,R$1-1956,FALSE)*VLOOKUP($A19,[2]Data!$B$1:$BK$65536,R$1-1956,FALSE)/100</f>
        <v>4503132.2354906835</v>
      </c>
      <c r="S19" s="3">
        <f>VLOOKUP($A19,[1]Data!$B$1:$BK$65536,S$1-1956,FALSE)*VLOOKUP($A19,[2]Data!$B$1:$BK$65536,S$1-1956,FALSE)/100</f>
        <v>4554041.2041276582</v>
      </c>
      <c r="T19" s="3">
        <f>VLOOKUP($A19,[1]Data!$B$1:$BK$65536,T$1-1956,FALSE)*VLOOKUP($A19,[2]Data!$B$1:$BK$65536,T$1-1956,FALSE)/100</f>
        <v>4626697.4898687713</v>
      </c>
      <c r="U19" s="3">
        <f>VLOOKUP($A19,[1]Data!$B$1:$BK$65536,U$1-1956,FALSE)*VLOOKUP($A19,[2]Data!$B$1:$BK$65536,U$1-1956,FALSE)/100</f>
        <v>4884592.3097489905</v>
      </c>
    </row>
    <row r="20" spans="1:21" x14ac:dyDescent="0.25">
      <c r="A20" t="s">
        <v>18</v>
      </c>
      <c r="B20" s="3">
        <f>VLOOKUP($A20,[1]Data!$B$1:$BK$65536,B$1-1956,FALSE)*VLOOKUP($A20,[2]Data!$B$1:$BK$65536,B$1-1956,FALSE)/100</f>
        <v>124356107.63930137</v>
      </c>
      <c r="C20" s="3">
        <f>VLOOKUP($A20,[1]Data!$B$1:$BK$65536,C$1-1956,FALSE)*VLOOKUP($A20,[2]Data!$B$1:$BK$65536,C$1-1956,FALSE)/100</f>
        <v>125997741.56819952</v>
      </c>
      <c r="D20" s="3">
        <f>VLOOKUP($A20,[1]Data!$B$1:$BK$65536,D$1-1956,FALSE)*VLOOKUP($A20,[2]Data!$B$1:$BK$65536,D$1-1956,FALSE)/100</f>
        <v>127807029.4083436</v>
      </c>
      <c r="E20" s="3">
        <f>VLOOKUP($A20,[1]Data!$B$1:$BK$65536,E$1-1956,FALSE)*VLOOKUP($A20,[2]Data!$B$1:$BK$65536,E$1-1956,FALSE)/100</f>
        <v>130293612.34389412</v>
      </c>
      <c r="F20" s="3">
        <f>VLOOKUP($A20,[1]Data!$B$1:$BK$65536,F$1-1956,FALSE)*VLOOKUP($A20,[2]Data!$B$1:$BK$65536,F$1-1956,FALSE)/100</f>
        <v>132510271.29803185</v>
      </c>
      <c r="G20" s="3">
        <f>VLOOKUP($A20,[1]Data!$B$1:$BK$65536,G$1-1956,FALSE)*VLOOKUP($A20,[2]Data!$B$1:$BK$65536,G$1-1956,FALSE)/100</f>
        <v>133579438.35734433</v>
      </c>
      <c r="H20" s="3">
        <f>VLOOKUP($A20,[1]Data!$B$1:$BK$65536,H$1-1956,FALSE)*VLOOKUP($A20,[2]Data!$B$1:$BK$65536,H$1-1956,FALSE)/100</f>
        <v>133652612.9423833</v>
      </c>
      <c r="I20" s="3">
        <f>VLOOKUP($A20,[1]Data!$B$1:$BK$65536,I$1-1956,FALSE)*VLOOKUP($A20,[2]Data!$B$1:$BK$65536,I$1-1956,FALSE)/100</f>
        <v>132316556.48875</v>
      </c>
      <c r="J20" s="3">
        <f>VLOOKUP($A20,[1]Data!$B$1:$BK$65536,J$1-1956,FALSE)*VLOOKUP($A20,[2]Data!$B$1:$BK$65536,J$1-1956,FALSE)/100</f>
        <v>133170461.63370672</v>
      </c>
      <c r="K20" s="3">
        <f>VLOOKUP($A20,[1]Data!$B$1:$BK$65536,K$1-1956,FALSE)*VLOOKUP($A20,[2]Data!$B$1:$BK$65536,K$1-1956,FALSE)/100</f>
        <v>134616704.47442639</v>
      </c>
      <c r="L20" s="3">
        <f>VLOOKUP($A20,[1]Data!$B$1:$BK$65536,L$1-1956,FALSE)*VLOOKUP($A20,[2]Data!$B$1:$BK$65536,L$1-1956,FALSE)/100</f>
        <v>133126099.34448399</v>
      </c>
      <c r="M20" s="3">
        <f>VLOOKUP($A20,[1]Data!$B$1:$BK$65536,M$1-1956,FALSE)*VLOOKUP($A20,[2]Data!$B$1:$BK$65536,M$1-1956,FALSE)/100</f>
        <v>135777048.90779153</v>
      </c>
      <c r="N20" s="3">
        <f>VLOOKUP($A20,[1]Data!$B$1:$BK$65536,N$1-1956,FALSE)*VLOOKUP($A20,[2]Data!$B$1:$BK$65536,N$1-1956,FALSE)/100</f>
        <v>141601894.31388491</v>
      </c>
      <c r="O20" s="3">
        <f>VLOOKUP($A20,[1]Data!$B$1:$BK$65536,O$1-1956,FALSE)*VLOOKUP($A20,[2]Data!$B$1:$BK$65536,O$1-1956,FALSE)/100</f>
        <v>145612147.77595237</v>
      </c>
      <c r="P20" s="3">
        <f>VLOOKUP($A20,[1]Data!$B$1:$BK$65536,P$1-1956,FALSE)*VLOOKUP($A20,[2]Data!$B$1:$BK$65536,P$1-1956,FALSE)/100</f>
        <v>149345456.06126177</v>
      </c>
      <c r="Q20" s="3">
        <f>VLOOKUP($A20,[1]Data!$B$1:$BK$65536,Q$1-1956,FALSE)*VLOOKUP($A20,[2]Data!$B$1:$BK$65536,Q$1-1956,FALSE)/100</f>
        <v>153361586.67002326</v>
      </c>
      <c r="R20" s="3">
        <f>VLOOKUP($A20,[1]Data!$B$1:$BK$65536,R$1-1956,FALSE)*VLOOKUP($A20,[2]Data!$B$1:$BK$65536,R$1-1956,FALSE)/100</f>
        <v>156398845.80193183</v>
      </c>
      <c r="S20" s="3">
        <f>VLOOKUP($A20,[1]Data!$B$1:$BK$65536,S$1-1956,FALSE)*VLOOKUP($A20,[2]Data!$B$1:$BK$65536,S$1-1956,FALSE)/100</f>
        <v>160766104.6996299</v>
      </c>
      <c r="T20" s="3">
        <f>VLOOKUP($A20,[1]Data!$B$1:$BK$65536,T$1-1956,FALSE)*VLOOKUP($A20,[2]Data!$B$1:$BK$65536,T$1-1956,FALSE)/100</f>
        <v>161518691.42912015</v>
      </c>
      <c r="U20" s="3">
        <f>VLOOKUP($A20,[1]Data!$B$1:$BK$65536,U$1-1956,FALSE)*VLOOKUP($A20,[2]Data!$B$1:$BK$65536,U$1-1956,FALSE)/100</f>
        <v>163558106.24443489</v>
      </c>
    </row>
    <row r="21" spans="1:21" x14ac:dyDescent="0.25">
      <c r="A21" t="s">
        <v>19</v>
      </c>
      <c r="B21" s="3">
        <f>VLOOKUP($A21,[1]Data!$B$1:$BK$65536,B$1-1956,FALSE)*VLOOKUP($A21,[2]Data!$B$1:$BK$65536,B$1-1956,FALSE)/100</f>
        <v>529916428.04470861</v>
      </c>
      <c r="C21" s="3">
        <f>VLOOKUP($A21,[1]Data!$B$1:$BK$65536,C$1-1956,FALSE)*VLOOKUP($A21,[2]Data!$B$1:$BK$65536,C$1-1956,FALSE)/100</f>
        <v>538571933.71346593</v>
      </c>
      <c r="D21" s="3">
        <f>VLOOKUP($A21,[1]Data!$B$1:$BK$65536,D$1-1956,FALSE)*VLOOKUP($A21,[2]Data!$B$1:$BK$65536,D$1-1956,FALSE)/100</f>
        <v>547392212.66172993</v>
      </c>
      <c r="E21" s="3">
        <f>VLOOKUP($A21,[1]Data!$B$1:$BK$65536,E$1-1956,FALSE)*VLOOKUP($A21,[2]Data!$B$1:$BK$65536,E$1-1956,FALSE)/100</f>
        <v>556169081.49014771</v>
      </c>
      <c r="F21" s="3">
        <f>VLOOKUP($A21,[1]Data!$B$1:$BK$65536,F$1-1956,FALSE)*VLOOKUP($A21,[2]Data!$B$1:$BK$65536,F$1-1956,FALSE)/100</f>
        <v>564610199.59193182</v>
      </c>
      <c r="G21" s="3">
        <f>VLOOKUP($A21,[1]Data!$B$1:$BK$65536,G$1-1956,FALSE)*VLOOKUP($A21,[2]Data!$B$1:$BK$65536,G$1-1956,FALSE)/100</f>
        <v>573530355.30780184</v>
      </c>
      <c r="H21" s="3">
        <f>VLOOKUP($A21,[1]Data!$B$1:$BK$65536,H$1-1956,FALSE)*VLOOKUP($A21,[2]Data!$B$1:$BK$65536,H$1-1956,FALSE)/100</f>
        <v>584595801.80093753</v>
      </c>
      <c r="I21" s="3">
        <f>VLOOKUP($A21,[1]Data!$B$1:$BK$65536,I$1-1956,FALSE)*VLOOKUP($A21,[2]Data!$B$1:$BK$65536,I$1-1956,FALSE)/100</f>
        <v>595354926.41632509</v>
      </c>
      <c r="J21" s="3">
        <f>VLOOKUP($A21,[1]Data!$B$1:$BK$65536,J$1-1956,FALSE)*VLOOKUP($A21,[2]Data!$B$1:$BK$65536,J$1-1956,FALSE)/100</f>
        <v>606569285.41436148</v>
      </c>
      <c r="K21" s="3">
        <f>VLOOKUP($A21,[1]Data!$B$1:$BK$65536,K$1-1956,FALSE)*VLOOKUP($A21,[2]Data!$B$1:$BK$65536,K$1-1956,FALSE)/100</f>
        <v>618299405.53627479</v>
      </c>
      <c r="L21" s="3">
        <f>VLOOKUP($A21,[1]Data!$B$1:$BK$65536,L$1-1956,FALSE)*VLOOKUP($A21,[2]Data!$B$1:$BK$65536,L$1-1956,FALSE)/100</f>
        <v>630255881.099774</v>
      </c>
      <c r="M21" s="3">
        <f>VLOOKUP($A21,[1]Data!$B$1:$BK$65536,M$1-1956,FALSE)*VLOOKUP($A21,[2]Data!$B$1:$BK$65536,M$1-1956,FALSE)/100</f>
        <v>631332254.03330576</v>
      </c>
      <c r="N21" s="3">
        <f>VLOOKUP($A21,[1]Data!$B$1:$BK$65536,N$1-1956,FALSE)*VLOOKUP($A21,[2]Data!$B$1:$BK$65536,N$1-1956,FALSE)/100</f>
        <v>632247997.61210918</v>
      </c>
      <c r="O21" s="3">
        <f>VLOOKUP($A21,[1]Data!$B$1:$BK$65536,O$1-1956,FALSE)*VLOOKUP($A21,[2]Data!$B$1:$BK$65536,O$1-1956,FALSE)/100</f>
        <v>632500835.76397943</v>
      </c>
      <c r="P21" s="3">
        <f>VLOOKUP($A21,[1]Data!$B$1:$BK$65536,P$1-1956,FALSE)*VLOOKUP($A21,[2]Data!$B$1:$BK$65536,P$1-1956,FALSE)/100</f>
        <v>630319456.04339921</v>
      </c>
      <c r="Q21" s="3">
        <f>VLOOKUP($A21,[1]Data!$B$1:$BK$65536,Q$1-1956,FALSE)*VLOOKUP($A21,[2]Data!$B$1:$BK$65536,Q$1-1956,FALSE)/100</f>
        <v>629285926.02636373</v>
      </c>
      <c r="R21" s="3">
        <f>VLOOKUP($A21,[1]Data!$B$1:$BK$65536,R$1-1956,FALSE)*VLOOKUP($A21,[2]Data!$B$1:$BK$65536,R$1-1956,FALSE)/100</f>
        <v>626432169.90358412</v>
      </c>
      <c r="S21" s="3">
        <f>VLOOKUP($A21,[1]Data!$B$1:$BK$65536,S$1-1956,FALSE)*VLOOKUP($A21,[2]Data!$B$1:$BK$65536,S$1-1956,FALSE)/100</f>
        <v>623334721.41548169</v>
      </c>
      <c r="T21" s="3">
        <f>VLOOKUP($A21,[1]Data!$B$1:$BK$65536,T$1-1956,FALSE)*VLOOKUP($A21,[2]Data!$B$1:$BK$65536,T$1-1956,FALSE)/100</f>
        <v>624976043.76716459</v>
      </c>
      <c r="U21" s="3">
        <f>VLOOKUP($A21,[1]Data!$B$1:$BK$65536,U$1-1956,FALSE)*VLOOKUP($A21,[2]Data!$B$1:$BK$65536,U$1-1956,FALSE)/100</f>
        <v>626942856.72985911</v>
      </c>
    </row>
    <row r="22" spans="1:21" x14ac:dyDescent="0.25">
      <c r="A22" t="s">
        <v>20</v>
      </c>
      <c r="B22" s="3">
        <f>VLOOKUP($A22,[1]Data!$B$1:$BK$65536,B$1-1956,FALSE)*VLOOKUP($A22,[2]Data!$B$1:$BK$65536,B$1-1956,FALSE)/100</f>
        <v>1798249.3301274481</v>
      </c>
      <c r="C22" s="3">
        <f>VLOOKUP($A22,[1]Data!$B$1:$BK$65536,C$1-1956,FALSE)*VLOOKUP($A22,[2]Data!$B$1:$BK$65536,C$1-1956,FALSE)/100</f>
        <v>1843708.3485721585</v>
      </c>
      <c r="D22" s="3">
        <f>VLOOKUP($A22,[1]Data!$B$1:$BK$65536,D$1-1956,FALSE)*VLOOKUP($A22,[2]Data!$B$1:$BK$65536,D$1-1956,FALSE)/100</f>
        <v>1916888.5266367733</v>
      </c>
      <c r="E22" s="3">
        <f>VLOOKUP($A22,[1]Data!$B$1:$BK$65536,E$1-1956,FALSE)*VLOOKUP($A22,[2]Data!$B$1:$BK$65536,E$1-1956,FALSE)/100</f>
        <v>2058652.8537600723</v>
      </c>
      <c r="F22" s="3">
        <f>VLOOKUP($A22,[1]Data!$B$1:$BK$65536,F$1-1956,FALSE)*VLOOKUP($A22,[2]Data!$B$1:$BK$65536,F$1-1956,FALSE)/100</f>
        <v>2179878.550993043</v>
      </c>
      <c r="G22" s="3">
        <f>VLOOKUP($A22,[1]Data!$B$1:$BK$65536,G$1-1956,FALSE)*VLOOKUP($A22,[2]Data!$B$1:$BK$65536,G$1-1956,FALSE)/100</f>
        <v>2276521.4362062821</v>
      </c>
      <c r="H22" s="3">
        <f>VLOOKUP($A22,[1]Data!$B$1:$BK$65536,H$1-1956,FALSE)*VLOOKUP($A22,[2]Data!$B$1:$BK$65536,H$1-1956,FALSE)/100</f>
        <v>2325081.2342181415</v>
      </c>
      <c r="I22" s="3">
        <f>VLOOKUP($A22,[1]Data!$B$1:$BK$65536,I$1-1956,FALSE)*VLOOKUP($A22,[2]Data!$B$1:$BK$65536,I$1-1956,FALSE)/100</f>
        <v>2357044.9150218195</v>
      </c>
      <c r="J22" s="3">
        <f>VLOOKUP($A22,[1]Data!$B$1:$BK$65536,J$1-1956,FALSE)*VLOOKUP($A22,[2]Data!$B$1:$BK$65536,J$1-1956,FALSE)/100</f>
        <v>2396993.4477360132</v>
      </c>
      <c r="K22" s="3">
        <f>VLOOKUP($A22,[1]Data!$B$1:$BK$65536,K$1-1956,FALSE)*VLOOKUP($A22,[2]Data!$B$1:$BK$65536,K$1-1956,FALSE)/100</f>
        <v>2451803.7010656758</v>
      </c>
      <c r="L22" s="3">
        <f>VLOOKUP($A22,[1]Data!$B$1:$BK$65536,L$1-1956,FALSE)*VLOOKUP($A22,[2]Data!$B$1:$BK$65536,L$1-1956,FALSE)/100</f>
        <v>2590960.8522635642</v>
      </c>
      <c r="M22" s="3">
        <f>VLOOKUP($A22,[1]Data!$B$1:$BK$65536,M$1-1956,FALSE)*VLOOKUP($A22,[2]Data!$B$1:$BK$65536,M$1-1956,FALSE)/100</f>
        <v>2690225.5671049142</v>
      </c>
      <c r="N22" s="3">
        <f>VLOOKUP($A22,[1]Data!$B$1:$BK$65536,N$1-1956,FALSE)*VLOOKUP($A22,[2]Data!$B$1:$BK$65536,N$1-1956,FALSE)/100</f>
        <v>2777447.9866950973</v>
      </c>
      <c r="O22" s="3">
        <f>VLOOKUP($A22,[1]Data!$B$1:$BK$65536,O$1-1956,FALSE)*VLOOKUP($A22,[2]Data!$B$1:$BK$65536,O$1-1956,FALSE)/100</f>
        <v>2755008.7509555053</v>
      </c>
      <c r="P22" s="3">
        <f>VLOOKUP($A22,[1]Data!$B$1:$BK$65536,P$1-1956,FALSE)*VLOOKUP($A22,[2]Data!$B$1:$BK$65536,P$1-1956,FALSE)/100</f>
        <v>2544436.1364793754</v>
      </c>
      <c r="Q22" s="3">
        <f>VLOOKUP($A22,[1]Data!$B$1:$BK$65536,Q$1-1956,FALSE)*VLOOKUP($A22,[2]Data!$B$1:$BK$65536,Q$1-1956,FALSE)/100</f>
        <v>2453545.8351661689</v>
      </c>
      <c r="R22" s="3">
        <f>VLOOKUP($A22,[1]Data!$B$1:$BK$65536,R$1-1956,FALSE)*VLOOKUP($A22,[2]Data!$B$1:$BK$65536,R$1-1956,FALSE)/100</f>
        <v>2416314.9144822685</v>
      </c>
      <c r="S22" s="3">
        <f>VLOOKUP($A22,[1]Data!$B$1:$BK$65536,S$1-1956,FALSE)*VLOOKUP($A22,[2]Data!$B$1:$BK$65536,S$1-1956,FALSE)/100</f>
        <v>2412777.0594979869</v>
      </c>
      <c r="T22" s="3">
        <f>VLOOKUP($A22,[1]Data!$B$1:$BK$65536,T$1-1956,FALSE)*VLOOKUP($A22,[2]Data!$B$1:$BK$65536,T$1-1956,FALSE)/100</f>
        <v>2488399.1188073712</v>
      </c>
      <c r="U22" s="3">
        <f>VLOOKUP($A22,[1]Data!$B$1:$BK$65536,U$1-1956,FALSE)*VLOOKUP($A22,[2]Data!$B$1:$BK$65536,U$1-1956,FALSE)/100</f>
        <v>2552720.9730285658</v>
      </c>
    </row>
    <row r="23" spans="1:21" x14ac:dyDescent="0.25">
      <c r="A23" t="s">
        <v>21</v>
      </c>
      <c r="B23" s="3">
        <f>VLOOKUP($A23,[1]Data!$B$1:$BK$65536,B$1-1956,FALSE)*VLOOKUP($A23,[2]Data!$B$1:$BK$65536,B$1-1956,FALSE)/100</f>
        <v>23767740.126487542</v>
      </c>
      <c r="C23" s="3">
        <f>VLOOKUP($A23,[1]Data!$B$1:$BK$65536,C$1-1956,FALSE)*VLOOKUP($A23,[2]Data!$B$1:$BK$65536,C$1-1956,FALSE)/100</f>
        <v>23755656.417237639</v>
      </c>
      <c r="D23" s="3">
        <f>VLOOKUP($A23,[1]Data!$B$1:$BK$65536,D$1-1956,FALSE)*VLOOKUP($A23,[2]Data!$B$1:$BK$65536,D$1-1956,FALSE)/100</f>
        <v>23704511.197070602</v>
      </c>
      <c r="E23" s="3">
        <f>VLOOKUP($A23,[1]Data!$B$1:$BK$65536,E$1-1956,FALSE)*VLOOKUP($A23,[2]Data!$B$1:$BK$65536,E$1-1956,FALSE)/100</f>
        <v>23773361.929169923</v>
      </c>
      <c r="F23" s="3">
        <f>VLOOKUP($A23,[1]Data!$B$1:$BK$65536,F$1-1956,FALSE)*VLOOKUP($A23,[2]Data!$B$1:$BK$65536,F$1-1956,FALSE)/100</f>
        <v>23993072.736570753</v>
      </c>
      <c r="G23" s="3">
        <f>VLOOKUP($A23,[1]Data!$B$1:$BK$65536,G$1-1956,FALSE)*VLOOKUP($A23,[2]Data!$B$1:$BK$65536,G$1-1956,FALSE)/100</f>
        <v>24224311.481095873</v>
      </c>
      <c r="H23" s="3">
        <f>VLOOKUP($A23,[1]Data!$B$1:$BK$65536,H$1-1956,FALSE)*VLOOKUP($A23,[2]Data!$B$1:$BK$65536,H$1-1956,FALSE)/100</f>
        <v>24669784.865322083</v>
      </c>
      <c r="I23" s="3">
        <f>VLOOKUP($A23,[1]Data!$B$1:$BK$65536,I$1-1956,FALSE)*VLOOKUP($A23,[2]Data!$B$1:$BK$65536,I$1-1956,FALSE)/100</f>
        <v>25042627.54740392</v>
      </c>
      <c r="J23" s="3">
        <f>VLOOKUP($A23,[1]Data!$B$1:$BK$65536,J$1-1956,FALSE)*VLOOKUP($A23,[2]Data!$B$1:$BK$65536,J$1-1956,FALSE)/100</f>
        <v>25464256.267806031</v>
      </c>
      <c r="K23" s="3">
        <f>VLOOKUP($A23,[1]Data!$B$1:$BK$65536,K$1-1956,FALSE)*VLOOKUP($A23,[2]Data!$B$1:$BK$65536,K$1-1956,FALSE)/100</f>
        <v>26318930.443750001</v>
      </c>
      <c r="L23" s="3">
        <f>VLOOKUP($A23,[1]Data!$B$1:$BK$65536,L$1-1956,FALSE)*VLOOKUP($A23,[2]Data!$B$1:$BK$65536,L$1-1956,FALSE)/100</f>
        <v>26183656.108538803</v>
      </c>
      <c r="M23" s="3">
        <f>VLOOKUP($A23,[1]Data!$B$1:$BK$65536,M$1-1956,FALSE)*VLOOKUP($A23,[2]Data!$B$1:$BK$65536,M$1-1956,FALSE)/100</f>
        <v>26502607.81324365</v>
      </c>
      <c r="N23" s="3">
        <f>VLOOKUP($A23,[1]Data!$B$1:$BK$65536,N$1-1956,FALSE)*VLOOKUP($A23,[2]Data!$B$1:$BK$65536,N$1-1956,FALSE)/100</f>
        <v>26682348.194741432</v>
      </c>
      <c r="O23" s="3">
        <f>VLOOKUP($A23,[1]Data!$B$1:$BK$65536,O$1-1956,FALSE)*VLOOKUP($A23,[2]Data!$B$1:$BK$65536,O$1-1956,FALSE)/100</f>
        <v>26848519.66935011</v>
      </c>
      <c r="P23" s="3">
        <f>VLOOKUP($A23,[1]Data!$B$1:$BK$65536,P$1-1956,FALSE)*VLOOKUP($A23,[2]Data!$B$1:$BK$65536,P$1-1956,FALSE)/100</f>
        <v>26326984.656638116</v>
      </c>
      <c r="Q23" s="3">
        <f>VLOOKUP($A23,[1]Data!$B$1:$BK$65536,Q$1-1956,FALSE)*VLOOKUP($A23,[2]Data!$B$1:$BK$65536,Q$1-1956,FALSE)/100</f>
        <v>26087990.226748239</v>
      </c>
      <c r="R23" s="3">
        <f>VLOOKUP($A23,[1]Data!$B$1:$BK$65536,R$1-1956,FALSE)*VLOOKUP($A23,[2]Data!$B$1:$BK$65536,R$1-1956,FALSE)/100</f>
        <v>26102018.300147038</v>
      </c>
      <c r="S23" s="3">
        <f>VLOOKUP($A23,[1]Data!$B$1:$BK$65536,S$1-1956,FALSE)*VLOOKUP($A23,[2]Data!$B$1:$BK$65536,S$1-1956,FALSE)/100</f>
        <v>26014093.951123487</v>
      </c>
      <c r="T23" s="3">
        <f>VLOOKUP($A23,[1]Data!$B$1:$BK$65536,T$1-1956,FALSE)*VLOOKUP($A23,[2]Data!$B$1:$BK$65536,T$1-1956,FALSE)/100</f>
        <v>25695802.124890283</v>
      </c>
      <c r="U23" s="3">
        <f>VLOOKUP($A23,[1]Data!$B$1:$BK$65536,U$1-1956,FALSE)*VLOOKUP($A23,[2]Data!$B$1:$BK$65536,U$1-1956,FALSE)/100</f>
        <v>25910763.367524713</v>
      </c>
    </row>
    <row r="24" spans="1:21" x14ac:dyDescent="0.25">
      <c r="A24" t="s">
        <v>22</v>
      </c>
      <c r="B24" s="3">
        <f>VLOOKUP($A24,[1]Data!$B$1:$BK$65536,B$1-1956,FALSE)*VLOOKUP($A24,[2]Data!$B$1:$BK$65536,B$1-1956,FALSE)/100</f>
        <v>77250353.300628707</v>
      </c>
      <c r="C24" s="3">
        <f>VLOOKUP($A24,[1]Data!$B$1:$BK$65536,C$1-1956,FALSE)*VLOOKUP($A24,[2]Data!$B$1:$BK$65536,C$1-1956,FALSE)/100</f>
        <v>77383312.878913864</v>
      </c>
      <c r="D24" s="3">
        <f>VLOOKUP($A24,[1]Data!$B$1:$BK$65536,D$1-1956,FALSE)*VLOOKUP($A24,[2]Data!$B$1:$BK$65536,D$1-1956,FALSE)/100</f>
        <v>77793557.987251282</v>
      </c>
      <c r="E24" s="3">
        <f>VLOOKUP($A24,[1]Data!$B$1:$BK$65536,E$1-1956,FALSE)*VLOOKUP($A24,[2]Data!$B$1:$BK$65536,E$1-1956,FALSE)/100</f>
        <v>77044590.881347612</v>
      </c>
      <c r="F24" s="3">
        <f>VLOOKUP($A24,[1]Data!$B$1:$BK$65536,F$1-1956,FALSE)*VLOOKUP($A24,[2]Data!$B$1:$BK$65536,F$1-1956,FALSE)/100</f>
        <v>76082438.347473189</v>
      </c>
      <c r="G24" s="3">
        <f>VLOOKUP($A24,[1]Data!$B$1:$BK$65536,G$1-1956,FALSE)*VLOOKUP($A24,[2]Data!$B$1:$BK$65536,G$1-1956,FALSE)/100</f>
        <v>75658043.397102416</v>
      </c>
      <c r="H24" s="3">
        <f>VLOOKUP($A24,[1]Data!$B$1:$BK$65536,H$1-1956,FALSE)*VLOOKUP($A24,[2]Data!$B$1:$BK$65536,H$1-1956,FALSE)/100</f>
        <v>75181934.266548097</v>
      </c>
      <c r="I24" s="3">
        <f>VLOOKUP($A24,[1]Data!$B$1:$BK$65536,I$1-1956,FALSE)*VLOOKUP($A24,[2]Data!$B$1:$BK$65536,I$1-1956,FALSE)/100</f>
        <v>74206127.916908324</v>
      </c>
      <c r="J24" s="3">
        <f>VLOOKUP($A24,[1]Data!$B$1:$BK$65536,J$1-1956,FALSE)*VLOOKUP($A24,[2]Data!$B$1:$BK$65536,J$1-1956,FALSE)/100</f>
        <v>73987037.789764434</v>
      </c>
      <c r="K24" s="3">
        <f>VLOOKUP($A24,[1]Data!$B$1:$BK$65536,K$1-1956,FALSE)*VLOOKUP($A24,[2]Data!$B$1:$BK$65536,K$1-1956,FALSE)/100</f>
        <v>73922515.379791304</v>
      </c>
      <c r="L24" s="3">
        <f>VLOOKUP($A24,[1]Data!$B$1:$BK$65536,L$1-1956,FALSE)*VLOOKUP($A24,[2]Data!$B$1:$BK$65536,L$1-1956,FALSE)/100</f>
        <v>74036787.431945756</v>
      </c>
      <c r="M24" s="3">
        <f>VLOOKUP($A24,[1]Data!$B$1:$BK$65536,M$1-1956,FALSE)*VLOOKUP($A24,[2]Data!$B$1:$BK$65536,M$1-1956,FALSE)/100</f>
        <v>74223084.414825454</v>
      </c>
      <c r="N24" s="3">
        <f>VLOOKUP($A24,[1]Data!$B$1:$BK$65536,N$1-1956,FALSE)*VLOOKUP($A24,[2]Data!$B$1:$BK$65536,N$1-1956,FALSE)/100</f>
        <v>74670661.484985411</v>
      </c>
      <c r="O24" s="3">
        <f>VLOOKUP($A24,[1]Data!$B$1:$BK$65536,O$1-1956,FALSE)*VLOOKUP($A24,[2]Data!$B$1:$BK$65536,O$1-1956,FALSE)/100</f>
        <v>74480160.678062424</v>
      </c>
      <c r="P24" s="3">
        <f>VLOOKUP($A24,[1]Data!$B$1:$BK$65536,P$1-1956,FALSE)*VLOOKUP($A24,[2]Data!$B$1:$BK$65536,P$1-1956,FALSE)/100</f>
        <v>73360687.005538896</v>
      </c>
      <c r="Q24" s="3">
        <f>VLOOKUP($A24,[1]Data!$B$1:$BK$65536,Q$1-1956,FALSE)*VLOOKUP($A24,[2]Data!$B$1:$BK$65536,Q$1-1956,FALSE)/100</f>
        <v>73013989.732360885</v>
      </c>
      <c r="R24" s="3">
        <f>VLOOKUP($A24,[1]Data!$B$1:$BK$65536,R$1-1956,FALSE)*VLOOKUP($A24,[2]Data!$B$1:$BK$65536,R$1-1956,FALSE)/100</f>
        <v>72735696.446342409</v>
      </c>
      <c r="S24" s="3">
        <f>VLOOKUP($A24,[1]Data!$B$1:$BK$65536,S$1-1956,FALSE)*VLOOKUP($A24,[2]Data!$B$1:$BK$65536,S$1-1956,FALSE)/100</f>
        <v>72405206.704673737</v>
      </c>
      <c r="T24" s="3">
        <f>VLOOKUP($A24,[1]Data!$B$1:$BK$65536,T$1-1956,FALSE)*VLOOKUP($A24,[2]Data!$B$1:$BK$65536,T$1-1956,FALSE)/100</f>
        <v>72932951.666831911</v>
      </c>
      <c r="U24" s="3">
        <f>VLOOKUP($A24,[1]Data!$B$1:$BK$65536,U$1-1956,FALSE)*VLOOKUP($A24,[2]Data!$B$1:$BK$65536,U$1-1956,FALSE)/100</f>
        <v>73393706.565246522</v>
      </c>
    </row>
    <row r="25" spans="1:21" x14ac:dyDescent="0.25">
      <c r="A25" t="s">
        <v>23</v>
      </c>
      <c r="B25" s="3">
        <f>VLOOKUP($A25,[1]Data!$B$1:$BK$65536,B$1-1956,FALSE)*VLOOKUP($A25,[2]Data!$B$1:$BK$65536,B$1-1956,FALSE)/100</f>
        <v>27226245.362870418</v>
      </c>
      <c r="C25" s="3">
        <f>VLOOKUP($A25,[1]Data!$B$1:$BK$65536,C$1-1956,FALSE)*VLOOKUP($A25,[2]Data!$B$1:$BK$65536,C$1-1956,FALSE)/100</f>
        <v>27658520.427806038</v>
      </c>
      <c r="D25" s="3">
        <f>VLOOKUP($A25,[1]Data!$B$1:$BK$65536,D$1-1956,FALSE)*VLOOKUP($A25,[2]Data!$B$1:$BK$65536,D$1-1956,FALSE)/100</f>
        <v>27987568.054673776</v>
      </c>
      <c r="E25" s="3">
        <f>VLOOKUP($A25,[1]Data!$B$1:$BK$65536,E$1-1956,FALSE)*VLOOKUP($A25,[2]Data!$B$1:$BK$65536,E$1-1956,FALSE)/100</f>
        <v>26143541.90405849</v>
      </c>
      <c r="F25" s="3">
        <f>VLOOKUP($A25,[1]Data!$B$1:$BK$65536,F$1-1956,FALSE)*VLOOKUP($A25,[2]Data!$B$1:$BK$65536,F$1-1956,FALSE)/100</f>
        <v>26479204.001736857</v>
      </c>
      <c r="G25" s="3">
        <f>VLOOKUP($A25,[1]Data!$B$1:$BK$65536,G$1-1956,FALSE)*VLOOKUP($A25,[2]Data!$B$1:$BK$65536,G$1-1956,FALSE)/100</f>
        <v>27472011.038945675</v>
      </c>
      <c r="H25" s="3">
        <f>VLOOKUP($A25,[1]Data!$B$1:$BK$65536,H$1-1956,FALSE)*VLOOKUP($A25,[2]Data!$B$1:$BK$65536,H$1-1956,FALSE)/100</f>
        <v>27857445.409046039</v>
      </c>
      <c r="I25" s="3">
        <f>VLOOKUP($A25,[1]Data!$B$1:$BK$65536,I$1-1956,FALSE)*VLOOKUP($A25,[2]Data!$B$1:$BK$65536,I$1-1956,FALSE)/100</f>
        <v>28493934.510200206</v>
      </c>
      <c r="J25" s="3">
        <f>VLOOKUP($A25,[1]Data!$B$1:$BK$65536,J$1-1956,FALSE)*VLOOKUP($A25,[2]Data!$B$1:$BK$65536,J$1-1956,FALSE)/100</f>
        <v>28348428.616685465</v>
      </c>
      <c r="K25" s="3">
        <f>VLOOKUP($A25,[1]Data!$B$1:$BK$65536,K$1-1956,FALSE)*VLOOKUP($A25,[2]Data!$B$1:$BK$65536,K$1-1956,FALSE)/100</f>
        <v>28757192.317880727</v>
      </c>
      <c r="L25" s="3">
        <f>VLOOKUP($A25,[1]Data!$B$1:$BK$65536,L$1-1956,FALSE)*VLOOKUP($A25,[2]Data!$B$1:$BK$65536,L$1-1956,FALSE)/100</f>
        <v>28805211.558533873</v>
      </c>
      <c r="M25" s="3">
        <f>VLOOKUP($A25,[1]Data!$B$1:$BK$65536,M$1-1956,FALSE)*VLOOKUP($A25,[2]Data!$B$1:$BK$65536,M$1-1956,FALSE)/100</f>
        <v>28974333.776056498</v>
      </c>
      <c r="N25" s="3">
        <f>VLOOKUP($A25,[1]Data!$B$1:$BK$65536,N$1-1956,FALSE)*VLOOKUP($A25,[2]Data!$B$1:$BK$65536,N$1-1956,FALSE)/100</f>
        <v>29174642.837978877</v>
      </c>
      <c r="O25" s="3">
        <f>VLOOKUP($A25,[1]Data!$B$1:$BK$65536,O$1-1956,FALSE)*VLOOKUP($A25,[2]Data!$B$1:$BK$65536,O$1-1956,FALSE)/100</f>
        <v>29152232.558874212</v>
      </c>
      <c r="P25" s="3">
        <f>VLOOKUP($A25,[1]Data!$B$1:$BK$65536,P$1-1956,FALSE)*VLOOKUP($A25,[2]Data!$B$1:$BK$65536,P$1-1956,FALSE)/100</f>
        <v>28831770.148884196</v>
      </c>
      <c r="Q25" s="3">
        <f>VLOOKUP($A25,[1]Data!$B$1:$BK$65536,Q$1-1956,FALSE)*VLOOKUP($A25,[2]Data!$B$1:$BK$65536,Q$1-1956,FALSE)/100</f>
        <v>28994607.25870119</v>
      </c>
      <c r="R25" s="3">
        <f>VLOOKUP($A25,[1]Data!$B$1:$BK$65536,R$1-1956,FALSE)*VLOOKUP($A25,[2]Data!$B$1:$BK$65536,R$1-1956,FALSE)/100</f>
        <v>29402193.895710964</v>
      </c>
      <c r="S25" s="3">
        <f>VLOOKUP($A25,[1]Data!$B$1:$BK$65536,S$1-1956,FALSE)*VLOOKUP($A25,[2]Data!$B$1:$BK$65536,S$1-1956,FALSE)/100</f>
        <v>29746926.876890212</v>
      </c>
      <c r="T25" s="3">
        <f>VLOOKUP($A25,[1]Data!$B$1:$BK$65536,T$1-1956,FALSE)*VLOOKUP($A25,[2]Data!$B$1:$BK$65536,T$1-1956,FALSE)/100</f>
        <v>29992583.342266165</v>
      </c>
      <c r="U25" s="3">
        <f>VLOOKUP($A25,[1]Data!$B$1:$BK$65536,U$1-1956,FALSE)*VLOOKUP($A25,[2]Data!$B$1:$BK$65536,U$1-1956,FALSE)/100</f>
        <v>30557607.982113544</v>
      </c>
    </row>
    <row r="26" spans="1:21" x14ac:dyDescent="0.25">
      <c r="A26" t="s">
        <v>24</v>
      </c>
      <c r="B26" s="3">
        <f>VLOOKUP($A26,[1]Data!$B$1:$BK$65536,B$1-1956,FALSE)*VLOOKUP($A26,[2]Data!$B$1:$BK$65536,B$1-1956,FALSE)/100</f>
        <v>1844382.1674943538</v>
      </c>
      <c r="C26" s="3">
        <f>VLOOKUP($A26,[1]Data!$B$1:$BK$65536,C$1-1956,FALSE)*VLOOKUP($A26,[2]Data!$B$1:$BK$65536,C$1-1956,FALSE)/100</f>
        <v>1848599.8924196227</v>
      </c>
      <c r="D26" s="3">
        <f>VLOOKUP($A26,[1]Data!$B$1:$BK$65536,D$1-1956,FALSE)*VLOOKUP($A26,[2]Data!$B$1:$BK$65536,D$1-1956,FALSE)/100</f>
        <v>1877089.9883053955</v>
      </c>
      <c r="E26" s="3">
        <f>VLOOKUP($A26,[1]Data!$B$1:$BK$65536,E$1-1956,FALSE)*VLOOKUP($A26,[2]Data!$B$1:$BK$65536,E$1-1956,FALSE)/100</f>
        <v>1864960.435146865</v>
      </c>
      <c r="F26" s="3">
        <f>VLOOKUP($A26,[1]Data!$B$1:$BK$65536,F$1-1956,FALSE)*VLOOKUP($A26,[2]Data!$B$1:$BK$65536,F$1-1956,FALSE)/100</f>
        <v>1865449.6301966866</v>
      </c>
      <c r="G26" s="3">
        <f>VLOOKUP($A26,[1]Data!$B$1:$BK$65536,G$1-1956,FALSE)*VLOOKUP($A26,[2]Data!$B$1:$BK$65536,G$1-1956,FALSE)/100</f>
        <v>1768840.4071215815</v>
      </c>
      <c r="H26" s="3">
        <f>VLOOKUP($A26,[1]Data!$B$1:$BK$65536,H$1-1956,FALSE)*VLOOKUP($A26,[2]Data!$B$1:$BK$65536,H$1-1956,FALSE)/100</f>
        <v>1695182.205610276</v>
      </c>
      <c r="I26" s="3">
        <f>VLOOKUP($A26,[1]Data!$B$1:$BK$65536,I$1-1956,FALSE)*VLOOKUP($A26,[2]Data!$B$1:$BK$65536,I$1-1956,FALSE)/100</f>
        <v>1739437.4641611108</v>
      </c>
      <c r="J26" s="3">
        <f>VLOOKUP($A26,[1]Data!$B$1:$BK$65536,J$1-1956,FALSE)*VLOOKUP($A26,[2]Data!$B$1:$BK$65536,J$1-1956,FALSE)/100</f>
        <v>1789742.330960389</v>
      </c>
      <c r="K26" s="3">
        <f>VLOOKUP($A26,[1]Data!$B$1:$BK$65536,K$1-1956,FALSE)*VLOOKUP($A26,[2]Data!$B$1:$BK$65536,K$1-1956,FALSE)/100</f>
        <v>1723422.7166986458</v>
      </c>
      <c r="L26" s="3">
        <f>VLOOKUP($A26,[1]Data!$B$1:$BK$65536,L$1-1956,FALSE)*VLOOKUP($A26,[2]Data!$B$1:$BK$65536,L$1-1956,FALSE)/100</f>
        <v>1711268.0818884266</v>
      </c>
      <c r="M26" s="3">
        <f>VLOOKUP($A26,[1]Data!$B$1:$BK$65536,M$1-1956,FALSE)*VLOOKUP($A26,[2]Data!$B$1:$BK$65536,M$1-1956,FALSE)/100</f>
        <v>1701758.7169204704</v>
      </c>
      <c r="N26" s="3">
        <f>VLOOKUP($A26,[1]Data!$B$1:$BK$65536,N$1-1956,FALSE)*VLOOKUP($A26,[2]Data!$B$1:$BK$65536,N$1-1956,FALSE)/100</f>
        <v>1719500.8118405915</v>
      </c>
      <c r="O26" s="3">
        <f>VLOOKUP($A26,[1]Data!$B$1:$BK$65536,O$1-1956,FALSE)*VLOOKUP($A26,[2]Data!$B$1:$BK$65536,O$1-1956,FALSE)/100</f>
        <v>1683900.6350427247</v>
      </c>
      <c r="P26" s="3">
        <f>VLOOKUP($A26,[1]Data!$B$1:$BK$65536,P$1-1956,FALSE)*VLOOKUP($A26,[2]Data!$B$1:$BK$65536,P$1-1956,FALSE)/100</f>
        <v>1545147.7619645677</v>
      </c>
      <c r="Q26" s="3">
        <f>VLOOKUP($A26,[1]Data!$B$1:$BK$65536,Q$1-1956,FALSE)*VLOOKUP($A26,[2]Data!$B$1:$BK$65536,Q$1-1956,FALSE)/100</f>
        <v>1450023.599723357</v>
      </c>
      <c r="R26" s="3">
        <f>VLOOKUP($A26,[1]Data!$B$1:$BK$65536,R$1-1956,FALSE)*VLOOKUP($A26,[2]Data!$B$1:$BK$65536,R$1-1956,FALSE)/100</f>
        <v>1482171.4065410611</v>
      </c>
      <c r="S26" s="3">
        <f>VLOOKUP($A26,[1]Data!$B$1:$BK$65536,S$1-1956,FALSE)*VLOOKUP($A26,[2]Data!$B$1:$BK$65536,S$1-1956,FALSE)/100</f>
        <v>1505329.6532658765</v>
      </c>
      <c r="T26" s="3">
        <f>VLOOKUP($A26,[1]Data!$B$1:$BK$65536,T$1-1956,FALSE)*VLOOKUP($A26,[2]Data!$B$1:$BK$65536,T$1-1956,FALSE)/100</f>
        <v>1520932.4243987668</v>
      </c>
      <c r="U26" s="3">
        <f>VLOOKUP($A26,[1]Data!$B$1:$BK$65536,U$1-1956,FALSE)*VLOOKUP($A26,[2]Data!$B$1:$BK$65536,U$1-1956,FALSE)/100</f>
        <v>1547849.9164755628</v>
      </c>
    </row>
    <row r="27" spans="1:21" x14ac:dyDescent="0.25">
      <c r="A27" t="s">
        <v>25</v>
      </c>
      <c r="B27" s="3">
        <f>VLOOKUP($A27,[1]Data!$B$1:$BK$65536,B$1-1956,FALSE)*VLOOKUP($A27,[2]Data!$B$1:$BK$65536,B$1-1956,FALSE)/100</f>
        <v>199507.07536220568</v>
      </c>
      <c r="C27" s="3">
        <f>VLOOKUP($A27,[1]Data!$B$1:$BK$65536,C$1-1956,FALSE)*VLOOKUP($A27,[2]Data!$B$1:$BK$65536,C$1-1956,FALSE)/100</f>
        <v>203558.44242095936</v>
      </c>
      <c r="D27" s="3">
        <f>VLOOKUP($A27,[1]Data!$B$1:$BK$65536,D$1-1956,FALSE)*VLOOKUP($A27,[2]Data!$B$1:$BK$65536,D$1-1956,FALSE)/100</f>
        <v>208529.56814002994</v>
      </c>
      <c r="E27" s="3">
        <f>VLOOKUP($A27,[1]Data!$B$1:$BK$65536,E$1-1956,FALSE)*VLOOKUP($A27,[2]Data!$B$1:$BK$65536,E$1-1956,FALSE)/100</f>
        <v>211428.4050178527</v>
      </c>
      <c r="F27" s="3">
        <f>VLOOKUP($A27,[1]Data!$B$1:$BK$65536,F$1-1956,FALSE)*VLOOKUP($A27,[2]Data!$B$1:$BK$65536,F$1-1956,FALSE)/100</f>
        <v>218745.86533832559</v>
      </c>
      <c r="G27" s="3">
        <f>VLOOKUP($A27,[1]Data!$B$1:$BK$65536,G$1-1956,FALSE)*VLOOKUP($A27,[2]Data!$B$1:$BK$65536,G$1-1956,FALSE)/100</f>
        <v>227399.55533981338</v>
      </c>
      <c r="H27" s="3">
        <f>VLOOKUP($A27,[1]Data!$B$1:$BK$65536,H$1-1956,FALSE)*VLOOKUP($A27,[2]Data!$B$1:$BK$65536,H$1-1956,FALSE)/100</f>
        <v>229001.36148548129</v>
      </c>
      <c r="I27" s="3">
        <f>VLOOKUP($A27,[1]Data!$B$1:$BK$65536,I$1-1956,FALSE)*VLOOKUP($A27,[2]Data!$B$1:$BK$65536,I$1-1956,FALSE)/100</f>
        <v>234027.70950221998</v>
      </c>
      <c r="J27" s="3">
        <f>VLOOKUP($A27,[1]Data!$B$1:$BK$65536,J$1-1956,FALSE)*VLOOKUP($A27,[2]Data!$B$1:$BK$65536,J$1-1956,FALSE)/100</f>
        <v>231424.24721870429</v>
      </c>
      <c r="K27" s="3">
        <f>VLOOKUP($A27,[1]Data!$B$1:$BK$65536,K$1-1956,FALSE)*VLOOKUP($A27,[2]Data!$B$1:$BK$65536,K$1-1956,FALSE)/100</f>
        <v>235149.32875518809</v>
      </c>
      <c r="L27" s="3">
        <f>VLOOKUP($A27,[1]Data!$B$1:$BK$65536,L$1-1956,FALSE)*VLOOKUP($A27,[2]Data!$B$1:$BK$65536,L$1-1956,FALSE)/100</f>
        <v>243449.75083534236</v>
      </c>
      <c r="M27" s="3">
        <f>VLOOKUP($A27,[1]Data!$B$1:$BK$65536,M$1-1956,FALSE)*VLOOKUP($A27,[2]Data!$B$1:$BK$65536,M$1-1956,FALSE)/100</f>
        <v>248904.81479999545</v>
      </c>
      <c r="N27" s="3">
        <f>VLOOKUP($A27,[1]Data!$B$1:$BK$65536,N$1-1956,FALSE)*VLOOKUP($A27,[2]Data!$B$1:$BK$65536,N$1-1956,FALSE)/100</f>
        <v>253263.50622703534</v>
      </c>
      <c r="O27" s="3">
        <f>VLOOKUP($A27,[1]Data!$B$1:$BK$65536,O$1-1956,FALSE)*VLOOKUP($A27,[2]Data!$B$1:$BK$65536,O$1-1956,FALSE)/100</f>
        <v>255197.45504379275</v>
      </c>
      <c r="P27" s="3">
        <f>VLOOKUP($A27,[1]Data!$B$1:$BK$65536,P$1-1956,FALSE)*VLOOKUP($A27,[2]Data!$B$1:$BK$65536,P$1-1956,FALSE)/100</f>
        <v>270515.20233085618</v>
      </c>
      <c r="Q27" s="3">
        <f>VLOOKUP($A27,[1]Data!$B$1:$BK$65536,Q$1-1956,FALSE)*VLOOKUP($A27,[2]Data!$B$1:$BK$65536,Q$1-1956,FALSE)/100</f>
        <v>276269.09868038201</v>
      </c>
      <c r="R27" s="3">
        <f>VLOOKUP($A27,[1]Data!$B$1:$BK$65536,R$1-1956,FALSE)*VLOOKUP($A27,[2]Data!$B$1:$BK$65536,R$1-1956,FALSE)/100</f>
        <v>280249.49882759072</v>
      </c>
      <c r="S27" s="3">
        <f>VLOOKUP($A27,[1]Data!$B$1:$BK$65536,S$1-1956,FALSE)*VLOOKUP($A27,[2]Data!$B$1:$BK$65536,S$1-1956,FALSE)/100</f>
        <v>292179.57731872576</v>
      </c>
      <c r="T27" s="3">
        <f>VLOOKUP($A27,[1]Data!$B$1:$BK$65536,T$1-1956,FALSE)*VLOOKUP($A27,[2]Data!$B$1:$BK$65536,T$1-1956,FALSE)/100</f>
        <v>298168.8</v>
      </c>
      <c r="U27" s="3">
        <f>VLOOKUP($A27,[1]Data!$B$1:$BK$65536,U$1-1956,FALSE)*VLOOKUP($A27,[2]Data!$B$1:$BK$65536,U$1-1956,FALSE)/100</f>
        <v>309135.3463341521</v>
      </c>
    </row>
    <row r="28" spans="1:21" x14ac:dyDescent="0.25">
      <c r="A28" t="s">
        <v>26</v>
      </c>
      <c r="B28" s="3">
        <f>VLOOKUP($A28,[1]Data!$B$1:$BK$65536,B$1-1956,FALSE)*VLOOKUP($A28,[2]Data!$B$1:$BK$65536,B$1-1956,FALSE)/100</f>
        <v>1212110.9388281249</v>
      </c>
      <c r="C28" s="3">
        <f>VLOOKUP($A28,[1]Data!$B$1:$BK$65536,C$1-1956,FALSE)*VLOOKUP($A28,[2]Data!$B$1:$BK$65536,C$1-1956,FALSE)/100</f>
        <v>1168015.9152285</v>
      </c>
      <c r="D28" s="3">
        <f>VLOOKUP($A28,[1]Data!$B$1:$BK$65536,D$1-1956,FALSE)*VLOOKUP($A28,[2]Data!$B$1:$BK$65536,D$1-1956,FALSE)/100</f>
        <v>1237372.3485948956</v>
      </c>
      <c r="E28" s="3">
        <f>VLOOKUP($A28,[1]Data!$B$1:$BK$65536,E$1-1956,FALSE)*VLOOKUP($A28,[2]Data!$B$1:$BK$65536,E$1-1956,FALSE)/100</f>
        <v>1212745.6403965757</v>
      </c>
      <c r="F28" s="3">
        <f>VLOOKUP($A28,[1]Data!$B$1:$BK$65536,F$1-1956,FALSE)*VLOOKUP($A28,[2]Data!$B$1:$BK$65536,F$1-1956,FALSE)/100</f>
        <v>1185679.0355241396</v>
      </c>
      <c r="G28" s="3">
        <f>VLOOKUP($A28,[1]Data!$B$1:$BK$65536,G$1-1956,FALSE)*VLOOKUP($A28,[2]Data!$B$1:$BK$65536,G$1-1956,FALSE)/100</f>
        <v>1138507.4736232758</v>
      </c>
      <c r="H28" s="3">
        <f>VLOOKUP($A28,[1]Data!$B$1:$BK$65536,H$1-1956,FALSE)*VLOOKUP($A28,[2]Data!$B$1:$BK$65536,H$1-1956,FALSE)/100</f>
        <v>1134625.9405841837</v>
      </c>
      <c r="I28" s="3">
        <f>VLOOKUP($A28,[1]Data!$B$1:$BK$65536,I$1-1956,FALSE)*VLOOKUP($A28,[2]Data!$B$1:$BK$65536,I$1-1956,FALSE)/100</f>
        <v>1150581.6697000889</v>
      </c>
      <c r="J28" s="3">
        <f>VLOOKUP($A28,[1]Data!$B$1:$BK$65536,J$1-1956,FALSE)*VLOOKUP($A28,[2]Data!$B$1:$BK$65536,J$1-1956,FALSE)/100</f>
        <v>1146105.2639368062</v>
      </c>
      <c r="K28" s="3">
        <f>VLOOKUP($A28,[1]Data!$B$1:$BK$65536,K$1-1956,FALSE)*VLOOKUP($A28,[2]Data!$B$1:$BK$65536,K$1-1956,FALSE)/100</f>
        <v>1143985.534945451</v>
      </c>
      <c r="L28" s="3">
        <f>VLOOKUP($A28,[1]Data!$B$1:$BK$65536,L$1-1956,FALSE)*VLOOKUP($A28,[2]Data!$B$1:$BK$65536,L$1-1956,FALSE)/100</f>
        <v>1153362.0425692743</v>
      </c>
      <c r="M28" s="3">
        <f>VLOOKUP($A28,[1]Data!$B$1:$BK$65536,M$1-1956,FALSE)*VLOOKUP($A28,[2]Data!$B$1:$BK$65536,M$1-1956,FALSE)/100</f>
        <v>1216968.4923555763</v>
      </c>
      <c r="N28" s="3">
        <f>VLOOKUP($A28,[1]Data!$B$1:$BK$65536,N$1-1956,FALSE)*VLOOKUP($A28,[2]Data!$B$1:$BK$65536,N$1-1956,FALSE)/100</f>
        <v>1244503.8502168653</v>
      </c>
      <c r="O28" s="3">
        <f>VLOOKUP($A28,[1]Data!$B$1:$BK$65536,O$1-1956,FALSE)*VLOOKUP($A28,[2]Data!$B$1:$BK$65536,O$1-1956,FALSE)/100</f>
        <v>1235281.8887297064</v>
      </c>
      <c r="P28" s="3">
        <f>VLOOKUP($A28,[1]Data!$B$1:$BK$65536,P$1-1956,FALSE)*VLOOKUP($A28,[2]Data!$B$1:$BK$65536,P$1-1956,FALSE)/100</f>
        <v>1061582.5069132226</v>
      </c>
      <c r="Q28" s="3">
        <f>VLOOKUP($A28,[1]Data!$B$1:$BK$65536,Q$1-1956,FALSE)*VLOOKUP($A28,[2]Data!$B$1:$BK$65536,Q$1-1956,FALSE)/100</f>
        <v>996191.79679012345</v>
      </c>
      <c r="R28" s="3">
        <f>VLOOKUP($A28,[1]Data!$B$1:$BK$65536,R$1-1956,FALSE)*VLOOKUP($A28,[2]Data!$B$1:$BK$65536,R$1-1956,FALSE)/100</f>
        <v>1011584.8597985068</v>
      </c>
      <c r="S28" s="3">
        <f>VLOOKUP($A28,[1]Data!$B$1:$BK$65536,S$1-1956,FALSE)*VLOOKUP($A28,[2]Data!$B$1:$BK$65536,S$1-1956,FALSE)/100</f>
        <v>1032640.699872895</v>
      </c>
      <c r="T28" s="3">
        <f>VLOOKUP($A28,[1]Data!$B$1:$BK$65536,T$1-1956,FALSE)*VLOOKUP($A28,[2]Data!$B$1:$BK$65536,T$1-1956,FALSE)/100</f>
        <v>1052715.0194921116</v>
      </c>
      <c r="U28" s="3">
        <f>VLOOKUP($A28,[1]Data!$B$1:$BK$65536,U$1-1956,FALSE)*VLOOKUP($A28,[2]Data!$B$1:$BK$65536,U$1-1956,FALSE)/100</f>
        <v>1052836.5180523687</v>
      </c>
    </row>
    <row r="29" spans="1:21" x14ac:dyDescent="0.25">
      <c r="A29" t="s">
        <v>27</v>
      </c>
      <c r="B29" s="3">
        <f>VLOOKUP($A29,[1]Data!$B$1:$BK$65536,B$1-1956,FALSE)*VLOOKUP($A29,[2]Data!$B$1:$BK$65536,B$1-1956,FALSE)/100</f>
        <v>50896956.524249271</v>
      </c>
      <c r="C29" s="3">
        <f>VLOOKUP($A29,[1]Data!$B$1:$BK$65536,C$1-1956,FALSE)*VLOOKUP($A29,[2]Data!$B$1:$BK$65536,C$1-1956,FALSE)/100</f>
        <v>52647640.65396136</v>
      </c>
      <c r="D29" s="3">
        <f>VLOOKUP($A29,[1]Data!$B$1:$BK$65536,D$1-1956,FALSE)*VLOOKUP($A29,[2]Data!$B$1:$BK$65536,D$1-1956,FALSE)/100</f>
        <v>55435422.987083696</v>
      </c>
      <c r="E29" s="3">
        <f>VLOOKUP($A29,[1]Data!$B$1:$BK$65536,E$1-1956,FALSE)*VLOOKUP($A29,[2]Data!$B$1:$BK$65536,E$1-1956,FALSE)/100</f>
        <v>56363929.384826899</v>
      </c>
      <c r="F29" s="3">
        <f>VLOOKUP($A29,[1]Data!$B$1:$BK$65536,F$1-1956,FALSE)*VLOOKUP($A29,[2]Data!$B$1:$BK$65536,F$1-1956,FALSE)/100</f>
        <v>57118311.843189716</v>
      </c>
      <c r="G29" s="3">
        <f>VLOOKUP($A29,[1]Data!$B$1:$BK$65536,G$1-1956,FALSE)*VLOOKUP($A29,[2]Data!$B$1:$BK$65536,G$1-1956,FALSE)/100</f>
        <v>57731796.063573062</v>
      </c>
      <c r="H29" s="3">
        <f>VLOOKUP($A29,[1]Data!$B$1:$BK$65536,H$1-1956,FALSE)*VLOOKUP($A29,[2]Data!$B$1:$BK$65536,H$1-1956,FALSE)/100</f>
        <v>57960294.849734545</v>
      </c>
      <c r="I29" s="3">
        <f>VLOOKUP($A29,[1]Data!$B$1:$BK$65536,I$1-1956,FALSE)*VLOOKUP($A29,[2]Data!$B$1:$BK$65536,I$1-1956,FALSE)/100</f>
        <v>58039625.271319926</v>
      </c>
      <c r="J29" s="3">
        <f>VLOOKUP($A29,[1]Data!$B$1:$BK$65536,J$1-1956,FALSE)*VLOOKUP($A29,[2]Data!$B$1:$BK$65536,J$1-1956,FALSE)/100</f>
        <v>58908740.082744643</v>
      </c>
      <c r="K29" s="3">
        <f>VLOOKUP($A29,[1]Data!$B$1:$BK$65536,K$1-1956,FALSE)*VLOOKUP($A29,[2]Data!$B$1:$BK$65536,K$1-1956,FALSE)/100</f>
        <v>59964397.659797661</v>
      </c>
      <c r="L29" s="3">
        <f>VLOOKUP($A29,[1]Data!$B$1:$BK$65536,L$1-1956,FALSE)*VLOOKUP($A29,[2]Data!$B$1:$BK$65536,L$1-1956,FALSE)/100</f>
        <v>61929301.165090397</v>
      </c>
      <c r="M29" s="3">
        <f>VLOOKUP($A29,[1]Data!$B$1:$BK$65536,M$1-1956,FALSE)*VLOOKUP($A29,[2]Data!$B$1:$BK$65536,M$1-1956,FALSE)/100</f>
        <v>63584186.251311451</v>
      </c>
      <c r="N29" s="3">
        <f>VLOOKUP($A29,[1]Data!$B$1:$BK$65536,N$1-1956,FALSE)*VLOOKUP($A29,[2]Data!$B$1:$BK$65536,N$1-1956,FALSE)/100</f>
        <v>64567802.802314393</v>
      </c>
      <c r="O29" s="3">
        <f>VLOOKUP($A29,[1]Data!$B$1:$BK$65536,O$1-1956,FALSE)*VLOOKUP($A29,[2]Data!$B$1:$BK$65536,O$1-1956,FALSE)/100</f>
        <v>65029723.992932014</v>
      </c>
      <c r="P29" s="3">
        <f>VLOOKUP($A29,[1]Data!$B$1:$BK$65536,P$1-1956,FALSE)*VLOOKUP($A29,[2]Data!$B$1:$BK$65536,P$1-1956,FALSE)/100</f>
        <v>64863545.969218582</v>
      </c>
      <c r="Q29" s="3">
        <f>VLOOKUP($A29,[1]Data!$B$1:$BK$65536,Q$1-1956,FALSE)*VLOOKUP($A29,[2]Data!$B$1:$BK$65536,Q$1-1956,FALSE)/100</f>
        <v>65597747.858205721</v>
      </c>
      <c r="R29" s="3">
        <f>VLOOKUP($A29,[1]Data!$B$1:$BK$65536,R$1-1956,FALSE)*VLOOKUP($A29,[2]Data!$B$1:$BK$65536,R$1-1956,FALSE)/100</f>
        <v>66651006.382253371</v>
      </c>
      <c r="S29" s="3">
        <f>VLOOKUP($A29,[1]Data!$B$1:$BK$65536,S$1-1956,FALSE)*VLOOKUP($A29,[2]Data!$B$1:$BK$65536,S$1-1956,FALSE)/100</f>
        <v>68525633.319079995</v>
      </c>
      <c r="T29" s="3">
        <f>VLOOKUP($A29,[1]Data!$B$1:$BK$65536,T$1-1956,FALSE)*VLOOKUP($A29,[2]Data!$B$1:$BK$65536,T$1-1956,FALSE)/100</f>
        <v>69197810.314740568</v>
      </c>
      <c r="U29" s="3">
        <f>VLOOKUP($A29,[1]Data!$B$1:$BK$65536,U$1-1956,FALSE)*VLOOKUP($A29,[2]Data!$B$1:$BK$65536,U$1-1956,FALSE)/100</f>
        <v>69472590.021227404</v>
      </c>
    </row>
    <row r="30" spans="1:21" x14ac:dyDescent="0.25">
      <c r="A30" t="s">
        <v>28</v>
      </c>
      <c r="B30" s="3">
        <f>VLOOKUP($A30,[1]Data!$B$1:$BK$65536,B$1-1956,FALSE)*VLOOKUP($A30,[2]Data!$B$1:$BK$65536,B$1-1956,FALSE)/100</f>
        <v>175639.47530765535</v>
      </c>
      <c r="C30" s="3">
        <f>VLOOKUP($A30,[1]Data!$B$1:$BK$65536,C$1-1956,FALSE)*VLOOKUP($A30,[2]Data!$B$1:$BK$65536,C$1-1956,FALSE)/100</f>
        <v>176568.45137157422</v>
      </c>
      <c r="D30" s="3">
        <f>VLOOKUP($A30,[1]Data!$B$1:$BK$65536,D$1-1956,FALSE)*VLOOKUP($A30,[2]Data!$B$1:$BK$65536,D$1-1956,FALSE)/100</f>
        <v>177461.909936371</v>
      </c>
      <c r="E30" s="3">
        <f>VLOOKUP($A30,[1]Data!$B$1:$BK$65536,E$1-1956,FALSE)*VLOOKUP($A30,[2]Data!$B$1:$BK$65536,E$1-1956,FALSE)/100</f>
        <v>178784.726139679</v>
      </c>
      <c r="F30" s="3">
        <f>VLOOKUP($A30,[1]Data!$B$1:$BK$65536,F$1-1956,FALSE)*VLOOKUP($A30,[2]Data!$B$1:$BK$65536,F$1-1956,FALSE)/100</f>
        <v>180161.76201461803</v>
      </c>
      <c r="G30" s="3">
        <f>VLOOKUP($A30,[1]Data!$B$1:$BK$65536,G$1-1956,FALSE)*VLOOKUP($A30,[2]Data!$B$1:$BK$65536,G$1-1956,FALSE)/100</f>
        <v>182330.56907466892</v>
      </c>
      <c r="H30" s="3">
        <f>VLOOKUP($A30,[1]Data!$B$1:$BK$65536,H$1-1956,FALSE)*VLOOKUP($A30,[2]Data!$B$1:$BK$65536,H$1-1956,FALSE)/100</f>
        <v>183720.93440200819</v>
      </c>
      <c r="I30" s="3">
        <f>VLOOKUP($A30,[1]Data!$B$1:$BK$65536,I$1-1956,FALSE)*VLOOKUP($A30,[2]Data!$B$1:$BK$65536,I$1-1956,FALSE)/100</f>
        <v>184161.21773891445</v>
      </c>
      <c r="J30" s="3">
        <f>VLOOKUP($A30,[1]Data!$B$1:$BK$65536,J$1-1956,FALSE)*VLOOKUP($A30,[2]Data!$B$1:$BK$65536,J$1-1956,FALSE)/100</f>
        <v>183004.94531860371</v>
      </c>
      <c r="K30" s="3">
        <f>VLOOKUP($A30,[1]Data!$B$1:$BK$65536,K$1-1956,FALSE)*VLOOKUP($A30,[2]Data!$B$1:$BK$65536,K$1-1956,FALSE)/100</f>
        <v>179029.73541091924</v>
      </c>
      <c r="L30" s="3">
        <f>VLOOKUP($A30,[1]Data!$B$1:$BK$65536,L$1-1956,FALSE)*VLOOKUP($A30,[2]Data!$B$1:$BK$65536,L$1-1956,FALSE)/100</f>
        <v>181499.15394592274</v>
      </c>
      <c r="M30" s="3">
        <f>VLOOKUP($A30,[1]Data!$B$1:$BK$65536,M$1-1956,FALSE)*VLOOKUP($A30,[2]Data!$B$1:$BK$65536,M$1-1956,FALSE)/100</f>
        <v>183061.41276428208</v>
      </c>
      <c r="N30" s="3">
        <f>VLOOKUP($A30,[1]Data!$B$1:$BK$65536,N$1-1956,FALSE)*VLOOKUP($A30,[2]Data!$B$1:$BK$65536,N$1-1956,FALSE)/100</f>
        <v>187084.90998840323</v>
      </c>
      <c r="O30" s="3">
        <f>VLOOKUP($A30,[1]Data!$B$1:$BK$65536,O$1-1956,FALSE)*VLOOKUP($A30,[2]Data!$B$1:$BK$65536,O$1-1956,FALSE)/100</f>
        <v>189603.87822803506</v>
      </c>
      <c r="P30" s="3">
        <f>VLOOKUP($A30,[1]Data!$B$1:$BK$65536,P$1-1956,FALSE)*VLOOKUP($A30,[2]Data!$B$1:$BK$65536,P$1-1956,FALSE)/100</f>
        <v>189619.80443931572</v>
      </c>
      <c r="Q30" s="3">
        <f>VLOOKUP($A30,[1]Data!$B$1:$BK$65536,Q$1-1956,FALSE)*VLOOKUP($A30,[2]Data!$B$1:$BK$65536,Q$1-1956,FALSE)/100</f>
        <v>193019.80312286358</v>
      </c>
      <c r="R30" s="3">
        <f>VLOOKUP($A30,[1]Data!$B$1:$BK$65536,R$1-1956,FALSE)*VLOOKUP($A30,[2]Data!$B$1:$BK$65536,R$1-1956,FALSE)/100</f>
        <v>198135.24086151121</v>
      </c>
      <c r="S30" s="3">
        <f>VLOOKUP($A30,[1]Data!$B$1:$BK$65536,S$1-1956,FALSE)*VLOOKUP($A30,[2]Data!$B$1:$BK$65536,S$1-1956,FALSE)/100</f>
        <v>205057.66831817621</v>
      </c>
      <c r="T30" s="3">
        <f>VLOOKUP($A30,[1]Data!$B$1:$BK$65536,T$1-1956,FALSE)*VLOOKUP($A30,[2]Data!$B$1:$BK$65536,T$1-1956,FALSE)/100</f>
        <v>213890.8150397873</v>
      </c>
      <c r="U30" s="3">
        <f>VLOOKUP($A30,[1]Data!$B$1:$BK$65536,U$1-1956,FALSE)*VLOOKUP($A30,[2]Data!$B$1:$BK$65536,U$1-1956,FALSE)/100</f>
        <v>222793.54539634712</v>
      </c>
    </row>
    <row r="31" spans="1:21" x14ac:dyDescent="0.25">
      <c r="A31" t="s">
        <v>29</v>
      </c>
      <c r="B31" s="3">
        <f>VLOOKUP($A31,[1]Data!$B$1:$BK$65536,B$1-1956,FALSE)*VLOOKUP($A31,[2]Data!$B$1:$BK$65536,B$1-1956,FALSE)/100</f>
        <v>8387129.3652788475</v>
      </c>
      <c r="C31" s="3">
        <f>VLOOKUP($A31,[1]Data!$B$1:$BK$65536,C$1-1956,FALSE)*VLOOKUP($A31,[2]Data!$B$1:$BK$65536,C$1-1956,FALSE)/100</f>
        <v>8571903.1040362492</v>
      </c>
      <c r="D31" s="3">
        <f>VLOOKUP($A31,[1]Data!$B$1:$BK$65536,D$1-1956,FALSE)*VLOOKUP($A31,[2]Data!$B$1:$BK$65536,D$1-1956,FALSE)/100</f>
        <v>8886362.3934001848</v>
      </c>
      <c r="E31" s="3">
        <f>VLOOKUP($A31,[1]Data!$B$1:$BK$65536,E$1-1956,FALSE)*VLOOKUP($A31,[2]Data!$B$1:$BK$65536,E$1-1956,FALSE)/100</f>
        <v>9159658.7126443125</v>
      </c>
      <c r="F31" s="3">
        <f>VLOOKUP($A31,[1]Data!$B$1:$BK$65536,F$1-1956,FALSE)*VLOOKUP($A31,[2]Data!$B$1:$BK$65536,F$1-1956,FALSE)/100</f>
        <v>9413884.6006942745</v>
      </c>
      <c r="G31" s="3">
        <f>VLOOKUP($A31,[1]Data!$B$1:$BK$65536,G$1-1956,FALSE)*VLOOKUP($A31,[2]Data!$B$1:$BK$65536,G$1-1956,FALSE)/100</f>
        <v>9734469.8212499991</v>
      </c>
      <c r="H31" s="3">
        <f>VLOOKUP($A31,[1]Data!$B$1:$BK$65536,H$1-1956,FALSE)*VLOOKUP($A31,[2]Data!$B$1:$BK$65536,H$1-1956,FALSE)/100</f>
        <v>9968208.2040328942</v>
      </c>
      <c r="I31" s="3">
        <f>VLOOKUP($A31,[1]Data!$B$1:$BK$65536,I$1-1956,FALSE)*VLOOKUP($A31,[2]Data!$B$1:$BK$65536,I$1-1956,FALSE)/100</f>
        <v>10085167.684287826</v>
      </c>
      <c r="J31" s="3">
        <f>VLOOKUP($A31,[1]Data!$B$1:$BK$65536,J$1-1956,FALSE)*VLOOKUP($A31,[2]Data!$B$1:$BK$65536,J$1-1956,FALSE)/100</f>
        <v>10023829.213645481</v>
      </c>
      <c r="K31" s="3">
        <f>VLOOKUP($A31,[1]Data!$B$1:$BK$65536,K$1-1956,FALSE)*VLOOKUP($A31,[2]Data!$B$1:$BK$65536,K$1-1956,FALSE)/100</f>
        <v>9978450.9636574928</v>
      </c>
      <c r="L31" s="3">
        <f>VLOOKUP($A31,[1]Data!$B$1:$BK$65536,L$1-1956,FALSE)*VLOOKUP($A31,[2]Data!$B$1:$BK$65536,L$1-1956,FALSE)/100</f>
        <v>9666094.6326612793</v>
      </c>
      <c r="M31" s="3">
        <f>VLOOKUP($A31,[1]Data!$B$1:$BK$65536,M$1-1956,FALSE)*VLOOKUP($A31,[2]Data!$B$1:$BK$65536,M$1-1956,FALSE)/100</f>
        <v>9799977.787865404</v>
      </c>
      <c r="N31" s="3">
        <f>VLOOKUP($A31,[1]Data!$B$1:$BK$65536,N$1-1956,FALSE)*VLOOKUP($A31,[2]Data!$B$1:$BK$65536,N$1-1956,FALSE)/100</f>
        <v>10073105.145361328</v>
      </c>
      <c r="O31" s="3">
        <f>VLOOKUP($A31,[1]Data!$B$1:$BK$65536,O$1-1956,FALSE)*VLOOKUP($A31,[2]Data!$B$1:$BK$65536,O$1-1956,FALSE)/100</f>
        <v>10288527.57223751</v>
      </c>
      <c r="P31" s="3">
        <f>VLOOKUP($A31,[1]Data!$B$1:$BK$65536,P$1-1956,FALSE)*VLOOKUP($A31,[2]Data!$B$1:$BK$65536,P$1-1956,FALSE)/100</f>
        <v>10288347.924996942</v>
      </c>
      <c r="Q31" s="3">
        <f>VLOOKUP($A31,[1]Data!$B$1:$BK$65536,Q$1-1956,FALSE)*VLOOKUP($A31,[2]Data!$B$1:$BK$65536,Q$1-1956,FALSE)/100</f>
        <v>10171778.346955715</v>
      </c>
      <c r="R31" s="3">
        <f>VLOOKUP($A31,[1]Data!$B$1:$BK$65536,R$1-1956,FALSE)*VLOOKUP($A31,[2]Data!$B$1:$BK$65536,R$1-1956,FALSE)/100</f>
        <v>10172425.388271103</v>
      </c>
      <c r="S31" s="3">
        <f>VLOOKUP($A31,[1]Data!$B$1:$BK$65536,S$1-1956,FALSE)*VLOOKUP($A31,[2]Data!$B$1:$BK$65536,S$1-1956,FALSE)/100</f>
        <v>10192713.521721503</v>
      </c>
      <c r="T31" s="3">
        <f>VLOOKUP($A31,[1]Data!$B$1:$BK$65536,T$1-1956,FALSE)*VLOOKUP($A31,[2]Data!$B$1:$BK$65536,T$1-1956,FALSE)/100</f>
        <v>10053923.380249629</v>
      </c>
      <c r="U31" s="3">
        <f>VLOOKUP($A31,[1]Data!$B$1:$BK$65536,U$1-1956,FALSE)*VLOOKUP($A31,[2]Data!$B$1:$BK$65536,U$1-1956,FALSE)/100</f>
        <v>9995384.003139643</v>
      </c>
    </row>
    <row r="32" spans="1:21" x14ac:dyDescent="0.25">
      <c r="A32" t="s">
        <v>30</v>
      </c>
      <c r="B32" s="3">
        <f>VLOOKUP($A32,[1]Data!$B$1:$BK$65536,B$1-1956,FALSE)*VLOOKUP($A32,[2]Data!$B$1:$BK$65536,B$1-1956,FALSE)/100</f>
        <v>19585031.32286096</v>
      </c>
      <c r="C32" s="3">
        <f>VLOOKUP($A32,[1]Data!$B$1:$BK$65536,C$1-1956,FALSE)*VLOOKUP($A32,[2]Data!$B$1:$BK$65536,C$1-1956,FALSE)/100</f>
        <v>19596074.355244461</v>
      </c>
      <c r="D32" s="3">
        <f>VLOOKUP($A32,[1]Data!$B$1:$BK$65536,D$1-1956,FALSE)*VLOOKUP($A32,[2]Data!$B$1:$BK$65536,D$1-1956,FALSE)/100</f>
        <v>19576439.664038084</v>
      </c>
      <c r="E32" s="3">
        <f>VLOOKUP($A32,[1]Data!$B$1:$BK$65536,E$1-1956,FALSE)*VLOOKUP($A32,[2]Data!$B$1:$BK$65536,E$1-1956,FALSE)/100</f>
        <v>19648780.926208414</v>
      </c>
      <c r="F32" s="3">
        <f>VLOOKUP($A32,[1]Data!$B$1:$BK$65536,F$1-1956,FALSE)*VLOOKUP($A32,[2]Data!$B$1:$BK$65536,F$1-1956,FALSE)/100</f>
        <v>18880903.634705316</v>
      </c>
      <c r="G32" s="3">
        <f>VLOOKUP($A32,[1]Data!$B$1:$BK$65536,G$1-1956,FALSE)*VLOOKUP($A32,[2]Data!$B$1:$BK$65536,G$1-1956,FALSE)/100</f>
        <v>18017519.418445192</v>
      </c>
      <c r="H32" s="3">
        <f>VLOOKUP($A32,[1]Data!$B$1:$BK$65536,H$1-1956,FALSE)*VLOOKUP($A32,[2]Data!$B$1:$BK$65536,H$1-1956,FALSE)/100</f>
        <v>17674817.840085469</v>
      </c>
      <c r="I32" s="3">
        <f>VLOOKUP($A32,[1]Data!$B$1:$BK$65536,I$1-1956,FALSE)*VLOOKUP($A32,[2]Data!$B$1:$BK$65536,I$1-1956,FALSE)/100</f>
        <v>17018246.301260363</v>
      </c>
      <c r="J32" s="3">
        <f>VLOOKUP($A32,[1]Data!$B$1:$BK$65536,J$1-1956,FALSE)*VLOOKUP($A32,[2]Data!$B$1:$BK$65536,J$1-1956,FALSE)/100</f>
        <v>16934175.943977758</v>
      </c>
      <c r="K32" s="3">
        <f>VLOOKUP($A32,[1]Data!$B$1:$BK$65536,K$1-1956,FALSE)*VLOOKUP($A32,[2]Data!$B$1:$BK$65536,K$1-1956,FALSE)/100</f>
        <v>16854395.782711782</v>
      </c>
      <c r="L32" s="3">
        <f>VLOOKUP($A32,[1]Data!$B$1:$BK$65536,L$1-1956,FALSE)*VLOOKUP($A32,[2]Data!$B$1:$BK$65536,L$1-1956,FALSE)/100</f>
        <v>17290854.973721702</v>
      </c>
      <c r="M32" s="3">
        <f>VLOOKUP($A32,[1]Data!$B$1:$BK$65536,M$1-1956,FALSE)*VLOOKUP($A32,[2]Data!$B$1:$BK$65536,M$1-1956,FALSE)/100</f>
        <v>17810445.712405849</v>
      </c>
      <c r="N32" s="3">
        <f>VLOOKUP($A32,[1]Data!$B$1:$BK$65536,N$1-1956,FALSE)*VLOOKUP($A32,[2]Data!$B$1:$BK$65536,N$1-1956,FALSE)/100</f>
        <v>18617319.56977234</v>
      </c>
      <c r="O32" s="3">
        <f>VLOOKUP($A32,[1]Data!$B$1:$BK$65536,O$1-1956,FALSE)*VLOOKUP($A32,[2]Data!$B$1:$BK$65536,O$1-1956,FALSE)/100</f>
        <v>19332047.847212456</v>
      </c>
      <c r="P32" s="3">
        <f>VLOOKUP($A32,[1]Data!$B$1:$BK$65536,P$1-1956,FALSE)*VLOOKUP($A32,[2]Data!$B$1:$BK$65536,P$1-1956,FALSE)/100</f>
        <v>19357741.240736831</v>
      </c>
      <c r="Q32" s="3">
        <f>VLOOKUP($A32,[1]Data!$B$1:$BK$65536,Q$1-1956,FALSE)*VLOOKUP($A32,[2]Data!$B$1:$BK$65536,Q$1-1956,FALSE)/100</f>
        <v>19223023.343810435</v>
      </c>
      <c r="R32" s="3">
        <f>VLOOKUP($A32,[1]Data!$B$1:$BK$65536,R$1-1956,FALSE)*VLOOKUP($A32,[2]Data!$B$1:$BK$65536,R$1-1956,FALSE)/100</f>
        <v>19281321.779072963</v>
      </c>
      <c r="S32" s="3">
        <f>VLOOKUP($A32,[1]Data!$B$1:$BK$65536,S$1-1956,FALSE)*VLOOKUP($A32,[2]Data!$B$1:$BK$65536,S$1-1956,FALSE)/100</f>
        <v>19289268.911706682</v>
      </c>
      <c r="T32" s="3">
        <f>VLOOKUP($A32,[1]Data!$B$1:$BK$65536,T$1-1956,FALSE)*VLOOKUP($A32,[2]Data!$B$1:$BK$65536,T$1-1956,FALSE)/100</f>
        <v>19248720.239669971</v>
      </c>
      <c r="U32" s="3">
        <f>VLOOKUP($A32,[1]Data!$B$1:$BK$65536,U$1-1956,FALSE)*VLOOKUP($A32,[2]Data!$B$1:$BK$65536,U$1-1956,FALSE)/100</f>
        <v>19645984.398183838</v>
      </c>
    </row>
    <row r="33" spans="1:21" x14ac:dyDescent="0.25">
      <c r="A33" t="s">
        <v>31</v>
      </c>
      <c r="B33" s="3">
        <f>VLOOKUP($A33,[1]Data!$B$1:$BK$65536,B$1-1956,FALSE)*VLOOKUP($A33,[2]Data!$B$1:$BK$65536,B$1-1956,FALSE)/100</f>
        <v>5447121.0152319316</v>
      </c>
      <c r="C33" s="3">
        <f>VLOOKUP($A33,[1]Data!$B$1:$BK$65536,C$1-1956,FALSE)*VLOOKUP($A33,[2]Data!$B$1:$BK$65536,C$1-1956,FALSE)/100</f>
        <v>5479918.7134489007</v>
      </c>
      <c r="D33" s="3">
        <f>VLOOKUP($A33,[1]Data!$B$1:$BK$65536,D$1-1956,FALSE)*VLOOKUP($A33,[2]Data!$B$1:$BK$65536,D$1-1956,FALSE)/100</f>
        <v>5605629.8921048306</v>
      </c>
      <c r="E33" s="3">
        <f>VLOOKUP($A33,[1]Data!$B$1:$BK$65536,E$1-1956,FALSE)*VLOOKUP($A33,[2]Data!$B$1:$BK$65536,E$1-1956,FALSE)/100</f>
        <v>5865379.5581419338</v>
      </c>
      <c r="F33" s="3">
        <f>VLOOKUP($A33,[1]Data!$B$1:$BK$65536,F$1-1956,FALSE)*VLOOKUP($A33,[2]Data!$B$1:$BK$65536,F$1-1956,FALSE)/100</f>
        <v>5910604.8534811381</v>
      </c>
      <c r="G33" s="3">
        <f>VLOOKUP($A33,[1]Data!$B$1:$BK$65536,G$1-1956,FALSE)*VLOOKUP($A33,[2]Data!$B$1:$BK$65536,G$1-1956,FALSE)/100</f>
        <v>6016812.0135768112</v>
      </c>
      <c r="H33" s="3">
        <f>VLOOKUP($A33,[1]Data!$B$1:$BK$65536,H$1-1956,FALSE)*VLOOKUP($A33,[2]Data!$B$1:$BK$65536,H$1-1956,FALSE)/100</f>
        <v>6121985.241153026</v>
      </c>
      <c r="I33" s="3">
        <f>VLOOKUP($A33,[1]Data!$B$1:$BK$65536,I$1-1956,FALSE)*VLOOKUP($A33,[2]Data!$B$1:$BK$65536,I$1-1956,FALSE)/100</f>
        <v>6167796.3995785499</v>
      </c>
      <c r="J33" s="3">
        <f>VLOOKUP($A33,[1]Data!$B$1:$BK$65536,J$1-1956,FALSE)*VLOOKUP($A33,[2]Data!$B$1:$BK$65536,J$1-1956,FALSE)/100</f>
        <v>6083582.3919193242</v>
      </c>
      <c r="K33" s="3">
        <f>VLOOKUP($A33,[1]Data!$B$1:$BK$65536,K$1-1956,FALSE)*VLOOKUP($A33,[2]Data!$B$1:$BK$65536,K$1-1956,FALSE)/100</f>
        <v>6047510.1808759356</v>
      </c>
      <c r="L33" s="3">
        <f>VLOOKUP($A33,[1]Data!$B$1:$BK$65536,L$1-1956,FALSE)*VLOOKUP($A33,[2]Data!$B$1:$BK$65536,L$1-1956,FALSE)/100</f>
        <v>6017567.8043678245</v>
      </c>
      <c r="M33" s="3">
        <f>VLOOKUP($A33,[1]Data!$B$1:$BK$65536,M$1-1956,FALSE)*VLOOKUP($A33,[2]Data!$B$1:$BK$65536,M$1-1956,FALSE)/100</f>
        <v>6043896.9176190197</v>
      </c>
      <c r="N33" s="3">
        <f>VLOOKUP($A33,[1]Data!$B$1:$BK$65536,N$1-1956,FALSE)*VLOOKUP($A33,[2]Data!$B$1:$BK$65536,N$1-1956,FALSE)/100</f>
        <v>6044386.8259732081</v>
      </c>
      <c r="O33" s="3">
        <f>VLOOKUP($A33,[1]Data!$B$1:$BK$65536,O$1-1956,FALSE)*VLOOKUP($A33,[2]Data!$B$1:$BK$65536,O$1-1956,FALSE)/100</f>
        <v>6057014.9845821019</v>
      </c>
      <c r="P33" s="3">
        <f>VLOOKUP($A33,[1]Data!$B$1:$BK$65536,P$1-1956,FALSE)*VLOOKUP($A33,[2]Data!$B$1:$BK$65536,P$1-1956,FALSE)/100</f>
        <v>5863791.9124534642</v>
      </c>
      <c r="Q33" s="3">
        <f>VLOOKUP($A33,[1]Data!$B$1:$BK$65536,Q$1-1956,FALSE)*VLOOKUP($A33,[2]Data!$B$1:$BK$65536,Q$1-1956,FALSE)/100</f>
        <v>5760542.2536926307</v>
      </c>
      <c r="R33" s="3">
        <f>VLOOKUP($A33,[1]Data!$B$1:$BK$65536,R$1-1956,FALSE)*VLOOKUP($A33,[2]Data!$B$1:$BK$65536,R$1-1956,FALSE)/100</f>
        <v>5566051.2784820534</v>
      </c>
      <c r="S33" s="3">
        <f>VLOOKUP($A33,[1]Data!$B$1:$BK$65536,S$1-1956,FALSE)*VLOOKUP($A33,[2]Data!$B$1:$BK$65536,S$1-1956,FALSE)/100</f>
        <v>5330605.2243914781</v>
      </c>
      <c r="T33" s="3">
        <f>VLOOKUP($A33,[1]Data!$B$1:$BK$65536,T$1-1956,FALSE)*VLOOKUP($A33,[2]Data!$B$1:$BK$65536,T$1-1956,FALSE)/100</f>
        <v>5188700.6362913158</v>
      </c>
      <c r="U33" s="3">
        <f>VLOOKUP($A33,[1]Data!$B$1:$BK$65536,U$1-1956,FALSE)*VLOOKUP($A33,[2]Data!$B$1:$BK$65536,U$1-1956,FALSE)/100</f>
        <v>5263249.470517192</v>
      </c>
    </row>
    <row r="34" spans="1:21" x14ac:dyDescent="0.25">
      <c r="A34" t="s">
        <v>32</v>
      </c>
      <c r="B34" s="3">
        <f>VLOOKUP($A34,[1]Data!$B$1:$BK$65536,B$1-1956,FALSE)*VLOOKUP($A34,[2]Data!$B$1:$BK$65536,B$1-1956,FALSE)/100</f>
        <v>14260466.71624794</v>
      </c>
      <c r="C34" s="3">
        <f>VLOOKUP($A34,[1]Data!$B$1:$BK$65536,C$1-1956,FALSE)*VLOOKUP($A34,[2]Data!$B$1:$BK$65536,C$1-1956,FALSE)/100</f>
        <v>13902770.843113864</v>
      </c>
      <c r="D34" s="3">
        <f>VLOOKUP($A34,[1]Data!$B$1:$BK$65536,D$1-1956,FALSE)*VLOOKUP($A34,[2]Data!$B$1:$BK$65536,D$1-1956,FALSE)/100</f>
        <v>14076840.159300549</v>
      </c>
      <c r="E34" s="3">
        <f>VLOOKUP($A34,[1]Data!$B$1:$BK$65536,E$1-1956,FALSE)*VLOOKUP($A34,[2]Data!$B$1:$BK$65536,E$1-1956,FALSE)/100</f>
        <v>13831437.9091278</v>
      </c>
      <c r="F34" s="3">
        <f>VLOOKUP($A34,[1]Data!$B$1:$BK$65536,F$1-1956,FALSE)*VLOOKUP($A34,[2]Data!$B$1:$BK$65536,F$1-1956,FALSE)/100</f>
        <v>13701876.853189085</v>
      </c>
      <c r="G34" s="3">
        <f>VLOOKUP($A34,[1]Data!$B$1:$BK$65536,G$1-1956,FALSE)*VLOOKUP($A34,[2]Data!$B$1:$BK$65536,G$1-1956,FALSE)/100</f>
        <v>13437280.273395842</v>
      </c>
      <c r="H34" s="3">
        <f>VLOOKUP($A34,[1]Data!$B$1:$BK$65536,H$1-1956,FALSE)*VLOOKUP($A34,[2]Data!$B$1:$BK$65536,H$1-1956,FALSE)/100</f>
        <v>13020459.554373937</v>
      </c>
      <c r="I34" s="3">
        <f>VLOOKUP($A34,[1]Data!$B$1:$BK$65536,I$1-1956,FALSE)*VLOOKUP($A34,[2]Data!$B$1:$BK$65536,I$1-1956,FALSE)/100</f>
        <v>11443279.160441892</v>
      </c>
      <c r="J34" s="3">
        <f>VLOOKUP($A34,[1]Data!$B$1:$BK$65536,J$1-1956,FALSE)*VLOOKUP($A34,[2]Data!$B$1:$BK$65536,J$1-1956,FALSE)/100</f>
        <v>11145943.652926257</v>
      </c>
      <c r="K34" s="3">
        <f>VLOOKUP($A34,[1]Data!$B$1:$BK$65536,K$1-1956,FALSE)*VLOOKUP($A34,[2]Data!$B$1:$BK$65536,K$1-1956,FALSE)/100</f>
        <v>10902207.067418516</v>
      </c>
      <c r="L34" s="3">
        <f>VLOOKUP($A34,[1]Data!$B$1:$BK$65536,L$1-1956,FALSE)*VLOOKUP($A34,[2]Data!$B$1:$BK$65536,L$1-1956,FALSE)/100</f>
        <v>10579893.68125</v>
      </c>
      <c r="M34" s="3">
        <f>VLOOKUP($A34,[1]Data!$B$1:$BK$65536,M$1-1956,FALSE)*VLOOKUP($A34,[2]Data!$B$1:$BK$65536,M$1-1956,FALSE)/100</f>
        <v>10696914.573071286</v>
      </c>
      <c r="N34" s="3">
        <f>VLOOKUP($A34,[1]Data!$B$1:$BK$65536,N$1-1956,FALSE)*VLOOKUP($A34,[2]Data!$B$1:$BK$65536,N$1-1956,FALSE)/100</f>
        <v>10591430.498483969</v>
      </c>
      <c r="O34" s="3">
        <f>VLOOKUP($A34,[1]Data!$B$1:$BK$65536,O$1-1956,FALSE)*VLOOKUP($A34,[2]Data!$B$1:$BK$65536,O$1-1956,FALSE)/100</f>
        <v>10429132.674293524</v>
      </c>
      <c r="P34" s="3">
        <f>VLOOKUP($A34,[1]Data!$B$1:$BK$65536,P$1-1956,FALSE)*VLOOKUP($A34,[2]Data!$B$1:$BK$65536,P$1-1956,FALSE)/100</f>
        <v>10192297.807246011</v>
      </c>
      <c r="Q34" s="3">
        <f>VLOOKUP($A34,[1]Data!$B$1:$BK$65536,Q$1-1956,FALSE)*VLOOKUP($A34,[2]Data!$B$1:$BK$65536,Q$1-1956,FALSE)/100</f>
        <v>10350200.238940094</v>
      </c>
      <c r="R34" s="3">
        <f>VLOOKUP($A34,[1]Data!$B$1:$BK$65536,R$1-1956,FALSE)*VLOOKUP($A34,[2]Data!$B$1:$BK$65536,R$1-1956,FALSE)/100</f>
        <v>10122118.405369569</v>
      </c>
      <c r="S34" s="3">
        <f>VLOOKUP($A34,[1]Data!$B$1:$BK$65536,S$1-1956,FALSE)*VLOOKUP($A34,[2]Data!$B$1:$BK$65536,S$1-1956,FALSE)/100</f>
        <v>10209540.121061323</v>
      </c>
      <c r="T34" s="3">
        <f>VLOOKUP($A34,[1]Data!$B$1:$BK$65536,T$1-1956,FALSE)*VLOOKUP($A34,[2]Data!$B$1:$BK$65536,T$1-1956,FALSE)/100</f>
        <v>10114346.330739662</v>
      </c>
      <c r="U34" s="3">
        <f>VLOOKUP($A34,[1]Data!$B$1:$BK$65536,U$1-1956,FALSE)*VLOOKUP($A34,[2]Data!$B$1:$BK$65536,U$1-1956,FALSE)/100</f>
        <v>10163732.608033247</v>
      </c>
    </row>
    <row r="35" spans="1:21" x14ac:dyDescent="0.25">
      <c r="A35" t="s">
        <v>33</v>
      </c>
      <c r="B35" s="3">
        <f>VLOOKUP($A35,[1]Data!$B$1:$BK$65536,B$1-1956,FALSE)*VLOOKUP($A35,[2]Data!$B$1:$BK$65536,B$1-1956,FALSE)/100</f>
        <v>82634894.258477598</v>
      </c>
      <c r="C35" s="3">
        <f>VLOOKUP($A35,[1]Data!$B$1:$BK$65536,C$1-1956,FALSE)*VLOOKUP($A35,[2]Data!$B$1:$BK$65536,C$1-1956,FALSE)/100</f>
        <v>80865753.636491418</v>
      </c>
      <c r="D35" s="3">
        <f>VLOOKUP($A35,[1]Data!$B$1:$BK$65536,D$1-1956,FALSE)*VLOOKUP($A35,[2]Data!$B$1:$BK$65536,D$1-1956,FALSE)/100</f>
        <v>76941102.714340478</v>
      </c>
      <c r="E35" s="3">
        <f>VLOOKUP($A35,[1]Data!$B$1:$BK$65536,E$1-1956,FALSE)*VLOOKUP($A35,[2]Data!$B$1:$BK$65536,E$1-1956,FALSE)/100</f>
        <v>74393538.782222018</v>
      </c>
      <c r="F35" s="3">
        <f>VLOOKUP($A35,[1]Data!$B$1:$BK$65536,F$1-1956,FALSE)*VLOOKUP($A35,[2]Data!$B$1:$BK$65536,F$1-1956,FALSE)/100</f>
        <v>78382830.112733498</v>
      </c>
      <c r="G35" s="3">
        <f>VLOOKUP($A35,[1]Data!$B$1:$BK$65536,G$1-1956,FALSE)*VLOOKUP($A35,[2]Data!$B$1:$BK$65536,G$1-1956,FALSE)/100</f>
        <v>80280673.225713581</v>
      </c>
      <c r="H35" s="3">
        <f>VLOOKUP($A35,[1]Data!$B$1:$BK$65536,H$1-1956,FALSE)*VLOOKUP($A35,[2]Data!$B$1:$BK$65536,H$1-1956,FALSE)/100</f>
        <v>79675207.733261362</v>
      </c>
      <c r="I35" s="3">
        <f>VLOOKUP($A35,[1]Data!$B$1:$BK$65536,I$1-1956,FALSE)*VLOOKUP($A35,[2]Data!$B$1:$BK$65536,I$1-1956,FALSE)/100</f>
        <v>81011025.169540122</v>
      </c>
      <c r="J35" s="3">
        <f>VLOOKUP($A35,[1]Data!$B$1:$BK$65536,J$1-1956,FALSE)*VLOOKUP($A35,[2]Data!$B$1:$BK$65536,J$1-1956,FALSE)/100</f>
        <v>79887785.990959391</v>
      </c>
      <c r="K35" s="3">
        <f>VLOOKUP($A35,[1]Data!$B$1:$BK$65536,K$1-1956,FALSE)*VLOOKUP($A35,[2]Data!$B$1:$BK$65536,K$1-1956,FALSE)/100</f>
        <v>80472977.485403478</v>
      </c>
      <c r="L35" s="3">
        <f>VLOOKUP($A35,[1]Data!$B$1:$BK$65536,L$1-1956,FALSE)*VLOOKUP($A35,[2]Data!$B$1:$BK$65536,L$1-1956,FALSE)/100</f>
        <v>81225744.240644276</v>
      </c>
      <c r="M35" s="3">
        <f>VLOOKUP($A35,[1]Data!$B$1:$BK$65536,M$1-1956,FALSE)*VLOOKUP($A35,[2]Data!$B$1:$BK$65536,M$1-1956,FALSE)/100</f>
        <v>81355129.921543553</v>
      </c>
      <c r="N35" s="3">
        <f>VLOOKUP($A35,[1]Data!$B$1:$BK$65536,N$1-1956,FALSE)*VLOOKUP($A35,[2]Data!$B$1:$BK$65536,N$1-1956,FALSE)/100</f>
        <v>83243941.635476038</v>
      </c>
      <c r="O35" s="3">
        <f>VLOOKUP($A35,[1]Data!$B$1:$BK$65536,O$1-1956,FALSE)*VLOOKUP($A35,[2]Data!$B$1:$BK$65536,O$1-1956,FALSE)/100</f>
        <v>83604193.959384888</v>
      </c>
      <c r="P35" s="3">
        <f>VLOOKUP($A35,[1]Data!$B$1:$BK$65536,P$1-1956,FALSE)*VLOOKUP($A35,[2]Data!$B$1:$BK$65536,P$1-1956,FALSE)/100</f>
        <v>81817426.945710927</v>
      </c>
      <c r="Q35" s="3">
        <f>VLOOKUP($A35,[1]Data!$B$1:$BK$65536,Q$1-1956,FALSE)*VLOOKUP($A35,[2]Data!$B$1:$BK$65536,Q$1-1956,FALSE)/100</f>
        <v>82629837.80802311</v>
      </c>
      <c r="R35" s="3">
        <f>VLOOKUP($A35,[1]Data!$B$1:$BK$65536,R$1-1956,FALSE)*VLOOKUP($A35,[2]Data!$B$1:$BK$65536,R$1-1956,FALSE)/100</f>
        <v>83765059.249458507</v>
      </c>
      <c r="S35" s="3">
        <f>VLOOKUP($A35,[1]Data!$B$1:$BK$65536,S$1-1956,FALSE)*VLOOKUP($A35,[2]Data!$B$1:$BK$65536,S$1-1956,FALSE)/100</f>
        <v>84894250.937832162</v>
      </c>
      <c r="T35" s="3">
        <f>VLOOKUP($A35,[1]Data!$B$1:$BK$65536,T$1-1956,FALSE)*VLOOKUP($A35,[2]Data!$B$1:$BK$65536,T$1-1956,FALSE)/100</f>
        <v>84908733.768600956</v>
      </c>
      <c r="U35" s="3">
        <f>VLOOKUP($A35,[1]Data!$B$1:$BK$65536,U$1-1956,FALSE)*VLOOKUP($A35,[2]Data!$B$1:$BK$65536,U$1-1956,FALSE)/100</f>
        <v>85414498.759594381</v>
      </c>
    </row>
    <row r="36" spans="1:21" x14ac:dyDescent="0.25">
      <c r="A36" t="s">
        <v>34</v>
      </c>
      <c r="B36" s="3">
        <f>VLOOKUP($A36,[1]Data!$B$1:$BK$65536,B$1-1956,FALSE)*VLOOKUP($A36,[2]Data!$B$1:$BK$65536,B$1-1956,FALSE)/100</f>
        <v>2792046.453472137</v>
      </c>
      <c r="C36" s="3">
        <f>VLOOKUP($A36,[1]Data!$B$1:$BK$65536,C$1-1956,FALSE)*VLOOKUP($A36,[2]Data!$B$1:$BK$65536,C$1-1956,FALSE)/100</f>
        <v>2867601.5960265738</v>
      </c>
      <c r="D36" s="3">
        <f>VLOOKUP($A36,[1]Data!$B$1:$BK$65536,D$1-1956,FALSE)*VLOOKUP($A36,[2]Data!$B$1:$BK$65536,D$1-1956,FALSE)/100</f>
        <v>2828865.5760900523</v>
      </c>
      <c r="E36" s="3">
        <f>VLOOKUP($A36,[1]Data!$B$1:$BK$65536,E$1-1956,FALSE)*VLOOKUP($A36,[2]Data!$B$1:$BK$65536,E$1-1956,FALSE)/100</f>
        <v>2805817.4124226356</v>
      </c>
      <c r="F36" s="3">
        <f>VLOOKUP($A36,[1]Data!$B$1:$BK$65536,F$1-1956,FALSE)*VLOOKUP($A36,[2]Data!$B$1:$BK$65536,F$1-1956,FALSE)/100</f>
        <v>2692182.2061828594</v>
      </c>
      <c r="G36" s="3">
        <f>VLOOKUP($A36,[1]Data!$B$1:$BK$65536,G$1-1956,FALSE)*VLOOKUP($A36,[2]Data!$B$1:$BK$65536,G$1-1956,FALSE)/100</f>
        <v>2606038.8824890163</v>
      </c>
      <c r="H36" s="3">
        <f>VLOOKUP($A36,[1]Data!$B$1:$BK$65536,H$1-1956,FALSE)*VLOOKUP($A36,[2]Data!$B$1:$BK$65536,H$1-1956,FALSE)/100</f>
        <v>2621498.3835260035</v>
      </c>
      <c r="I36" s="3">
        <f>VLOOKUP($A36,[1]Data!$B$1:$BK$65536,I$1-1956,FALSE)*VLOOKUP($A36,[2]Data!$B$1:$BK$65536,I$1-1956,FALSE)/100</f>
        <v>2614093.3382171639</v>
      </c>
      <c r="J36" s="3">
        <f>VLOOKUP($A36,[1]Data!$B$1:$BK$65536,J$1-1956,FALSE)*VLOOKUP($A36,[2]Data!$B$1:$BK$65536,J$1-1956,FALSE)/100</f>
        <v>2682495.8158348864</v>
      </c>
      <c r="K36" s="3">
        <f>VLOOKUP($A36,[1]Data!$B$1:$BK$65536,K$1-1956,FALSE)*VLOOKUP($A36,[2]Data!$B$1:$BK$65536,K$1-1956,FALSE)/100</f>
        <v>2633115.6226318385</v>
      </c>
      <c r="L36" s="3">
        <f>VLOOKUP($A36,[1]Data!$B$1:$BK$65536,L$1-1956,FALSE)*VLOOKUP($A36,[2]Data!$B$1:$BK$65536,L$1-1956,FALSE)/100</f>
        <v>2680063.5861003483</v>
      </c>
      <c r="M36" s="3">
        <f>VLOOKUP($A36,[1]Data!$B$1:$BK$65536,M$1-1956,FALSE)*VLOOKUP($A36,[2]Data!$B$1:$BK$65536,M$1-1956,FALSE)/100</f>
        <v>2750842.3809526055</v>
      </c>
      <c r="N36" s="3">
        <f>VLOOKUP($A36,[1]Data!$B$1:$BK$65536,N$1-1956,FALSE)*VLOOKUP($A36,[2]Data!$B$1:$BK$65536,N$1-1956,FALSE)/100</f>
        <v>2805982.6636012285</v>
      </c>
      <c r="O36" s="3">
        <f>VLOOKUP($A36,[1]Data!$B$1:$BK$65536,O$1-1956,FALSE)*VLOOKUP($A36,[2]Data!$B$1:$BK$65536,O$1-1956,FALSE)/100</f>
        <v>2881117.2686725231</v>
      </c>
      <c r="P36" s="3">
        <f>VLOOKUP($A36,[1]Data!$B$1:$BK$65536,P$1-1956,FALSE)*VLOOKUP($A36,[2]Data!$B$1:$BK$65536,P$1-1956,FALSE)/100</f>
        <v>2782671.1658525849</v>
      </c>
      <c r="Q36" s="3">
        <f>VLOOKUP($A36,[1]Data!$B$1:$BK$65536,Q$1-1956,FALSE)*VLOOKUP($A36,[2]Data!$B$1:$BK$65536,Q$1-1956,FALSE)/100</f>
        <v>2713721.3497760026</v>
      </c>
      <c r="R36" s="3">
        <f>VLOOKUP($A36,[1]Data!$B$1:$BK$65536,R$1-1956,FALSE)*VLOOKUP($A36,[2]Data!$B$1:$BK$65536,R$1-1956,FALSE)/100</f>
        <v>2738384.361744998</v>
      </c>
      <c r="S36" s="3">
        <f>VLOOKUP($A36,[1]Data!$B$1:$BK$65536,S$1-1956,FALSE)*VLOOKUP($A36,[2]Data!$B$1:$BK$65536,S$1-1956,FALSE)/100</f>
        <v>2750619.1951997001</v>
      </c>
      <c r="T36" s="3">
        <f>VLOOKUP($A36,[1]Data!$B$1:$BK$65536,T$1-1956,FALSE)*VLOOKUP($A36,[2]Data!$B$1:$BK$65536,T$1-1956,FALSE)/100</f>
        <v>2749137.5225964729</v>
      </c>
      <c r="U36" s="3">
        <f>VLOOKUP($A36,[1]Data!$B$1:$BK$65536,U$1-1956,FALSE)*VLOOKUP($A36,[2]Data!$B$1:$BK$65536,U$1-1956,FALSE)/100</f>
        <v>2788870.1862916201</v>
      </c>
    </row>
    <row r="37" spans="1:21" x14ac:dyDescent="0.25">
      <c r="A37" t="s">
        <v>35</v>
      </c>
      <c r="B37" s="3">
        <f>VLOOKUP($A37,[1]Data!$B$1:$BK$65536,B$1-1956,FALSE)*VLOOKUP($A37,[2]Data!$B$1:$BK$65536,B$1-1956,FALSE)/100</f>
        <v>1067128.5233679204</v>
      </c>
      <c r="C37" s="3">
        <f>VLOOKUP($A37,[1]Data!$B$1:$BK$65536,C$1-1956,FALSE)*VLOOKUP($A37,[2]Data!$B$1:$BK$65536,C$1-1956,FALSE)/100</f>
        <v>1066580.7190653989</v>
      </c>
      <c r="D37" s="3">
        <f>VLOOKUP($A37,[1]Data!$B$1:$BK$65536,D$1-1956,FALSE)*VLOOKUP($A37,[2]Data!$B$1:$BK$65536,D$1-1956,FALSE)/100</f>
        <v>1081611.2411286926</v>
      </c>
      <c r="E37" s="3">
        <f>VLOOKUP($A37,[1]Data!$B$1:$BK$65536,E$1-1956,FALSE)*VLOOKUP($A37,[2]Data!$B$1:$BK$65536,E$1-1956,FALSE)/100</f>
        <v>1088211.5834923545</v>
      </c>
      <c r="F37" s="3">
        <f>VLOOKUP($A37,[1]Data!$B$1:$BK$65536,F$1-1956,FALSE)*VLOOKUP($A37,[2]Data!$B$1:$BK$65536,F$1-1956,FALSE)/100</f>
        <v>1067711.070139504</v>
      </c>
      <c r="G37" s="3">
        <f>VLOOKUP($A37,[1]Data!$B$1:$BK$65536,G$1-1956,FALSE)*VLOOKUP($A37,[2]Data!$B$1:$BK$65536,G$1-1956,FALSE)/100</f>
        <v>1062364.4286346445</v>
      </c>
      <c r="H37" s="3">
        <f>VLOOKUP($A37,[1]Data!$B$1:$BK$65536,H$1-1956,FALSE)*VLOOKUP($A37,[2]Data!$B$1:$BK$65536,H$1-1956,FALSE)/100</f>
        <v>1080951.5275268564</v>
      </c>
      <c r="I37" s="3">
        <f>VLOOKUP($A37,[1]Data!$B$1:$BK$65536,I$1-1956,FALSE)*VLOOKUP($A37,[2]Data!$B$1:$BK$65536,I$1-1956,FALSE)/100</f>
        <v>1088215.595390701</v>
      </c>
      <c r="J37" s="3">
        <f>VLOOKUP($A37,[1]Data!$B$1:$BK$65536,J$1-1956,FALSE)*VLOOKUP($A37,[2]Data!$B$1:$BK$65536,J$1-1956,FALSE)/100</f>
        <v>1054006.4638085556</v>
      </c>
      <c r="K37" s="3">
        <f>VLOOKUP($A37,[1]Data!$B$1:$BK$65536,K$1-1956,FALSE)*VLOOKUP($A37,[2]Data!$B$1:$BK$65536,K$1-1956,FALSE)/100</f>
        <v>1106923.7985443119</v>
      </c>
      <c r="L37" s="3">
        <f>VLOOKUP($A37,[1]Data!$B$1:$BK$65536,L$1-1956,FALSE)*VLOOKUP($A37,[2]Data!$B$1:$BK$65536,L$1-1956,FALSE)/100</f>
        <v>1107462.4186099251</v>
      </c>
      <c r="M37" s="3">
        <f>VLOOKUP($A37,[1]Data!$B$1:$BK$65536,M$1-1956,FALSE)*VLOOKUP($A37,[2]Data!$B$1:$BK$65536,M$1-1956,FALSE)/100</f>
        <v>1119029.563115387</v>
      </c>
      <c r="N37" s="3">
        <f>VLOOKUP($A37,[1]Data!$B$1:$BK$65536,N$1-1956,FALSE)*VLOOKUP($A37,[2]Data!$B$1:$BK$65536,N$1-1956,FALSE)/100</f>
        <v>1148069.2532141125</v>
      </c>
      <c r="O37" s="3">
        <f>VLOOKUP($A37,[1]Data!$B$1:$BK$65536,O$1-1956,FALSE)*VLOOKUP($A37,[2]Data!$B$1:$BK$65536,O$1-1956,FALSE)/100</f>
        <v>1149886.2559497082</v>
      </c>
      <c r="P37" s="3">
        <f>VLOOKUP($A37,[1]Data!$B$1:$BK$65536,P$1-1956,FALSE)*VLOOKUP($A37,[2]Data!$B$1:$BK$65536,P$1-1956,FALSE)/100</f>
        <v>1141255.9775187294</v>
      </c>
      <c r="Q37" s="3">
        <f>VLOOKUP($A37,[1]Data!$B$1:$BK$65536,Q$1-1956,FALSE)*VLOOKUP($A37,[2]Data!$B$1:$BK$65536,Q$1-1956,FALSE)/100</f>
        <v>1125798.8251606754</v>
      </c>
      <c r="R37" s="3">
        <f>VLOOKUP($A37,[1]Data!$B$1:$BK$65536,R$1-1956,FALSE)*VLOOKUP($A37,[2]Data!$B$1:$BK$65536,R$1-1956,FALSE)/100</f>
        <v>1094801.726642075</v>
      </c>
      <c r="S37" s="3">
        <f>VLOOKUP($A37,[1]Data!$B$1:$BK$65536,S$1-1956,FALSE)*VLOOKUP($A37,[2]Data!$B$1:$BK$65536,S$1-1956,FALSE)/100</f>
        <v>1082703.3639625162</v>
      </c>
      <c r="T37" s="3">
        <f>VLOOKUP($A37,[1]Data!$B$1:$BK$65536,T$1-1956,FALSE)*VLOOKUP($A37,[2]Data!$B$1:$BK$65536,T$1-1956,FALSE)/100</f>
        <v>1064130.5402280802</v>
      </c>
      <c r="U37" s="3">
        <f>VLOOKUP($A37,[1]Data!$B$1:$BK$65536,U$1-1956,FALSE)*VLOOKUP($A37,[2]Data!$B$1:$BK$65536,U$1-1956,FALSE)/100</f>
        <v>1075260.6973854073</v>
      </c>
    </row>
    <row r="38" spans="1:21" x14ac:dyDescent="0.25">
      <c r="A38" t="s">
        <v>36</v>
      </c>
      <c r="B38" s="3">
        <f>VLOOKUP($A38,[1]Data!$B$1:$BK$65536,B$1-1956,FALSE)*VLOOKUP($A38,[2]Data!$B$1:$BK$65536,B$1-1956,FALSE)/100</f>
        <v>5122449.3724746294</v>
      </c>
      <c r="C38" s="3">
        <f>VLOOKUP($A38,[1]Data!$B$1:$BK$65536,C$1-1956,FALSE)*VLOOKUP($A38,[2]Data!$B$1:$BK$65536,C$1-1956,FALSE)/100</f>
        <v>5082778.2600081638</v>
      </c>
      <c r="D38" s="3">
        <f>VLOOKUP($A38,[1]Data!$B$1:$BK$65536,D$1-1956,FALSE)*VLOOKUP($A38,[2]Data!$B$1:$BK$65536,D$1-1956,FALSE)/100</f>
        <v>5003952.010322568</v>
      </c>
      <c r="E38" s="3">
        <f>VLOOKUP($A38,[1]Data!$B$1:$BK$65536,E$1-1956,FALSE)*VLOOKUP($A38,[2]Data!$B$1:$BK$65536,E$1-1956,FALSE)/100</f>
        <v>5061606.525689926</v>
      </c>
      <c r="F38" s="3">
        <f>VLOOKUP($A38,[1]Data!$B$1:$BK$65536,F$1-1956,FALSE)*VLOOKUP($A38,[2]Data!$B$1:$BK$65536,F$1-1956,FALSE)/100</f>
        <v>5155282.7355802199</v>
      </c>
      <c r="G38" s="3">
        <f>VLOOKUP($A38,[1]Data!$B$1:$BK$65536,G$1-1956,FALSE)*VLOOKUP($A38,[2]Data!$B$1:$BK$65536,G$1-1956,FALSE)/100</f>
        <v>5231084.0575274704</v>
      </c>
      <c r="H38" s="3">
        <f>VLOOKUP($A38,[1]Data!$B$1:$BK$65536,H$1-1956,FALSE)*VLOOKUP($A38,[2]Data!$B$1:$BK$65536,H$1-1956,FALSE)/100</f>
        <v>5305105.596684265</v>
      </c>
      <c r="I38" s="3">
        <f>VLOOKUP($A38,[1]Data!$B$1:$BK$65536,I$1-1956,FALSE)*VLOOKUP($A38,[2]Data!$B$1:$BK$65536,I$1-1956,FALSE)/100</f>
        <v>5300086.1584975431</v>
      </c>
      <c r="J38" s="3">
        <f>VLOOKUP($A38,[1]Data!$B$1:$BK$65536,J$1-1956,FALSE)*VLOOKUP($A38,[2]Data!$B$1:$BK$65536,J$1-1956,FALSE)/100</f>
        <v>5290282.1632883474</v>
      </c>
      <c r="K38" s="3">
        <f>VLOOKUP($A38,[1]Data!$B$1:$BK$65536,K$1-1956,FALSE)*VLOOKUP($A38,[2]Data!$B$1:$BK$65536,K$1-1956,FALSE)/100</f>
        <v>5231267.1603023503</v>
      </c>
      <c r="L38" s="3">
        <f>VLOOKUP($A38,[1]Data!$B$1:$BK$65536,L$1-1956,FALSE)*VLOOKUP($A38,[2]Data!$B$1:$BK$65536,L$1-1956,FALSE)/100</f>
        <v>5251689.3075410463</v>
      </c>
      <c r="M38" s="3">
        <f>VLOOKUP($A38,[1]Data!$B$1:$BK$65536,M$1-1956,FALSE)*VLOOKUP($A38,[2]Data!$B$1:$BK$65536,M$1-1956,FALSE)/100</f>
        <v>5340880.7477806062</v>
      </c>
      <c r="N38" s="3">
        <f>VLOOKUP($A38,[1]Data!$B$1:$BK$65536,N$1-1956,FALSE)*VLOOKUP($A38,[2]Data!$B$1:$BK$65536,N$1-1956,FALSE)/100</f>
        <v>5462600.2904228214</v>
      </c>
      <c r="O38" s="3">
        <f>VLOOKUP($A38,[1]Data!$B$1:$BK$65536,O$1-1956,FALSE)*VLOOKUP($A38,[2]Data!$B$1:$BK$65536,O$1-1956,FALSE)/100</f>
        <v>5514725.7449375549</v>
      </c>
      <c r="P38" s="3">
        <f>VLOOKUP($A38,[1]Data!$B$1:$BK$65536,P$1-1956,FALSE)*VLOOKUP($A38,[2]Data!$B$1:$BK$65536,P$1-1956,FALSE)/100</f>
        <v>5393324.5681434646</v>
      </c>
      <c r="Q38" s="3">
        <f>VLOOKUP($A38,[1]Data!$B$1:$BK$65536,Q$1-1956,FALSE)*VLOOKUP($A38,[2]Data!$B$1:$BK$65536,Q$1-1956,FALSE)/100</f>
        <v>5412022.6989962803</v>
      </c>
      <c r="R38" s="3">
        <f>VLOOKUP($A38,[1]Data!$B$1:$BK$65536,R$1-1956,FALSE)*VLOOKUP($A38,[2]Data!$B$1:$BK$65536,R$1-1956,FALSE)/100</f>
        <v>5522498.0687893657</v>
      </c>
      <c r="S38" s="3">
        <f>VLOOKUP($A38,[1]Data!$B$1:$BK$65536,S$1-1956,FALSE)*VLOOKUP($A38,[2]Data!$B$1:$BK$65536,S$1-1956,FALSE)/100</f>
        <v>5558362.4204983488</v>
      </c>
      <c r="T38" s="3">
        <f>VLOOKUP($A38,[1]Data!$B$1:$BK$65536,T$1-1956,FALSE)*VLOOKUP($A38,[2]Data!$B$1:$BK$65536,T$1-1956,FALSE)/100</f>
        <v>5638398.4938064935</v>
      </c>
      <c r="U38" s="3">
        <f>VLOOKUP($A38,[1]Data!$B$1:$BK$65536,U$1-1956,FALSE)*VLOOKUP($A38,[2]Data!$B$1:$BK$65536,U$1-1956,FALSE)/100</f>
        <v>5709166.5794033026</v>
      </c>
    </row>
    <row r="39" spans="1:21" x14ac:dyDescent="0.25">
      <c r="A39" t="s">
        <v>37</v>
      </c>
      <c r="B39" s="3">
        <f>VLOOKUP($A39,[1]Data!$B$1:$BK$65536,B$1-1956,FALSE)*VLOOKUP($A39,[2]Data!$B$1:$BK$65536,B$1-1956,FALSE)/100</f>
        <v>28883535.313924257</v>
      </c>
      <c r="C39" s="3">
        <f>VLOOKUP($A39,[1]Data!$B$1:$BK$65536,C$1-1956,FALSE)*VLOOKUP($A39,[2]Data!$B$1:$BK$65536,C$1-1956,FALSE)/100</f>
        <v>29402639.661581784</v>
      </c>
      <c r="D39" s="3">
        <f>VLOOKUP($A39,[1]Data!$B$1:$BK$65536,D$1-1956,FALSE)*VLOOKUP($A39,[2]Data!$B$1:$BK$65536,D$1-1956,FALSE)/100</f>
        <v>29073618.474548016</v>
      </c>
      <c r="E39" s="3">
        <f>VLOOKUP($A39,[1]Data!$B$1:$BK$65536,E$1-1956,FALSE)*VLOOKUP($A39,[2]Data!$B$1:$BK$65536,E$1-1956,FALSE)/100</f>
        <v>29603221.926078964</v>
      </c>
      <c r="F39" s="3">
        <f>VLOOKUP($A39,[1]Data!$B$1:$BK$65536,F$1-1956,FALSE)*VLOOKUP($A39,[2]Data!$B$1:$BK$65536,F$1-1956,FALSE)/100</f>
        <v>29736004.373273276</v>
      </c>
      <c r="G39" s="3">
        <f>VLOOKUP($A39,[1]Data!$B$1:$BK$65536,G$1-1956,FALSE)*VLOOKUP($A39,[2]Data!$B$1:$BK$65536,G$1-1956,FALSE)/100</f>
        <v>28853970.567051243</v>
      </c>
      <c r="H39" s="3">
        <f>VLOOKUP($A39,[1]Data!$B$1:$BK$65536,H$1-1956,FALSE)*VLOOKUP($A39,[2]Data!$B$1:$BK$65536,H$1-1956,FALSE)/100</f>
        <v>28583521.884680338</v>
      </c>
      <c r="I39" s="3">
        <f>VLOOKUP($A39,[1]Data!$B$1:$BK$65536,I$1-1956,FALSE)*VLOOKUP($A39,[2]Data!$B$1:$BK$65536,I$1-1956,FALSE)/100</f>
        <v>28189702.790743474</v>
      </c>
      <c r="J39" s="3">
        <f>VLOOKUP($A39,[1]Data!$B$1:$BK$65536,J$1-1956,FALSE)*VLOOKUP($A39,[2]Data!$B$1:$BK$65536,J$1-1956,FALSE)/100</f>
        <v>27754243.663989052</v>
      </c>
      <c r="K39" s="3">
        <f>VLOOKUP($A39,[1]Data!$B$1:$BK$65536,K$1-1956,FALSE)*VLOOKUP($A39,[2]Data!$B$1:$BK$65536,K$1-1956,FALSE)/100</f>
        <v>27460409.066050313</v>
      </c>
      <c r="L39" s="3">
        <f>VLOOKUP($A39,[1]Data!$B$1:$BK$65536,L$1-1956,FALSE)*VLOOKUP($A39,[2]Data!$B$1:$BK$65536,L$1-1956,FALSE)/100</f>
        <v>27930733.5100426</v>
      </c>
      <c r="M39" s="3">
        <f>VLOOKUP($A39,[1]Data!$B$1:$BK$65536,M$1-1956,FALSE)*VLOOKUP($A39,[2]Data!$B$1:$BK$65536,M$1-1956,FALSE)/100</f>
        <v>28278299.683722701</v>
      </c>
      <c r="N39" s="3">
        <f>VLOOKUP($A39,[1]Data!$B$1:$BK$65536,N$1-1956,FALSE)*VLOOKUP($A39,[2]Data!$B$1:$BK$65536,N$1-1956,FALSE)/100</f>
        <v>28586310.741248187</v>
      </c>
      <c r="O39" s="3">
        <f>VLOOKUP($A39,[1]Data!$B$1:$BK$65536,O$1-1956,FALSE)*VLOOKUP($A39,[2]Data!$B$1:$BK$65536,O$1-1956,FALSE)/100</f>
        <v>29111754.800269328</v>
      </c>
      <c r="P39" s="3">
        <f>VLOOKUP($A39,[1]Data!$B$1:$BK$65536,P$1-1956,FALSE)*VLOOKUP($A39,[2]Data!$B$1:$BK$65536,P$1-1956,FALSE)/100</f>
        <v>29087006.828902461</v>
      </c>
      <c r="Q39" s="3">
        <f>VLOOKUP($A39,[1]Data!$B$1:$BK$65536,Q$1-1956,FALSE)*VLOOKUP($A39,[2]Data!$B$1:$BK$65536,Q$1-1956,FALSE)/100</f>
        <v>30821421.518552832</v>
      </c>
      <c r="R39" s="3">
        <f>VLOOKUP($A39,[1]Data!$B$1:$BK$65536,R$1-1956,FALSE)*VLOOKUP($A39,[2]Data!$B$1:$BK$65536,R$1-1956,FALSE)/100</f>
        <v>32677377.987003304</v>
      </c>
      <c r="S39" s="3">
        <f>VLOOKUP($A39,[1]Data!$B$1:$BK$65536,S$1-1956,FALSE)*VLOOKUP($A39,[2]Data!$B$1:$BK$65536,S$1-1956,FALSE)/100</f>
        <v>33410211.988101467</v>
      </c>
      <c r="T39" s="3">
        <f>VLOOKUP($A39,[1]Data!$B$1:$BK$65536,T$1-1956,FALSE)*VLOOKUP($A39,[2]Data!$B$1:$BK$65536,T$1-1956,FALSE)/100</f>
        <v>34392603.438503288</v>
      </c>
      <c r="U39" s="3">
        <f>VLOOKUP($A39,[1]Data!$B$1:$BK$65536,U$1-1956,FALSE)*VLOOKUP($A39,[2]Data!$B$1:$BK$65536,U$1-1956,FALSE)/100</f>
        <v>34877157.188530989</v>
      </c>
    </row>
    <row r="40" spans="1:21" x14ac:dyDescent="0.25">
      <c r="A40" t="s">
        <v>38</v>
      </c>
      <c r="B40" s="3">
        <f>B60</f>
        <v>9068000</v>
      </c>
      <c r="C40" s="3">
        <f t="shared" ref="C40:U40" si="0">C60</f>
        <v>9176000</v>
      </c>
      <c r="D40" s="3">
        <f t="shared" si="0"/>
        <v>9289000</v>
      </c>
      <c r="E40" s="3">
        <f t="shared" si="0"/>
        <v>9385000</v>
      </c>
      <c r="F40" s="3">
        <f t="shared" si="0"/>
        <v>9491000</v>
      </c>
      <c r="G40" s="3">
        <f t="shared" si="0"/>
        <v>9383000</v>
      </c>
      <c r="H40" s="3">
        <f t="shared" si="0"/>
        <v>9454000</v>
      </c>
      <c r="I40" s="3">
        <f t="shared" si="0"/>
        <v>9573000</v>
      </c>
      <c r="J40" s="3">
        <f t="shared" si="0"/>
        <v>9786000</v>
      </c>
      <c r="K40" s="3">
        <f t="shared" si="0"/>
        <v>9942000</v>
      </c>
      <c r="L40" s="3">
        <f t="shared" si="0"/>
        <v>10111000</v>
      </c>
      <c r="M40" s="3">
        <f t="shared" si="0"/>
        <v>10294000</v>
      </c>
      <c r="N40" s="3">
        <f t="shared" si="0"/>
        <v>10403000</v>
      </c>
      <c r="O40" s="3">
        <f t="shared" si="0"/>
        <v>10279000</v>
      </c>
      <c r="P40" s="3">
        <f t="shared" si="0"/>
        <v>10493000</v>
      </c>
      <c r="Q40" s="3">
        <f t="shared" si="0"/>
        <v>10709000</v>
      </c>
      <c r="R40" s="3">
        <f t="shared" si="0"/>
        <v>10860000</v>
      </c>
      <c r="S40" s="3">
        <f t="shared" si="0"/>
        <v>10967000</v>
      </c>
      <c r="T40" s="3">
        <f t="shared" si="0"/>
        <v>11079000</v>
      </c>
      <c r="U40" s="3">
        <f t="shared" si="0"/>
        <v>11198000</v>
      </c>
    </row>
    <row r="41" spans="1:21" x14ac:dyDescent="0.25">
      <c r="A41" t="s">
        <v>39</v>
      </c>
      <c r="B41" s="3">
        <f>VLOOKUP($A41,[1]Data!$B$1:$BK$65536,B$1-1956,FALSE)*VLOOKUP($A41,[2]Data!$B$1:$BK$65536,B$1-1956,FALSE)/100</f>
        <v>165377273.31565854</v>
      </c>
      <c r="C41" s="3">
        <f>VLOOKUP($A41,[1]Data!$B$1:$BK$65536,C$1-1956,FALSE)*VLOOKUP($A41,[2]Data!$B$1:$BK$65536,C$1-1956,FALSE)/100</f>
        <v>168112629.95132452</v>
      </c>
      <c r="D41" s="3">
        <f>VLOOKUP($A41,[1]Data!$B$1:$BK$65536,D$1-1956,FALSE)*VLOOKUP($A41,[2]Data!$B$1:$BK$65536,D$1-1956,FALSE)/100</f>
        <v>171801171.12354279</v>
      </c>
      <c r="E41" s="3">
        <f>VLOOKUP($A41,[1]Data!$B$1:$BK$65536,E$1-1956,FALSE)*VLOOKUP($A41,[2]Data!$B$1:$BK$65536,E$1-1956,FALSE)/100</f>
        <v>174634889.59121713</v>
      </c>
      <c r="F41" s="3">
        <f>VLOOKUP($A41,[1]Data!$B$1:$BK$65536,F$1-1956,FALSE)*VLOOKUP($A41,[2]Data!$B$1:$BK$65536,F$1-1956,FALSE)/100</f>
        <v>177357827.83203122</v>
      </c>
      <c r="G41" s="3">
        <f>VLOOKUP($A41,[1]Data!$B$1:$BK$65536,G$1-1956,FALSE)*VLOOKUP($A41,[2]Data!$B$1:$BK$65536,G$1-1956,FALSE)/100</f>
        <v>179920859.6519672</v>
      </c>
      <c r="H41" s="3">
        <f>VLOOKUP($A41,[1]Data!$B$1:$BK$65536,H$1-1956,FALSE)*VLOOKUP($A41,[2]Data!$B$1:$BK$65536,H$1-1956,FALSE)/100</f>
        <v>179313864.6354408</v>
      </c>
      <c r="I41" s="3">
        <f>VLOOKUP($A41,[1]Data!$B$1:$BK$65536,I$1-1956,FALSE)*VLOOKUP($A41,[2]Data!$B$1:$BK$65536,I$1-1956,FALSE)/100</f>
        <v>178025614.52399373</v>
      </c>
      <c r="J41" s="3">
        <f>VLOOKUP($A41,[1]Data!$B$1:$BK$65536,J$1-1956,FALSE)*VLOOKUP($A41,[2]Data!$B$1:$BK$65536,J$1-1956,FALSE)/100</f>
        <v>178085660.3551437</v>
      </c>
      <c r="K41" s="3">
        <f>VLOOKUP($A41,[1]Data!$B$1:$BK$65536,K$1-1956,FALSE)*VLOOKUP($A41,[2]Data!$B$1:$BK$65536,K$1-1956,FALSE)/100</f>
        <v>179855652.06257272</v>
      </c>
      <c r="L41" s="3">
        <f>VLOOKUP($A41,[1]Data!$B$1:$BK$65536,L$1-1956,FALSE)*VLOOKUP($A41,[2]Data!$B$1:$BK$65536,L$1-1956,FALSE)/100</f>
        <v>182437174.19634029</v>
      </c>
      <c r="M41" s="3">
        <f>VLOOKUP($A41,[1]Data!$B$1:$BK$65536,M$1-1956,FALSE)*VLOOKUP($A41,[2]Data!$B$1:$BK$65536,M$1-1956,FALSE)/100</f>
        <v>185413275.49563342</v>
      </c>
      <c r="N41" s="3">
        <f>VLOOKUP($A41,[1]Data!$B$1:$BK$65536,N$1-1956,FALSE)*VLOOKUP($A41,[2]Data!$B$1:$BK$65536,N$1-1956,FALSE)/100</f>
        <v>186672982.65503868</v>
      </c>
      <c r="O41" s="3">
        <f>VLOOKUP($A41,[1]Data!$B$1:$BK$65536,O$1-1956,FALSE)*VLOOKUP($A41,[2]Data!$B$1:$BK$65536,O$1-1956,FALSE)/100</f>
        <v>186129835.26609275</v>
      </c>
      <c r="P41" s="3">
        <f>VLOOKUP($A41,[1]Data!$B$1:$BK$65536,P$1-1956,FALSE)*VLOOKUP($A41,[2]Data!$B$1:$BK$65536,P$1-1956,FALSE)/100</f>
        <v>179016524.34366131</v>
      </c>
      <c r="Q41" s="3">
        <f>VLOOKUP($A41,[1]Data!$B$1:$BK$65536,Q$1-1956,FALSE)*VLOOKUP($A41,[2]Data!$B$1:$BK$65536,Q$1-1956,FALSE)/100</f>
        <v>177689830.08972511</v>
      </c>
      <c r="R41" s="3">
        <f>VLOOKUP($A41,[1]Data!$B$1:$BK$65536,R$1-1956,FALSE)*VLOOKUP($A41,[2]Data!$B$1:$BK$65536,R$1-1956,FALSE)/100</f>
        <v>178715252.54260635</v>
      </c>
      <c r="S41" s="3">
        <f>VLOOKUP($A41,[1]Data!$B$1:$BK$65536,S$1-1956,FALSE)*VLOOKUP($A41,[2]Data!$B$1:$BK$65536,S$1-1956,FALSE)/100</f>
        <v>181893302.34481671</v>
      </c>
      <c r="T41" s="3">
        <f>VLOOKUP($A41,[1]Data!$B$1:$BK$65536,T$1-1956,FALSE)*VLOOKUP($A41,[2]Data!$B$1:$BK$65536,T$1-1956,FALSE)/100</f>
        <v>182935076.0875167</v>
      </c>
      <c r="U41" s="3">
        <f>VLOOKUP($A41,[1]Data!$B$1:$BK$65536,U$1-1956,FALSE)*VLOOKUP($A41,[2]Data!$B$1:$BK$65536,U$1-1956,FALSE)/100</f>
        <v>185760470.2115553</v>
      </c>
    </row>
    <row r="42" spans="1:21" x14ac:dyDescent="0.25">
      <c r="A42" t="s">
        <v>40</v>
      </c>
      <c r="B42" s="3">
        <f>VLOOKUP($A42,[1]Data!$B$1:$BK$65536,B$1-1956,FALSE)*VLOOKUP($A42,[2]Data!$B$1:$BK$65536,B$1-1956,FALSE)/100</f>
        <v>3512524932.8849335</v>
      </c>
      <c r="C42" s="3">
        <f>VLOOKUP($A42,[1]Data!$B$1:$BK$65536,C$1-1956,FALSE)*VLOOKUP($A42,[2]Data!$B$1:$BK$65536,C$1-1956,FALSE)/100</f>
        <v>3552866658.515439</v>
      </c>
      <c r="D42" s="3">
        <f>VLOOKUP($A42,[1]Data!$B$1:$BK$65536,D$1-1956,FALSE)*VLOOKUP($A42,[2]Data!$B$1:$BK$65536,D$1-1956,FALSE)/100</f>
        <v>3598335389.369936</v>
      </c>
      <c r="E42" s="3">
        <f>VLOOKUP($A42,[1]Data!$B$1:$BK$65536,E$1-1956,FALSE)*VLOOKUP($A42,[2]Data!$B$1:$BK$65536,E$1-1956,FALSE)/100</f>
        <v>3635822227.5173383</v>
      </c>
      <c r="F42" s="3">
        <f>VLOOKUP($A42,[1]Data!$B$1:$BK$65536,F$1-1956,FALSE)*VLOOKUP($A42,[2]Data!$B$1:$BK$65536,F$1-1956,FALSE)/100</f>
        <v>3680487768.7523894</v>
      </c>
      <c r="G42" s="3">
        <f>VLOOKUP($A42,[1]Data!$B$1:$BK$65536,G$1-1956,FALSE)*VLOOKUP($A42,[2]Data!$B$1:$BK$65536,G$1-1956,FALSE)/100</f>
        <v>3726598008.1997576</v>
      </c>
      <c r="H42" s="3">
        <f>VLOOKUP($A42,[1]Data!$B$1:$BK$65536,H$1-1956,FALSE)*VLOOKUP($A42,[2]Data!$B$1:$BK$65536,H$1-1956,FALSE)/100</f>
        <v>3754892546.9815078</v>
      </c>
      <c r="I42" s="3">
        <f>VLOOKUP($A42,[1]Data!$B$1:$BK$65536,I$1-1956,FALSE)*VLOOKUP($A42,[2]Data!$B$1:$BK$65536,I$1-1956,FALSE)/100</f>
        <v>3778447123.5765681</v>
      </c>
      <c r="J42" s="3">
        <f>VLOOKUP($A42,[1]Data!$B$1:$BK$65536,J$1-1956,FALSE)*VLOOKUP($A42,[2]Data!$B$1:$BK$65536,J$1-1956,FALSE)/100</f>
        <v>3810844698.1106086</v>
      </c>
      <c r="K42" s="3">
        <f>VLOOKUP($A42,[1]Data!$B$1:$BK$65536,K$1-1956,FALSE)*VLOOKUP($A42,[2]Data!$B$1:$BK$65536,K$1-1956,FALSE)/100</f>
        <v>3858962570.3240023</v>
      </c>
      <c r="L42" s="3">
        <f>VLOOKUP($A42,[1]Data!$B$1:$BK$65536,L$1-1956,FALSE)*VLOOKUP($A42,[2]Data!$B$1:$BK$65536,L$1-1956,FALSE)/100</f>
        <v>3904279426.0102234</v>
      </c>
      <c r="M42" s="3">
        <f>VLOOKUP($A42,[1]Data!$B$1:$BK$65536,M$1-1956,FALSE)*VLOOKUP($A42,[2]Data!$B$1:$BK$65536,M$1-1956,FALSE)/100</f>
        <v>3948580829.8921943</v>
      </c>
      <c r="N42" s="3">
        <f>VLOOKUP($A42,[1]Data!$B$1:$BK$65536,N$1-1956,FALSE)*VLOOKUP($A42,[2]Data!$B$1:$BK$65536,N$1-1956,FALSE)/100</f>
        <v>3997310765.1423607</v>
      </c>
      <c r="O42" s="3">
        <f>VLOOKUP($A42,[1]Data!$B$1:$BK$65536,O$1-1956,FALSE)*VLOOKUP($A42,[2]Data!$B$1:$BK$65536,O$1-1956,FALSE)/100</f>
        <v>4031745141.8520317</v>
      </c>
      <c r="P42" s="3">
        <f>VLOOKUP($A42,[1]Data!$B$1:$BK$65536,P$1-1956,FALSE)*VLOOKUP($A42,[2]Data!$B$1:$BK$65536,P$1-1956,FALSE)/100</f>
        <v>4035810472.2083416</v>
      </c>
      <c r="Q42" s="3">
        <f>VLOOKUP($A42,[1]Data!$B$1:$BK$65536,Q$1-1956,FALSE)*VLOOKUP($A42,[2]Data!$B$1:$BK$65536,Q$1-1956,FALSE)/100</f>
        <v>4066315798.3894334</v>
      </c>
      <c r="R42" s="3">
        <f>VLOOKUP($A42,[1]Data!$B$1:$BK$65536,R$1-1956,FALSE)*VLOOKUP($A42,[2]Data!$B$1:$BK$65536,R$1-1956,FALSE)/100</f>
        <v>4103031293.6810102</v>
      </c>
      <c r="S42" s="3">
        <f>VLOOKUP($A42,[1]Data!$B$1:$BK$65536,S$1-1956,FALSE)*VLOOKUP($A42,[2]Data!$B$1:$BK$65536,S$1-1956,FALSE)/100</f>
        <v>4139166982.5612712</v>
      </c>
      <c r="T42" s="3">
        <f>VLOOKUP($A42,[1]Data!$B$1:$BK$65536,T$1-1956,FALSE)*VLOOKUP($A42,[2]Data!$B$1:$BK$65536,T$1-1956,FALSE)/100</f>
        <v>4171497897.9618311</v>
      </c>
      <c r="U42" s="3">
        <f>VLOOKUP($A42,[1]Data!$B$1:$BK$65536,U$1-1956,FALSE)*VLOOKUP($A42,[2]Data!$B$1:$BK$65536,U$1-1956,FALSE)/100</f>
        <v>4210609906.5175829</v>
      </c>
    </row>
    <row r="43" spans="1:21" x14ac:dyDescent="0.25"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 spans="1:21" x14ac:dyDescent="0.25">
      <c r="A44" t="s">
        <v>67</v>
      </c>
      <c r="B44" s="4">
        <f>SUM(B2:B41)</f>
        <v>2381919569.2864866</v>
      </c>
      <c r="C44" s="4">
        <f t="shared" ref="C44:U44" si="1">SUM(C2:C41)</f>
        <v>2401515084.4403954</v>
      </c>
      <c r="D44" s="4">
        <f t="shared" si="1"/>
        <v>2424251853.249989</v>
      </c>
      <c r="E44" s="4">
        <f t="shared" si="1"/>
        <v>2443303163.8279934</v>
      </c>
      <c r="F44" s="4">
        <f t="shared" si="1"/>
        <v>2469187782.3074079</v>
      </c>
      <c r="G44" s="4">
        <f t="shared" si="1"/>
        <v>2491024188.6652503</v>
      </c>
      <c r="H44" s="4">
        <f t="shared" si="1"/>
        <v>2497475553.4804158</v>
      </c>
      <c r="I44" s="4">
        <f t="shared" si="1"/>
        <v>2501289179.946661</v>
      </c>
      <c r="J44" s="4">
        <f t="shared" si="1"/>
        <v>2507388848.1645031</v>
      </c>
      <c r="K44" s="4">
        <f t="shared" si="1"/>
        <v>2525430956.1848898</v>
      </c>
      <c r="L44" s="4">
        <f t="shared" si="1"/>
        <v>2543912951.5469503</v>
      </c>
      <c r="M44" s="4">
        <f t="shared" si="1"/>
        <v>2558307778.6343598</v>
      </c>
      <c r="N44" s="4">
        <f t="shared" si="1"/>
        <v>2576388231.6066904</v>
      </c>
      <c r="O44" s="4">
        <f t="shared" si="1"/>
        <v>2584170800.9868379</v>
      </c>
      <c r="P44" s="4">
        <f t="shared" si="1"/>
        <v>2568274182.4612885</v>
      </c>
      <c r="Q44" s="4">
        <f t="shared" si="1"/>
        <v>2572827972.1587954</v>
      </c>
      <c r="R44" s="4">
        <f t="shared" si="1"/>
        <v>2579408278.0225191</v>
      </c>
      <c r="S44" s="4">
        <f t="shared" si="1"/>
        <v>2590509268.8956733</v>
      </c>
      <c r="T44" s="4">
        <f t="shared" si="1"/>
        <v>2598274848.3584418</v>
      </c>
      <c r="U44" s="4">
        <f t="shared" si="1"/>
        <v>2611595507.4804149</v>
      </c>
    </row>
    <row r="45" spans="1:21" x14ac:dyDescent="0.25">
      <c r="A45" t="s">
        <v>62</v>
      </c>
      <c r="B45" s="4">
        <f>B42-SUM(B2:B41)</f>
        <v>1130605363.5984468</v>
      </c>
      <c r="C45" s="4">
        <f t="shared" ref="C45:U45" si="2">C42-SUM(C2:C41)</f>
        <v>1151351574.0750437</v>
      </c>
      <c r="D45" s="4">
        <f t="shared" si="2"/>
        <v>1174083536.119947</v>
      </c>
      <c r="E45" s="4">
        <f t="shared" si="2"/>
        <v>1192519063.6893449</v>
      </c>
      <c r="F45" s="4">
        <f t="shared" si="2"/>
        <v>1211299986.4449816</v>
      </c>
      <c r="G45" s="4">
        <f t="shared" si="2"/>
        <v>1235573819.5345073</v>
      </c>
      <c r="H45" s="4">
        <f t="shared" si="2"/>
        <v>1257416993.501092</v>
      </c>
      <c r="I45" s="4">
        <f t="shared" si="2"/>
        <v>1277157943.6299071</v>
      </c>
      <c r="J45" s="4">
        <f t="shared" si="2"/>
        <v>1303455849.9461055</v>
      </c>
      <c r="K45" s="4">
        <f t="shared" si="2"/>
        <v>1333531614.1391125</v>
      </c>
      <c r="L45" s="4">
        <f t="shared" si="2"/>
        <v>1360366474.463273</v>
      </c>
      <c r="M45" s="4">
        <f t="shared" si="2"/>
        <v>1390273051.2578344</v>
      </c>
      <c r="N45" s="4">
        <f t="shared" si="2"/>
        <v>1420922533.5356703</v>
      </c>
      <c r="O45" s="4">
        <f t="shared" si="2"/>
        <v>1447574340.8651938</v>
      </c>
      <c r="P45" s="4">
        <f t="shared" si="2"/>
        <v>1467536289.7470531</v>
      </c>
      <c r="Q45" s="4">
        <f t="shared" si="2"/>
        <v>1493487826.230638</v>
      </c>
      <c r="R45" s="4">
        <f t="shared" si="2"/>
        <v>1523623015.6584911</v>
      </c>
      <c r="S45" s="4">
        <f t="shared" si="2"/>
        <v>1548657713.6655979</v>
      </c>
      <c r="T45" s="4">
        <f t="shared" si="2"/>
        <v>1573223049.6033893</v>
      </c>
      <c r="U45" s="4">
        <f t="shared" si="2"/>
        <v>1599014399.037168</v>
      </c>
    </row>
    <row r="48" spans="1:21" x14ac:dyDescent="0.25">
      <c r="A48" t="s">
        <v>59</v>
      </c>
      <c r="B48" s="3">
        <f>VLOOKUP($A48,[1]Data!$B$1:$BK$65536,B$1-1956,FALSE)*VLOOKUP($A48,[2]Data!$B$1:$BK$65536,B$1-1956,FALSE)/100</f>
        <v>4565322.46651283</v>
      </c>
      <c r="C48" s="3">
        <f>VLOOKUP($A48,[1]Data!$B$1:$BK$65536,C$1-1956,FALSE)*VLOOKUP($A48,[2]Data!$B$1:$BK$65536,C$1-1956,FALSE)/100</f>
        <v>4601228.695499423</v>
      </c>
      <c r="D48" s="3">
        <f>VLOOKUP($A48,[1]Data!$B$1:$BK$65536,D$1-1956,FALSE)*VLOOKUP($A48,[2]Data!$B$1:$BK$65536,D$1-1956,FALSE)/100</f>
        <v>4577803.0742433164</v>
      </c>
      <c r="E48" s="3">
        <f>VLOOKUP($A48,[1]Data!$B$1:$BK$65536,E$1-1956,FALSE)*VLOOKUP($A48,[2]Data!$B$1:$BK$65536,E$1-1956,FALSE)/100</f>
        <v>4655842.0763388081</v>
      </c>
      <c r="F48" s="3">
        <f>VLOOKUP($A48,[1]Data!$B$1:$BK$65536,F$1-1956,FALSE)*VLOOKUP($A48,[2]Data!$B$1:$BK$65536,F$1-1956,FALSE)/100</f>
        <v>4698888.7885917649</v>
      </c>
      <c r="G48" s="3">
        <f>VLOOKUP($A48,[1]Data!$B$1:$BK$65536,G$1-1956,FALSE)*VLOOKUP($A48,[2]Data!$B$1:$BK$65536,G$1-1956,FALSE)/100</f>
        <v>4713945.4840278607</v>
      </c>
      <c r="H48" s="3">
        <f>VLOOKUP($A48,[1]Data!$B$1:$BK$65536,H$1-1956,FALSE)*VLOOKUP($A48,[2]Data!$B$1:$BK$65536,H$1-1956,FALSE)/100</f>
        <v>4778933.3836811827</v>
      </c>
      <c r="I48" s="3">
        <f>VLOOKUP($A48,[1]Data!$B$1:$BK$65536,I$1-1956,FALSE)*VLOOKUP($A48,[2]Data!$B$1:$BK$65536,I$1-1956,FALSE)/100</f>
        <v>4790161.9425819423</v>
      </c>
      <c r="J48" s="3">
        <f>VLOOKUP($A48,[1]Data!$B$1:$BK$65536,J$1-1956,FALSE)*VLOOKUP($A48,[2]Data!$B$1:$BK$65536,J$1-1956,FALSE)/100</f>
        <v>4772919.569112245</v>
      </c>
      <c r="K48" s="3">
        <f>VLOOKUP($A48,[1]Data!$B$1:$BK$65536,K$1-1956,FALSE)*VLOOKUP($A48,[2]Data!$B$1:$BK$65536,K$1-1956,FALSE)/100</f>
        <v>4757588.6471366892</v>
      </c>
      <c r="L48" s="3">
        <f>VLOOKUP($A48,[1]Data!$B$1:$BK$65536,L$1-1956,FALSE)*VLOOKUP($A48,[2]Data!$B$1:$BK$65536,L$1-1956,FALSE)/100</f>
        <v>4763992.6965396907</v>
      </c>
      <c r="M48" s="3">
        <f>VLOOKUP($A48,[1]Data!$B$1:$BK$65536,M$1-1956,FALSE)*VLOOKUP($A48,[2]Data!$B$1:$BK$65536,M$1-1956,FALSE)/100</f>
        <v>4843602.176156614</v>
      </c>
      <c r="N48" s="3">
        <f>VLOOKUP($A48,[1]Data!$B$1:$BK$65536,N$1-1956,FALSE)*VLOOKUP($A48,[2]Data!$B$1:$BK$65536,N$1-1956,FALSE)/100</f>
        <v>4927103.8425000003</v>
      </c>
      <c r="O48" s="3">
        <f>VLOOKUP($A48,[1]Data!$B$1:$BK$65536,O$1-1956,FALSE)*VLOOKUP($A48,[2]Data!$B$1:$BK$65536,O$1-1956,FALSE)/100</f>
        <v>5044253.490503314</v>
      </c>
      <c r="P48" s="3">
        <f>VLOOKUP($A48,[1]Data!$B$1:$BK$65536,P$1-1956,FALSE)*VLOOKUP($A48,[2]Data!$B$1:$BK$65536,P$1-1956,FALSE)/100</f>
        <v>5069576.6671417281</v>
      </c>
      <c r="Q48" s="3">
        <f>VLOOKUP($A48,[1]Data!$B$1:$BK$65536,Q$1-1956,FALSE)*VLOOKUP($A48,[2]Data!$B$1:$BK$65536,Q$1-1956,FALSE)/100</f>
        <v>4987127.592802966</v>
      </c>
      <c r="R48" s="3">
        <f>VLOOKUP($A48,[1]Data!$B$1:$BK$65536,R$1-1956,FALSE)*VLOOKUP($A48,[2]Data!$B$1:$BK$65536,R$1-1956,FALSE)/100</f>
        <v>5102388.9791093478</v>
      </c>
      <c r="S48" s="3">
        <f>VLOOKUP($A48,[1]Data!$B$1:$BK$65536,S$1-1956,FALSE)*VLOOKUP($A48,[2]Data!$B$1:$BK$65536,S$1-1956,FALSE)/100</f>
        <v>5157895.4203180699</v>
      </c>
      <c r="T48" s="3">
        <f>VLOOKUP($A48,[1]Data!$B$1:$BK$65536,T$1-1956,FALSE)*VLOOKUP($A48,[2]Data!$B$1:$BK$65536,T$1-1956,FALSE)/100</f>
        <v>5205898.8898539729</v>
      </c>
      <c r="U48" s="3">
        <f>VLOOKUP($A48,[1]Data!$B$1:$BK$65536,U$1-1956,FALSE)*VLOOKUP($A48,[2]Data!$B$1:$BK$65536,U$1-1956,FALSE)/100</f>
        <v>5296827.4057318158</v>
      </c>
    </row>
    <row r="49" spans="1:21" x14ac:dyDescent="0.25">
      <c r="A49" t="s">
        <v>60</v>
      </c>
      <c r="B49" s="3">
        <f>VLOOKUP($A49,[1]Data!$B$1:$BK$65536,B$1-1956,FALSE)*VLOOKUP($A49,[2]Data!$B$1:$BK$65536,B$1-1956,FALSE)/100</f>
        <v>2296847.9215496066</v>
      </c>
      <c r="C49" s="3">
        <f>VLOOKUP($A49,[1]Data!$B$1:$BK$65536,C$1-1956,FALSE)*VLOOKUP($A49,[2]Data!$B$1:$BK$65536,C$1-1956,FALSE)/100</f>
        <v>2266791.2161635975</v>
      </c>
      <c r="D49" s="3">
        <f>VLOOKUP($A49,[1]Data!$B$1:$BK$65536,D$1-1956,FALSE)*VLOOKUP($A49,[2]Data!$B$1:$BK$65536,D$1-1956,FALSE)/100</f>
        <v>2238300.3938186639</v>
      </c>
      <c r="E49" s="3">
        <f>VLOOKUP($A49,[1]Data!$B$1:$BK$65536,E$1-1956,FALSE)*VLOOKUP($A49,[2]Data!$B$1:$BK$65536,E$1-1956,FALSE)/100</f>
        <v>2180274.1139120096</v>
      </c>
      <c r="F49" s="3">
        <f>VLOOKUP($A49,[1]Data!$B$1:$BK$65536,F$1-1956,FALSE)*VLOOKUP($A49,[2]Data!$B$1:$BK$65536,F$1-1956,FALSE)/100</f>
        <v>2104585.0108941672</v>
      </c>
      <c r="G49" s="3">
        <f>VLOOKUP($A49,[1]Data!$B$1:$BK$65536,G$1-1956,FALSE)*VLOOKUP($A49,[2]Data!$B$1:$BK$65536,G$1-1956,FALSE)/100</f>
        <v>2011987.0191055303</v>
      </c>
      <c r="H49" s="3">
        <f>VLOOKUP($A49,[1]Data!$B$1:$BK$65536,H$1-1956,FALSE)*VLOOKUP($A49,[2]Data!$B$1:$BK$65536,H$1-1956,FALSE)/100</f>
        <v>1928733.4818402112</v>
      </c>
      <c r="I49" s="3">
        <f>VLOOKUP($A49,[1]Data!$B$1:$BK$65536,I$1-1956,FALSE)*VLOOKUP($A49,[2]Data!$B$1:$BK$65536,I$1-1956,FALSE)/100</f>
        <v>1911025.6120248407</v>
      </c>
      <c r="J49" s="3">
        <f>VLOOKUP($A49,[1]Data!$B$1:$BK$65536,J$1-1956,FALSE)*VLOOKUP($A49,[2]Data!$B$1:$BK$65536,J$1-1956,FALSE)/100</f>
        <v>1938379.9800509631</v>
      </c>
      <c r="K49" s="3">
        <f>VLOOKUP($A49,[1]Data!$B$1:$BK$65536,K$1-1956,FALSE)*VLOOKUP($A49,[2]Data!$B$1:$BK$65536,K$1-1956,FALSE)/100</f>
        <v>1987907.3154907238</v>
      </c>
      <c r="L49" s="3">
        <f>VLOOKUP($A49,[1]Data!$B$1:$BK$65536,L$1-1956,FALSE)*VLOOKUP($A49,[2]Data!$B$1:$BK$65536,L$1-1956,FALSE)/100</f>
        <v>2007837.931015779</v>
      </c>
      <c r="M49" s="3">
        <f>VLOOKUP($A49,[1]Data!$B$1:$BK$65536,M$1-1956,FALSE)*VLOOKUP($A49,[2]Data!$B$1:$BK$65536,M$1-1956,FALSE)/100</f>
        <v>2019821.1780826971</v>
      </c>
      <c r="N49" s="3">
        <f>VLOOKUP($A49,[1]Data!$B$1:$BK$65536,N$1-1956,FALSE)*VLOOKUP($A49,[2]Data!$B$1:$BK$65536,N$1-1956,FALSE)/100</f>
        <v>2062180.2977716816</v>
      </c>
      <c r="O49" s="3">
        <f>VLOOKUP($A49,[1]Data!$B$1:$BK$65536,O$1-1956,FALSE)*VLOOKUP($A49,[2]Data!$B$1:$BK$65536,O$1-1956,FALSE)/100</f>
        <v>2100550.2893369673</v>
      </c>
      <c r="P49" s="3">
        <f>VLOOKUP($A49,[1]Data!$B$1:$BK$65536,P$1-1956,FALSE)*VLOOKUP($A49,[2]Data!$B$1:$BK$65536,P$1-1956,FALSE)/100</f>
        <v>2082243.8910719685</v>
      </c>
      <c r="Q49" s="3">
        <f>VLOOKUP($A49,[1]Data!$B$1:$BK$65536,Q$1-1956,FALSE)*VLOOKUP($A49,[2]Data!$B$1:$BK$65536,Q$1-1956,FALSE)/100</f>
        <v>1999864.8449821486</v>
      </c>
      <c r="R49" s="3">
        <f>VLOOKUP($A49,[1]Data!$B$1:$BK$65536,R$1-1956,FALSE)*VLOOKUP($A49,[2]Data!$B$1:$BK$65536,R$1-1956,FALSE)/100</f>
        <v>1914551.0701815053</v>
      </c>
      <c r="S49" s="3">
        <f>VLOOKUP($A49,[1]Data!$B$1:$BK$65536,S$1-1956,FALSE)*VLOOKUP($A49,[2]Data!$B$1:$BK$65536,S$1-1956,FALSE)/100</f>
        <v>1839658.9755719006</v>
      </c>
      <c r="T49" s="3">
        <f>VLOOKUP($A49,[1]Data!$B$1:$BK$65536,T$1-1956,FALSE)*VLOOKUP($A49,[2]Data!$B$1:$BK$65536,T$1-1956,FALSE)/100</f>
        <v>1784367.8771745306</v>
      </c>
      <c r="U49" s="3">
        <f>VLOOKUP($A49,[1]Data!$B$1:$BK$65536,U$1-1956,FALSE)*VLOOKUP($A49,[2]Data!$B$1:$BK$65536,U$1-1956,FALSE)/100</f>
        <v>1827635.652136957</v>
      </c>
    </row>
    <row r="50" spans="1:21" x14ac:dyDescent="0.25">
      <c r="A50" t="s">
        <v>61</v>
      </c>
      <c r="B50" s="3">
        <f>VLOOKUP($A50,[1]Data!$B$1:$BK$65536,B$1-1956,FALSE)*VLOOKUP($A50,[2]Data!$B$1:$BK$65536,B$1-1956,FALSE)/100</f>
        <v>2575231.5491522197</v>
      </c>
      <c r="C50" s="3">
        <f>VLOOKUP($A50,[1]Data!$B$1:$BK$65536,C$1-1956,FALSE)*VLOOKUP($A50,[2]Data!$B$1:$BK$65536,C$1-1956,FALSE)/100</f>
        <v>2677215.3427438345</v>
      </c>
      <c r="D50" s="3">
        <f>VLOOKUP($A50,[1]Data!$B$1:$BK$65536,D$1-1956,FALSE)*VLOOKUP($A50,[2]Data!$B$1:$BK$65536,D$1-1956,FALSE)/100</f>
        <v>2764632.4318891522</v>
      </c>
      <c r="E50" s="3">
        <f>VLOOKUP($A50,[1]Data!$B$1:$BK$65536,E$1-1956,FALSE)*VLOOKUP($A50,[2]Data!$B$1:$BK$65536,E$1-1956,FALSE)/100</f>
        <v>2851514.1454895013</v>
      </c>
      <c r="F50" s="3">
        <f>VLOOKUP($A50,[1]Data!$B$1:$BK$65536,F$1-1956,FALSE)*VLOOKUP($A50,[2]Data!$B$1:$BK$65536,F$1-1956,FALSE)/100</f>
        <v>2875390.6299933614</v>
      </c>
      <c r="G50" s="3">
        <f>VLOOKUP($A50,[1]Data!$B$1:$BK$65536,G$1-1956,FALSE)*VLOOKUP($A50,[2]Data!$B$1:$BK$65536,G$1-1956,FALSE)/100</f>
        <v>2900625.6508351117</v>
      </c>
      <c r="H50" s="3">
        <f>VLOOKUP($A50,[1]Data!$B$1:$BK$65536,H$1-1956,FALSE)*VLOOKUP($A50,[2]Data!$B$1:$BK$65536,H$1-1956,FALSE)/100</f>
        <v>2905365.9601563257</v>
      </c>
      <c r="I50" s="3">
        <f>VLOOKUP($A50,[1]Data!$B$1:$BK$65536,I$1-1956,FALSE)*VLOOKUP($A50,[2]Data!$B$1:$BK$65536,I$1-1956,FALSE)/100</f>
        <v>2921394.4995888518</v>
      </c>
      <c r="J50" s="3">
        <f>VLOOKUP($A50,[1]Data!$B$1:$BK$65536,J$1-1956,FALSE)*VLOOKUP($A50,[2]Data!$B$1:$BK$65536,J$1-1956,FALSE)/100</f>
        <v>2876543.3503883346</v>
      </c>
      <c r="K50" s="3">
        <f>VLOOKUP($A50,[1]Data!$B$1:$BK$65536,K$1-1956,FALSE)*VLOOKUP($A50,[2]Data!$B$1:$BK$65536,K$1-1956,FALSE)/100</f>
        <v>2889183.7940437305</v>
      </c>
      <c r="L50" s="3">
        <f>VLOOKUP($A50,[1]Data!$B$1:$BK$65536,L$1-1956,FALSE)*VLOOKUP($A50,[2]Data!$B$1:$BK$65536,L$1-1956,FALSE)/100</f>
        <v>2892192.1141861738</v>
      </c>
      <c r="M50" s="3">
        <f>VLOOKUP($A50,[1]Data!$B$1:$BK$65536,M$1-1956,FALSE)*VLOOKUP($A50,[2]Data!$B$1:$BK$65536,M$1-1956,FALSE)/100</f>
        <v>2957339.3355625514</v>
      </c>
      <c r="N50" s="3">
        <f>VLOOKUP($A50,[1]Data!$B$1:$BK$65536,N$1-1956,FALSE)*VLOOKUP($A50,[2]Data!$B$1:$BK$65536,N$1-1956,FALSE)/100</f>
        <v>3049129.50183815</v>
      </c>
      <c r="O50" s="3">
        <f>VLOOKUP($A50,[1]Data!$B$1:$BK$65536,O$1-1956,FALSE)*VLOOKUP($A50,[2]Data!$B$1:$BK$65536,O$1-1956,FALSE)/100</f>
        <v>3132667.4825582886</v>
      </c>
      <c r="P50" s="3">
        <f>VLOOKUP($A50,[1]Data!$B$1:$BK$65536,P$1-1956,FALSE)*VLOOKUP($A50,[2]Data!$B$1:$BK$65536,P$1-1956,FALSE)/100</f>
        <v>3108105.9082173151</v>
      </c>
      <c r="Q50" s="3">
        <f>VLOOKUP($A50,[1]Data!$B$1:$BK$65536,Q$1-1956,FALSE)*VLOOKUP($A50,[2]Data!$B$1:$BK$65536,Q$1-1956,FALSE)/100</f>
        <v>3098367.8058396932</v>
      </c>
      <c r="R50" s="3">
        <f>VLOOKUP($A50,[1]Data!$B$1:$BK$65536,R$1-1956,FALSE)*VLOOKUP($A50,[2]Data!$B$1:$BK$65536,R$1-1956,FALSE)/100</f>
        <v>3125299.4450781243</v>
      </c>
      <c r="S50" s="3">
        <f>VLOOKUP($A50,[1]Data!$B$1:$BK$65536,S$1-1956,FALSE)*VLOOKUP($A50,[2]Data!$B$1:$BK$65536,S$1-1956,FALSE)/100</f>
        <v>3174448.2465919852</v>
      </c>
      <c r="T50" s="3">
        <f>VLOOKUP($A50,[1]Data!$B$1:$BK$65536,T$1-1956,FALSE)*VLOOKUP($A50,[2]Data!$B$1:$BK$65536,T$1-1956,FALSE)/100</f>
        <v>3188326.8816000354</v>
      </c>
      <c r="U50" s="3">
        <f>VLOOKUP($A50,[1]Data!$B$1:$BK$65536,U$1-1956,FALSE)*VLOOKUP($A50,[2]Data!$B$1:$BK$65536,U$1-1956,FALSE)/100</f>
        <v>3208920.6325384523</v>
      </c>
    </row>
    <row r="51" spans="1:21" x14ac:dyDescent="0.25"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 spans="1:21" x14ac:dyDescent="0.25">
      <c r="A52" t="s">
        <v>68</v>
      </c>
      <c r="B52" s="4">
        <f>SUM(B48:B50)+B44</f>
        <v>2391356971.2237015</v>
      </c>
      <c r="C52" s="4">
        <f t="shared" ref="C52:U52" si="3">SUM(C48:C50)+C44</f>
        <v>2411060319.6948023</v>
      </c>
      <c r="D52" s="4">
        <f t="shared" si="3"/>
        <v>2433832589.14994</v>
      </c>
      <c r="E52" s="4">
        <f t="shared" si="3"/>
        <v>2452990794.1637335</v>
      </c>
      <c r="F52" s="4">
        <f t="shared" si="3"/>
        <v>2478866646.736887</v>
      </c>
      <c r="G52" s="4">
        <f t="shared" si="3"/>
        <v>2500650746.8192186</v>
      </c>
      <c r="H52" s="4">
        <f t="shared" si="3"/>
        <v>2507088586.3060937</v>
      </c>
      <c r="I52" s="4">
        <f t="shared" si="3"/>
        <v>2510911762.0008564</v>
      </c>
      <c r="J52" s="4">
        <f t="shared" si="3"/>
        <v>2516976691.0640545</v>
      </c>
      <c r="K52" s="4">
        <f t="shared" si="3"/>
        <v>2535065635.9415607</v>
      </c>
      <c r="L52" s="4">
        <f t="shared" si="3"/>
        <v>2553576974.288692</v>
      </c>
      <c r="M52" s="4">
        <f t="shared" si="3"/>
        <v>2568128541.3241615</v>
      </c>
      <c r="N52" s="4">
        <f t="shared" si="3"/>
        <v>2586426645.2488003</v>
      </c>
      <c r="O52" s="4">
        <f t="shared" si="3"/>
        <v>2594448272.2492366</v>
      </c>
      <c r="P52" s="4">
        <f t="shared" si="3"/>
        <v>2578534108.9277196</v>
      </c>
      <c r="Q52" s="4">
        <f t="shared" si="3"/>
        <v>2582913332.40242</v>
      </c>
      <c r="R52" s="4">
        <f t="shared" si="3"/>
        <v>2589550517.5168881</v>
      </c>
      <c r="S52" s="4">
        <f t="shared" si="3"/>
        <v>2600681271.5381551</v>
      </c>
      <c r="T52" s="4">
        <f t="shared" si="3"/>
        <v>2608453442.0070705</v>
      </c>
      <c r="U52" s="4">
        <f t="shared" si="3"/>
        <v>2621928891.1708221</v>
      </c>
    </row>
    <row r="53" spans="1:21" x14ac:dyDescent="0.25">
      <c r="A53" t="s">
        <v>63</v>
      </c>
      <c r="B53" s="4">
        <f>B42-SUM(B2:B41)-SUM(B48:B50)</f>
        <v>1121167961.6612322</v>
      </c>
      <c r="C53" s="4">
        <f t="shared" ref="C53:U53" si="4">C42-SUM(C2:C41)-SUM(C48:C50)</f>
        <v>1141806338.8206367</v>
      </c>
      <c r="D53" s="4">
        <f t="shared" si="4"/>
        <v>1164502800.2199957</v>
      </c>
      <c r="E53" s="4">
        <f t="shared" si="4"/>
        <v>1182831433.3536046</v>
      </c>
      <c r="F53" s="4">
        <f t="shared" si="4"/>
        <v>1201621122.0155022</v>
      </c>
      <c r="G53" s="4">
        <f t="shared" si="4"/>
        <v>1225947261.3805387</v>
      </c>
      <c r="H53" s="4">
        <f t="shared" si="4"/>
        <v>1247803960.6754143</v>
      </c>
      <c r="I53" s="4">
        <f t="shared" si="4"/>
        <v>1267535361.5757115</v>
      </c>
      <c r="J53" s="4">
        <f t="shared" si="4"/>
        <v>1293868007.0465539</v>
      </c>
      <c r="K53" s="4">
        <f t="shared" si="4"/>
        <v>1323896934.3824413</v>
      </c>
      <c r="L53" s="4">
        <f t="shared" si="4"/>
        <v>1350702451.7215314</v>
      </c>
      <c r="M53" s="4">
        <f t="shared" si="4"/>
        <v>1380452288.5680325</v>
      </c>
      <c r="N53" s="4">
        <f t="shared" si="4"/>
        <v>1410884119.8935604</v>
      </c>
      <c r="O53" s="4">
        <f t="shared" si="4"/>
        <v>1437296869.6027954</v>
      </c>
      <c r="P53" s="4">
        <f t="shared" si="4"/>
        <v>1457276363.2806222</v>
      </c>
      <c r="Q53" s="4">
        <f t="shared" si="4"/>
        <v>1483402465.9870131</v>
      </c>
      <c r="R53" s="4">
        <f t="shared" si="4"/>
        <v>1513480776.1641221</v>
      </c>
      <c r="S53" s="4">
        <f t="shared" si="4"/>
        <v>1538485711.0231159</v>
      </c>
      <c r="T53" s="4">
        <f t="shared" si="4"/>
        <v>1563044455.9547608</v>
      </c>
      <c r="U53" s="4">
        <f t="shared" si="4"/>
        <v>1588681015.3467607</v>
      </c>
    </row>
    <row r="58" spans="1:21" x14ac:dyDescent="0.25">
      <c r="A58" t="s">
        <v>38</v>
      </c>
      <c r="B58" s="1">
        <v>1995</v>
      </c>
      <c r="C58" s="1">
        <v>1996</v>
      </c>
      <c r="D58" s="1">
        <v>1997</v>
      </c>
      <c r="E58" s="1">
        <v>1998</v>
      </c>
      <c r="F58" s="1">
        <v>1999</v>
      </c>
      <c r="G58" s="1">
        <v>2000</v>
      </c>
      <c r="H58" s="1">
        <v>2001</v>
      </c>
      <c r="I58" s="1">
        <v>2002</v>
      </c>
      <c r="J58" s="1">
        <v>2003</v>
      </c>
      <c r="K58" s="1">
        <v>2004</v>
      </c>
      <c r="L58" s="1">
        <v>2005</v>
      </c>
      <c r="M58" s="1">
        <v>2006</v>
      </c>
      <c r="N58" s="1">
        <v>2007</v>
      </c>
      <c r="O58" s="1">
        <v>2008</v>
      </c>
      <c r="P58" s="1">
        <v>2009</v>
      </c>
      <c r="Q58" s="1">
        <v>2010</v>
      </c>
      <c r="R58" s="1">
        <v>2011</v>
      </c>
      <c r="S58" s="1">
        <v>2012</v>
      </c>
      <c r="T58" s="1">
        <v>2013</v>
      </c>
      <c r="U58" s="1">
        <v>2014</v>
      </c>
    </row>
    <row r="59" spans="1:21" x14ac:dyDescent="0.25">
      <c r="A59" t="s">
        <v>64</v>
      </c>
      <c r="B59" s="2">
        <v>21177874</v>
      </c>
      <c r="C59" s="2">
        <v>21357431</v>
      </c>
      <c r="D59" s="2">
        <v>21525433</v>
      </c>
      <c r="E59" s="2">
        <v>21742815</v>
      </c>
      <c r="F59" s="2">
        <v>21928591</v>
      </c>
      <c r="G59" s="2">
        <v>22092387</v>
      </c>
      <c r="H59" s="2">
        <v>22276672</v>
      </c>
      <c r="I59" s="2">
        <v>22405568</v>
      </c>
      <c r="J59" s="2">
        <v>22520776</v>
      </c>
      <c r="K59" s="2">
        <v>22604550</v>
      </c>
      <c r="L59" s="2">
        <v>22689122</v>
      </c>
      <c r="M59" s="2">
        <v>22770383</v>
      </c>
      <c r="N59" s="2">
        <v>22876527</v>
      </c>
      <c r="O59" s="2">
        <v>22958360</v>
      </c>
      <c r="P59" s="2">
        <v>23037031</v>
      </c>
      <c r="Q59" s="2">
        <v>23119772</v>
      </c>
      <c r="R59" s="2">
        <v>23162123</v>
      </c>
      <c r="S59" s="2">
        <v>23224912</v>
      </c>
      <c r="T59" s="2">
        <v>23315822</v>
      </c>
      <c r="U59" s="2">
        <v>23373517</v>
      </c>
    </row>
    <row r="60" spans="1:21" x14ac:dyDescent="0.25">
      <c r="A60" t="s">
        <v>65</v>
      </c>
      <c r="B60" s="2">
        <v>9068000</v>
      </c>
      <c r="C60" s="2">
        <v>9176000</v>
      </c>
      <c r="D60" s="2">
        <v>9289000</v>
      </c>
      <c r="E60" s="2">
        <v>9385000</v>
      </c>
      <c r="F60" s="2">
        <v>9491000</v>
      </c>
      <c r="G60" s="2">
        <v>9383000</v>
      </c>
      <c r="H60" s="2">
        <v>9454000</v>
      </c>
      <c r="I60" s="2">
        <v>9573000</v>
      </c>
      <c r="J60" s="2">
        <v>9786000</v>
      </c>
      <c r="K60" s="2">
        <v>9942000</v>
      </c>
      <c r="L60" s="2">
        <v>10111000</v>
      </c>
      <c r="M60" s="2">
        <v>10294000</v>
      </c>
      <c r="N60" s="2">
        <v>10403000</v>
      </c>
      <c r="O60" s="2">
        <v>10279000</v>
      </c>
      <c r="P60" s="2">
        <v>10493000</v>
      </c>
      <c r="Q60" s="2">
        <v>10709000</v>
      </c>
      <c r="R60" s="2">
        <v>10860000</v>
      </c>
      <c r="S60" s="2">
        <v>10967000</v>
      </c>
      <c r="T60" s="2">
        <v>11079000</v>
      </c>
      <c r="U60" s="2">
        <v>11198000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3"/>
  <sheetViews>
    <sheetView topLeftCell="F25" workbookViewId="0">
      <selection activeCell="A43" sqref="A43:R43"/>
    </sheetView>
  </sheetViews>
  <sheetFormatPr defaultRowHeight="15" x14ac:dyDescent="0.25"/>
  <cols>
    <col min="1" max="1" width="8" bestFit="1" customWidth="1"/>
    <col min="2" max="18" width="14.28515625" bestFit="1" customWidth="1"/>
  </cols>
  <sheetData>
    <row r="1" spans="1:18" x14ac:dyDescent="0.25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56</v>
      </c>
      <c r="Q1" t="s">
        <v>57</v>
      </c>
      <c r="R1" t="s">
        <v>58</v>
      </c>
    </row>
    <row r="2" spans="1:18" x14ac:dyDescent="0.25">
      <c r="A2" t="s">
        <v>0</v>
      </c>
      <c r="B2" s="3">
        <v>8288820.0000000019</v>
      </c>
      <c r="C2" s="3">
        <v>8354549.9999999991</v>
      </c>
      <c r="D2" s="3">
        <v>8476974.9999999981</v>
      </c>
      <c r="E2" s="3">
        <v>8641615.0000000019</v>
      </c>
      <c r="F2" s="3">
        <v>8833539.9999999981</v>
      </c>
      <c r="G2" s="3">
        <v>9012162.3729770016</v>
      </c>
      <c r="H2" s="3">
        <v>9129560.8067146186</v>
      </c>
      <c r="I2" s="3">
        <v>9366902.8486318737</v>
      </c>
      <c r="J2" s="3">
        <v>9518830.4087517057</v>
      </c>
      <c r="K2" s="3">
        <v>9773745.4071726575</v>
      </c>
      <c r="L2" s="3">
        <v>10028875.863730548</v>
      </c>
      <c r="M2" s="3">
        <v>10288121.079403793</v>
      </c>
      <c r="N2" s="3">
        <v>10558402.048677228</v>
      </c>
      <c r="O2" s="3">
        <v>10861212.68502472</v>
      </c>
      <c r="P2" s="3">
        <v>10935420.753009295</v>
      </c>
      <c r="Q2" s="3">
        <v>11143299.553836731</v>
      </c>
      <c r="R2" s="3">
        <v>11331552.164775059</v>
      </c>
    </row>
    <row r="3" spans="1:18" x14ac:dyDescent="0.25">
      <c r="A3" t="s">
        <v>1</v>
      </c>
      <c r="B3" s="3">
        <v>3717450.0000000005</v>
      </c>
      <c r="C3" s="3">
        <v>3745606.9999999995</v>
      </c>
      <c r="D3" s="3">
        <v>3773250</v>
      </c>
      <c r="E3" s="3">
        <v>3812807.9999999995</v>
      </c>
      <c r="F3" s="3">
        <v>3880567.0000000009</v>
      </c>
      <c r="G3" s="3">
        <v>3931132</v>
      </c>
      <c r="H3" s="3">
        <v>3958982.0000000005</v>
      </c>
      <c r="I3" s="3">
        <v>3959496</v>
      </c>
      <c r="J3" s="3">
        <v>3971206</v>
      </c>
      <c r="K3" s="3">
        <v>3986005.9999999995</v>
      </c>
      <c r="L3" s="3">
        <v>4031292</v>
      </c>
      <c r="M3" s="3">
        <v>4090488.0000000009</v>
      </c>
      <c r="N3" s="3">
        <v>4160866</v>
      </c>
      <c r="O3" s="3">
        <v>4300196.2671488803</v>
      </c>
      <c r="P3" s="3">
        <v>4212848.5861541107</v>
      </c>
      <c r="Q3" s="3">
        <v>4213622.7382084671</v>
      </c>
      <c r="R3" s="3">
        <v>4294954.4203053946</v>
      </c>
    </row>
    <row r="4" spans="1:18" x14ac:dyDescent="0.25">
      <c r="A4" t="s">
        <v>2</v>
      </c>
      <c r="B4" s="3">
        <v>3867180.0000000005</v>
      </c>
      <c r="C4" s="3">
        <v>3877602.0000000014</v>
      </c>
      <c r="D4" s="3">
        <v>3904154.0000000005</v>
      </c>
      <c r="E4" s="3">
        <v>3972758.0000000005</v>
      </c>
      <c r="F4" s="3">
        <v>4027605.0000000005</v>
      </c>
      <c r="G4" s="3">
        <v>4108957.0000000005</v>
      </c>
      <c r="H4" s="3">
        <v>4165430.9999999995</v>
      </c>
      <c r="I4" s="3">
        <v>4158946</v>
      </c>
      <c r="J4" s="3">
        <v>4160432.0000000009</v>
      </c>
      <c r="K4" s="3">
        <v>4198741</v>
      </c>
      <c r="L4" s="3">
        <v>4258008.9999999991</v>
      </c>
      <c r="M4" s="3">
        <v>4308494.9999999991</v>
      </c>
      <c r="N4" s="3">
        <v>4378108</v>
      </c>
      <c r="O4" s="3">
        <v>4449893.3222783236</v>
      </c>
      <c r="P4" s="3">
        <v>4437555.5506277354</v>
      </c>
      <c r="Q4" s="3">
        <v>4474488.2524685683</v>
      </c>
      <c r="R4" s="3">
        <v>4530339.2196157733</v>
      </c>
    </row>
    <row r="5" spans="1:18" x14ac:dyDescent="0.25">
      <c r="A5" t="s">
        <v>3</v>
      </c>
      <c r="B5" s="3">
        <v>3518768.772384569</v>
      </c>
      <c r="C5" s="3">
        <v>3613757.5727225132</v>
      </c>
      <c r="D5" s="3">
        <v>3500495.2041006279</v>
      </c>
      <c r="E5" s="3">
        <v>3472496.6381883067</v>
      </c>
      <c r="F5" s="3">
        <v>3312407.7167064925</v>
      </c>
      <c r="G5" s="3">
        <v>3239299.9999999995</v>
      </c>
      <c r="H5" s="3">
        <v>3214800.0000000009</v>
      </c>
      <c r="I5" s="3">
        <v>3222200</v>
      </c>
      <c r="J5" s="3">
        <v>3317400</v>
      </c>
      <c r="K5" s="3">
        <v>3403499.9999999995</v>
      </c>
      <c r="L5" s="3">
        <v>3495199.9999999995</v>
      </c>
      <c r="M5" s="3">
        <v>3611999.9999999995</v>
      </c>
      <c r="N5" s="3">
        <v>3726599.9999999995</v>
      </c>
      <c r="O5" s="3">
        <v>3759606.5276487996</v>
      </c>
      <c r="P5" s="3">
        <v>3739755.2145080841</v>
      </c>
      <c r="Q5" s="3">
        <v>3612515.0469131107</v>
      </c>
      <c r="R5" s="3">
        <v>3462971.8824734525</v>
      </c>
    </row>
    <row r="6" spans="1:18" x14ac:dyDescent="0.25">
      <c r="A6" t="s">
        <v>4</v>
      </c>
      <c r="B6" s="3">
        <v>73545221.6136996</v>
      </c>
      <c r="C6" s="3">
        <v>71985645.401110351</v>
      </c>
      <c r="D6" s="3">
        <v>73128236.051980808</v>
      </c>
      <c r="E6" s="3">
        <v>72744860.837243855</v>
      </c>
      <c r="F6" s="3">
        <v>76641008.283789486</v>
      </c>
      <c r="G6" s="3">
        <v>78972347</v>
      </c>
      <c r="H6" s="3">
        <v>79544414</v>
      </c>
      <c r="I6" s="3">
        <v>82629067</v>
      </c>
      <c r="J6" s="3">
        <v>84034980.999999985</v>
      </c>
      <c r="K6" s="3">
        <v>88252472.999999985</v>
      </c>
      <c r="L6" s="3">
        <v>90905673</v>
      </c>
      <c r="M6" s="3">
        <v>93246963</v>
      </c>
      <c r="N6" s="3">
        <v>94713909</v>
      </c>
      <c r="O6" s="3">
        <v>96232609</v>
      </c>
      <c r="P6" s="3">
        <v>96647139</v>
      </c>
      <c r="Q6" s="3">
        <v>101890569.28006178</v>
      </c>
      <c r="R6" s="3">
        <v>105833154.36437036</v>
      </c>
    </row>
    <row r="7" spans="1:18" x14ac:dyDescent="0.25">
      <c r="A7" t="s">
        <v>5</v>
      </c>
      <c r="B7" s="3">
        <v>13593006.873036219</v>
      </c>
      <c r="C7" s="3">
        <v>13739222.163232345</v>
      </c>
      <c r="D7" s="3">
        <v>14027669.99811</v>
      </c>
      <c r="E7" s="3">
        <v>14345414.99821</v>
      </c>
      <c r="F7" s="3">
        <v>14719774.998019999</v>
      </c>
      <c r="G7" s="3">
        <v>15048149.998009998</v>
      </c>
      <c r="H7" s="3">
        <v>15199154.99804</v>
      </c>
      <c r="I7" s="3">
        <v>15568199.998030001</v>
      </c>
      <c r="J7" s="3">
        <v>15901974.998030001</v>
      </c>
      <c r="K7" s="3">
        <v>16165969.998030001</v>
      </c>
      <c r="L7" s="3">
        <v>16405414.99804</v>
      </c>
      <c r="M7" s="3">
        <v>16676749.998039998</v>
      </c>
      <c r="N7" s="3">
        <v>17046849.998040002</v>
      </c>
      <c r="O7" s="3">
        <v>17485670.859599024</v>
      </c>
      <c r="P7" s="3">
        <v>16875446.845220808</v>
      </c>
      <c r="Q7" s="3">
        <v>17290192.029659268</v>
      </c>
      <c r="R7" s="3">
        <v>17586450.632405028</v>
      </c>
    </row>
    <row r="8" spans="1:18" x14ac:dyDescent="0.25">
      <c r="A8" t="s">
        <v>6</v>
      </c>
      <c r="B8" s="3">
        <v>680650000</v>
      </c>
      <c r="C8" s="3">
        <v>689500000</v>
      </c>
      <c r="D8" s="3">
        <v>698200000</v>
      </c>
      <c r="E8" s="3">
        <v>706370000</v>
      </c>
      <c r="F8" s="3">
        <v>713940000</v>
      </c>
      <c r="G8" s="3">
        <v>720850000</v>
      </c>
      <c r="H8" s="3">
        <v>730250000</v>
      </c>
      <c r="I8" s="3">
        <v>737400000</v>
      </c>
      <c r="J8" s="3">
        <v>744320000</v>
      </c>
      <c r="K8" s="3">
        <v>752000000</v>
      </c>
      <c r="L8" s="3">
        <v>758250000</v>
      </c>
      <c r="M8" s="3">
        <v>764000000</v>
      </c>
      <c r="N8" s="3">
        <v>769900000</v>
      </c>
      <c r="O8" s="3">
        <v>774800000</v>
      </c>
      <c r="P8" s="3">
        <v>779950000</v>
      </c>
      <c r="Q8" s="3">
        <v>799347531.22388279</v>
      </c>
      <c r="R8" s="3">
        <v>808564772.32315123</v>
      </c>
    </row>
    <row r="9" spans="1:18" x14ac:dyDescent="0.25">
      <c r="A9" t="s">
        <v>7</v>
      </c>
      <c r="B9" s="3">
        <v>296100</v>
      </c>
      <c r="C9" s="3">
        <v>297700.00000000006</v>
      </c>
      <c r="D9" s="3">
        <v>299500</v>
      </c>
      <c r="E9" s="3">
        <v>304100</v>
      </c>
      <c r="F9" s="3">
        <v>309800</v>
      </c>
      <c r="G9" s="3">
        <v>314800</v>
      </c>
      <c r="H9" s="3">
        <v>321900</v>
      </c>
      <c r="I9" s="3">
        <v>328300.00000000006</v>
      </c>
      <c r="J9" s="3">
        <v>340800.00000000006</v>
      </c>
      <c r="K9" s="3">
        <v>353300</v>
      </c>
      <c r="L9" s="3">
        <v>366399.99999999994</v>
      </c>
      <c r="M9" s="3">
        <v>372400</v>
      </c>
      <c r="N9" s="3">
        <v>384500</v>
      </c>
      <c r="O9" s="3">
        <v>391166.67087167175</v>
      </c>
      <c r="P9" s="3">
        <v>392612.72503337311</v>
      </c>
      <c r="Q9" s="3">
        <v>397161.00978801976</v>
      </c>
      <c r="R9" s="3">
        <v>394301.06767868891</v>
      </c>
    </row>
    <row r="10" spans="1:18" x14ac:dyDescent="0.25">
      <c r="A10" t="s">
        <v>8</v>
      </c>
      <c r="B10" s="3">
        <v>5148228.9999999991</v>
      </c>
      <c r="C10" s="3">
        <v>5195164</v>
      </c>
      <c r="D10" s="3">
        <v>5204857.9999999991</v>
      </c>
      <c r="E10" s="3">
        <v>5124530</v>
      </c>
      <c r="F10" s="3">
        <v>4949349.9999999991</v>
      </c>
      <c r="G10" s="3">
        <v>4940463</v>
      </c>
      <c r="H10" s="3">
        <v>4962962.9999999991</v>
      </c>
      <c r="I10" s="3">
        <v>4990746.9999999991</v>
      </c>
      <c r="J10" s="3">
        <v>4923445.9999999991</v>
      </c>
      <c r="K10" s="3">
        <v>4940370.9999999991</v>
      </c>
      <c r="L10" s="3">
        <v>4991617.9999999991</v>
      </c>
      <c r="M10" s="3">
        <v>5088340</v>
      </c>
      <c r="N10" s="3">
        <v>5223840</v>
      </c>
      <c r="O10" s="3">
        <v>5348855.3784113647</v>
      </c>
      <c r="P10" s="3">
        <v>5231900.7313122759</v>
      </c>
      <c r="Q10" s="3">
        <v>5163679.5587093579</v>
      </c>
      <c r="R10" s="3">
        <v>5147377.4563868409</v>
      </c>
    </row>
    <row r="11" spans="1:18" x14ac:dyDescent="0.25">
      <c r="A11" t="s">
        <v>9</v>
      </c>
      <c r="B11" s="3">
        <v>37601000</v>
      </c>
      <c r="C11" s="3">
        <v>37498000</v>
      </c>
      <c r="D11" s="3">
        <v>37463000</v>
      </c>
      <c r="E11" s="3">
        <v>37911000</v>
      </c>
      <c r="F11" s="3">
        <v>38424000</v>
      </c>
      <c r="G11" s="3">
        <v>39144000</v>
      </c>
      <c r="H11" s="3">
        <v>39316000</v>
      </c>
      <c r="I11" s="3">
        <v>39096000</v>
      </c>
      <c r="J11" s="3">
        <v>38726000</v>
      </c>
      <c r="K11" s="3">
        <v>38880000</v>
      </c>
      <c r="L11" s="3">
        <v>38835000</v>
      </c>
      <c r="M11" s="3">
        <v>39075000</v>
      </c>
      <c r="N11" s="3">
        <v>39724000</v>
      </c>
      <c r="O11" s="3">
        <v>40450357.994188033</v>
      </c>
      <c r="P11" s="3">
        <v>40849767.096667968</v>
      </c>
      <c r="Q11" s="3">
        <v>41125171.820540935</v>
      </c>
      <c r="R11" s="3">
        <v>41986635.365903065</v>
      </c>
    </row>
    <row r="12" spans="1:18" x14ac:dyDescent="0.25">
      <c r="A12" t="s">
        <v>10</v>
      </c>
      <c r="B12" s="3">
        <v>2552724.0000000005</v>
      </c>
      <c r="C12" s="3">
        <v>2584115.9999999995</v>
      </c>
      <c r="D12" s="3">
        <v>2627783.0000000005</v>
      </c>
      <c r="E12" s="3">
        <v>2668106</v>
      </c>
      <c r="F12" s="3">
        <v>2693717</v>
      </c>
      <c r="G12" s="3">
        <v>2712496</v>
      </c>
      <c r="H12" s="3">
        <v>2742475</v>
      </c>
      <c r="I12" s="3">
        <v>2745960.0000000005</v>
      </c>
      <c r="J12" s="3">
        <v>2713538.9999999995</v>
      </c>
      <c r="K12" s="3">
        <v>2697642.0000000009</v>
      </c>
      <c r="L12" s="3">
        <v>2726912</v>
      </c>
      <c r="M12" s="3">
        <v>2783454</v>
      </c>
      <c r="N12" s="3">
        <v>2860799</v>
      </c>
      <c r="O12" s="3">
        <v>2907479.7740619569</v>
      </c>
      <c r="P12" s="3">
        <v>2856442.1346462443</v>
      </c>
      <c r="Q12" s="3">
        <v>2750837.8513863315</v>
      </c>
      <c r="R12" s="3">
        <v>2738803.5860930351</v>
      </c>
    </row>
    <row r="13" spans="1:18" x14ac:dyDescent="0.25">
      <c r="A13" t="s">
        <v>11</v>
      </c>
      <c r="B13" s="3">
        <v>13569300.999947291</v>
      </c>
      <c r="C13" s="3">
        <v>13795999.000191955</v>
      </c>
      <c r="D13" s="3">
        <v>14293301.000165729</v>
      </c>
      <c r="E13" s="3">
        <v>14931999.999947179</v>
      </c>
      <c r="F13" s="3">
        <v>15617098.999930169</v>
      </c>
      <c r="G13" s="3">
        <v>16411500</v>
      </c>
      <c r="H13" s="3">
        <v>16930600</v>
      </c>
      <c r="I13" s="3">
        <v>17337599.999999996</v>
      </c>
      <c r="J13" s="3">
        <v>17877600.000000004</v>
      </c>
      <c r="K13" s="3">
        <v>18509800.000000004</v>
      </c>
      <c r="L13" s="3">
        <v>19267300</v>
      </c>
      <c r="M13" s="3">
        <v>20022000</v>
      </c>
      <c r="N13" s="3">
        <v>20628500</v>
      </c>
      <c r="O13" s="3">
        <v>20576317.180386648</v>
      </c>
      <c r="P13" s="3">
        <v>19257725.811292693</v>
      </c>
      <c r="Q13" s="3">
        <v>18690011.000667151</v>
      </c>
      <c r="R13" s="3">
        <v>18247179.462228052</v>
      </c>
    </row>
    <row r="14" spans="1:18" x14ac:dyDescent="0.25">
      <c r="A14" t="s">
        <v>12</v>
      </c>
      <c r="B14" s="3">
        <v>633300</v>
      </c>
      <c r="C14" s="3">
        <v>619300.00000000012</v>
      </c>
      <c r="D14" s="3">
        <v>617199.99999999988</v>
      </c>
      <c r="E14" s="3">
        <v>606299.99999999988</v>
      </c>
      <c r="F14" s="3">
        <v>579199.99999999988</v>
      </c>
      <c r="G14" s="3">
        <v>572500</v>
      </c>
      <c r="H14" s="3">
        <v>577699.99983241223</v>
      </c>
      <c r="I14" s="3">
        <v>585300</v>
      </c>
      <c r="J14" s="3">
        <v>594000</v>
      </c>
      <c r="K14" s="3">
        <v>595300.0001276132</v>
      </c>
      <c r="L14" s="3">
        <v>607699.99999999988</v>
      </c>
      <c r="M14" s="3">
        <v>646000</v>
      </c>
      <c r="N14" s="3">
        <v>655600.00009442877</v>
      </c>
      <c r="O14" s="3">
        <v>660424.80615400535</v>
      </c>
      <c r="P14" s="3">
        <v>614162.22154564515</v>
      </c>
      <c r="Q14" s="3">
        <v>581568.9624261969</v>
      </c>
      <c r="R14" s="3">
        <v>616922.36373751599</v>
      </c>
    </row>
    <row r="15" spans="1:18" x14ac:dyDescent="0.25">
      <c r="A15" t="s">
        <v>13</v>
      </c>
      <c r="B15" s="3">
        <v>2052699.9999999998</v>
      </c>
      <c r="C15" s="3">
        <v>2081799.9999999998</v>
      </c>
      <c r="D15" s="3">
        <v>2152900.0000000005</v>
      </c>
      <c r="E15" s="3">
        <v>2192700</v>
      </c>
      <c r="F15" s="3">
        <v>2247200.0000000005</v>
      </c>
      <c r="G15" s="3">
        <v>2293399.9999999995</v>
      </c>
      <c r="H15" s="3">
        <v>2324200</v>
      </c>
      <c r="I15" s="3">
        <v>2346200.0000000005</v>
      </c>
      <c r="J15" s="3">
        <v>2347600</v>
      </c>
      <c r="K15" s="3">
        <v>2356900</v>
      </c>
      <c r="L15" s="3">
        <v>2389200.0000000005</v>
      </c>
      <c r="M15" s="3">
        <v>2433200</v>
      </c>
      <c r="N15" s="3">
        <v>2486100.0000000009</v>
      </c>
      <c r="O15" s="3">
        <v>2540816.4173283498</v>
      </c>
      <c r="P15" s="3">
        <v>2468383.7866069279</v>
      </c>
      <c r="Q15" s="3">
        <v>2466387.1401319117</v>
      </c>
      <c r="R15" s="3">
        <v>2492887.5260409792</v>
      </c>
    </row>
    <row r="16" spans="1:18" x14ac:dyDescent="0.25">
      <c r="A16" t="s">
        <v>14</v>
      </c>
      <c r="B16" s="3">
        <v>22694100.000000004</v>
      </c>
      <c r="C16" s="3">
        <v>22779700</v>
      </c>
      <c r="D16" s="3">
        <v>22879400</v>
      </c>
      <c r="E16" s="3">
        <v>23227200.000000004</v>
      </c>
      <c r="F16" s="3">
        <v>23696500.000000004</v>
      </c>
      <c r="G16" s="3">
        <v>24331899.999999996</v>
      </c>
      <c r="H16" s="3">
        <v>24764500</v>
      </c>
      <c r="I16" s="3">
        <v>24918800</v>
      </c>
      <c r="J16" s="3">
        <v>24950199.999999996</v>
      </c>
      <c r="K16" s="3">
        <v>24977000.000000004</v>
      </c>
      <c r="L16" s="3">
        <v>25115300.000000004</v>
      </c>
      <c r="M16" s="3">
        <v>25362100</v>
      </c>
      <c r="N16" s="3">
        <v>25729400</v>
      </c>
      <c r="O16" s="3">
        <v>25944882.81552479</v>
      </c>
      <c r="P16" s="3">
        <v>25522261.990143288</v>
      </c>
      <c r="Q16" s="3">
        <v>25479456.468357969</v>
      </c>
      <c r="R16" s="3">
        <v>25565751.049224269</v>
      </c>
    </row>
    <row r="17" spans="1:18" x14ac:dyDescent="0.25">
      <c r="A17" t="s">
        <v>15</v>
      </c>
      <c r="B17" s="3">
        <v>27913387.746888649</v>
      </c>
      <c r="C17" s="3">
        <v>28163684.989895839</v>
      </c>
      <c r="D17" s="3">
        <v>28630138.827384178</v>
      </c>
      <c r="E17" s="3">
        <v>28879660.141047928</v>
      </c>
      <c r="F17" s="3">
        <v>29267235.448751833</v>
      </c>
      <c r="G17" s="3">
        <v>29617096.536519453</v>
      </c>
      <c r="H17" s="3">
        <v>29924752.191973444</v>
      </c>
      <c r="I17" s="3">
        <v>30105879.540016048</v>
      </c>
      <c r="J17" s="3">
        <v>30408163.387144599</v>
      </c>
      <c r="K17" s="3">
        <v>30703397.311739959</v>
      </c>
      <c r="L17" s="3">
        <v>31090257.895378612</v>
      </c>
      <c r="M17" s="3">
        <v>31398264.89208468</v>
      </c>
      <c r="N17" s="3">
        <v>31601986.058386955</v>
      </c>
      <c r="O17" s="3">
        <v>31673802.933917928</v>
      </c>
      <c r="P17" s="3">
        <v>30972251.579075724</v>
      </c>
      <c r="Q17" s="3">
        <v>32056465.728186898</v>
      </c>
      <c r="R17" s="3">
        <v>32888393.631397106</v>
      </c>
    </row>
    <row r="18" spans="1:18" x14ac:dyDescent="0.25">
      <c r="A18" t="s">
        <v>16</v>
      </c>
      <c r="B18" s="3">
        <v>4131219</v>
      </c>
      <c r="C18" s="3">
        <v>4114854.0000000005</v>
      </c>
      <c r="D18" s="3">
        <v>4092137.9999999991</v>
      </c>
      <c r="E18" s="3">
        <v>4261223.0000000009</v>
      </c>
      <c r="F18" s="3">
        <v>4261966</v>
      </c>
      <c r="G18" s="3">
        <v>4255111</v>
      </c>
      <c r="H18" s="3">
        <v>4260548</v>
      </c>
      <c r="I18" s="3">
        <v>4356483.9999999981</v>
      </c>
      <c r="J18" s="3">
        <v>4408020.9999999991</v>
      </c>
      <c r="K18" s="3">
        <v>4514446.9999999991</v>
      </c>
      <c r="L18" s="3">
        <v>4550601.0000000009</v>
      </c>
      <c r="M18" s="3">
        <v>4700825</v>
      </c>
      <c r="N18" s="3">
        <v>4782684</v>
      </c>
      <c r="O18" s="3">
        <v>4946734.9148219647</v>
      </c>
      <c r="P18" s="3">
        <v>5034791.9520899281</v>
      </c>
      <c r="Q18" s="3">
        <v>5224553.4287361214</v>
      </c>
      <c r="R18" s="3">
        <v>5183342.1924200356</v>
      </c>
    </row>
    <row r="19" spans="1:18" x14ac:dyDescent="0.25">
      <c r="A19" t="s">
        <v>17</v>
      </c>
      <c r="B19" s="3">
        <v>4025460.9999999995</v>
      </c>
      <c r="C19" s="3">
        <v>4030098.9999999991</v>
      </c>
      <c r="D19" s="3">
        <v>4026318</v>
      </c>
      <c r="E19" s="3">
        <v>4096781.9999999991</v>
      </c>
      <c r="F19" s="3">
        <v>4208414.0000000009</v>
      </c>
      <c r="G19" s="3">
        <v>4250367</v>
      </c>
      <c r="H19" s="3">
        <v>4231638</v>
      </c>
      <c r="I19" s="3">
        <v>4223693</v>
      </c>
      <c r="J19" s="3">
        <v>4226738.9999999991</v>
      </c>
      <c r="K19" s="3">
        <v>4166006.0000000005</v>
      </c>
      <c r="L19" s="3">
        <v>4155867</v>
      </c>
      <c r="M19" s="3">
        <v>4181596.9999999995</v>
      </c>
      <c r="N19" s="3">
        <v>4169041.9999999995</v>
      </c>
      <c r="O19" s="3">
        <v>4068691.4670421779</v>
      </c>
      <c r="P19" s="3">
        <v>3957946.6026132717</v>
      </c>
      <c r="Q19" s="3">
        <v>4010145.9136830685</v>
      </c>
      <c r="R19" s="3">
        <v>4021885.8173175724</v>
      </c>
    </row>
    <row r="20" spans="1:18" x14ac:dyDescent="0.25">
      <c r="A20" t="s">
        <v>18</v>
      </c>
      <c r="B20" s="3">
        <v>87271197.000000015</v>
      </c>
      <c r="C20" s="3">
        <v>88910252.021024346</v>
      </c>
      <c r="D20" s="3">
        <v>90203589.835311815</v>
      </c>
      <c r="E20" s="3">
        <v>90826739.19395864</v>
      </c>
      <c r="F20" s="3">
        <v>92114360.116220415</v>
      </c>
      <c r="G20" s="3">
        <v>93320950.999999985</v>
      </c>
      <c r="H20" s="3">
        <v>93437042.667951807</v>
      </c>
      <c r="I20" s="3">
        <v>93654956.609602243</v>
      </c>
      <c r="J20" s="3">
        <v>94322550.201863825</v>
      </c>
      <c r="K20" s="3">
        <v>94695473.433695778</v>
      </c>
      <c r="L20" s="3">
        <v>95463852.000000015</v>
      </c>
      <c r="M20" s="3">
        <v>97879767.121044084</v>
      </c>
      <c r="N20" s="3">
        <v>103349377.05396391</v>
      </c>
      <c r="O20" s="3">
        <v>105753227.03989425</v>
      </c>
      <c r="P20" s="3">
        <v>108202785.04108803</v>
      </c>
      <c r="Q20" s="3">
        <v>111630839.23529814</v>
      </c>
      <c r="R20" s="3">
        <v>114669972.33986902</v>
      </c>
    </row>
    <row r="21" spans="1:18" x14ac:dyDescent="0.25">
      <c r="A21" t="s">
        <v>19</v>
      </c>
      <c r="B21" s="3">
        <v>380787429.41491622</v>
      </c>
      <c r="C21" s="3">
        <v>393500838.07233089</v>
      </c>
      <c r="D21" s="3">
        <v>397970756.60960895</v>
      </c>
      <c r="E21" s="3">
        <v>401546875.71626103</v>
      </c>
      <c r="F21" s="3">
        <v>398412827.00000006</v>
      </c>
      <c r="G21" s="3">
        <v>416883259.22714418</v>
      </c>
      <c r="H21" s="3">
        <v>432375751.09581262</v>
      </c>
      <c r="I21" s="3">
        <v>424205792.73275155</v>
      </c>
      <c r="J21" s="3">
        <v>449023250.74747676</v>
      </c>
      <c r="K21" s="3">
        <v>457899624.00000024</v>
      </c>
      <c r="L21" s="3">
        <v>469777231.09541965</v>
      </c>
      <c r="M21" s="3">
        <v>471767957.60575169</v>
      </c>
      <c r="N21" s="3">
        <v>460230081.00000024</v>
      </c>
      <c r="O21" s="3">
        <v>463378669.07247263</v>
      </c>
      <c r="P21" s="3">
        <v>465827675.05462104</v>
      </c>
      <c r="Q21" s="3">
        <v>475086963.22495228</v>
      </c>
      <c r="R21" s="3">
        <v>480303182.0521158</v>
      </c>
    </row>
    <row r="22" spans="1:18" x14ac:dyDescent="0.25">
      <c r="A22" t="s">
        <v>20</v>
      </c>
      <c r="B22" s="3">
        <v>1285146.0566496509</v>
      </c>
      <c r="C22" s="3">
        <v>1331163.0000000002</v>
      </c>
      <c r="D22" s="3">
        <v>1405489</v>
      </c>
      <c r="E22" s="3">
        <v>1526233.9999999998</v>
      </c>
      <c r="F22" s="3">
        <v>1621649.9999999995</v>
      </c>
      <c r="G22" s="3">
        <v>1697054</v>
      </c>
      <c r="H22" s="3">
        <v>1748052.0000000002</v>
      </c>
      <c r="I22" s="3">
        <v>1779224.9999999998</v>
      </c>
      <c r="J22" s="3">
        <v>1814490.0000000002</v>
      </c>
      <c r="K22" s="3">
        <v>1870606</v>
      </c>
      <c r="L22" s="3">
        <v>1962374.9999999998</v>
      </c>
      <c r="M22" s="3">
        <v>2047600.9999999998</v>
      </c>
      <c r="N22" s="3">
        <v>2123001.9999999995</v>
      </c>
      <c r="O22" s="3">
        <v>2176856.4465004997</v>
      </c>
      <c r="P22" s="3">
        <v>2001673.2511650126</v>
      </c>
      <c r="Q22" s="3">
        <v>1960349.098231823</v>
      </c>
      <c r="R22" s="3">
        <v>1895167.2443363322</v>
      </c>
    </row>
    <row r="23" spans="1:18" x14ac:dyDescent="0.25">
      <c r="A23" t="s">
        <v>21</v>
      </c>
      <c r="B23" s="3">
        <v>21841199.999999996</v>
      </c>
      <c r="C23" s="3">
        <v>21966000.000000004</v>
      </c>
      <c r="D23" s="3">
        <v>22034700</v>
      </c>
      <c r="E23" s="3">
        <v>22252600.000000004</v>
      </c>
      <c r="F23" s="3">
        <v>22493900</v>
      </c>
      <c r="G23" s="3">
        <v>22930100.000000004</v>
      </c>
      <c r="H23" s="3">
        <v>23393105.580643337</v>
      </c>
      <c r="I23" s="3">
        <v>23793100.000000004</v>
      </c>
      <c r="J23" s="3">
        <v>24149599.999999996</v>
      </c>
      <c r="K23" s="3">
        <v>24256099.999999996</v>
      </c>
      <c r="L23" s="3">
        <v>24395799.999999996</v>
      </c>
      <c r="M23" s="3">
        <v>24874100</v>
      </c>
      <c r="N23" s="3">
        <v>25187900.000000004</v>
      </c>
      <c r="O23" s="3">
        <v>25277735.557103496</v>
      </c>
      <c r="P23" s="3">
        <v>25078809.506741993</v>
      </c>
      <c r="Q23" s="3">
        <v>24838183.605353259</v>
      </c>
      <c r="R23" s="3">
        <v>25096049.473981813</v>
      </c>
    </row>
    <row r="24" spans="1:18" x14ac:dyDescent="0.25">
      <c r="A24" t="s">
        <v>22</v>
      </c>
      <c r="B24" s="3">
        <v>66857749.212628946</v>
      </c>
      <c r="C24" s="3">
        <v>66906725.964587487</v>
      </c>
      <c r="D24" s="3">
        <v>67373676.30528909</v>
      </c>
      <c r="E24" s="3">
        <v>66579630.028574497</v>
      </c>
      <c r="F24" s="3">
        <v>65663597.620183788</v>
      </c>
      <c r="G24" s="3">
        <v>65252580.531376332</v>
      </c>
      <c r="H24" s="3">
        <v>64759579.898527548</v>
      </c>
      <c r="I24" s="3">
        <v>63747574.949133813</v>
      </c>
      <c r="J24" s="3">
        <v>63536567.424527735</v>
      </c>
      <c r="K24" s="3">
        <v>63676553.375559784</v>
      </c>
      <c r="L24" s="3">
        <v>63916550.650964618</v>
      </c>
      <c r="M24" s="3">
        <v>64197437.994258359</v>
      </c>
      <c r="N24" s="3">
        <v>64438263.118828304</v>
      </c>
      <c r="O24" s="3">
        <v>63045011.790447898</v>
      </c>
      <c r="P24" s="3">
        <v>58129224.001233965</v>
      </c>
      <c r="Q24" s="3">
        <v>57759508.305336252</v>
      </c>
      <c r="R24" s="3">
        <v>57786889.576974928</v>
      </c>
    </row>
    <row r="25" spans="1:18" x14ac:dyDescent="0.25">
      <c r="A25" t="s">
        <v>23</v>
      </c>
      <c r="B25" s="3">
        <v>20398000</v>
      </c>
      <c r="C25" s="3">
        <v>20837000</v>
      </c>
      <c r="D25" s="3">
        <v>21201000</v>
      </c>
      <c r="E25" s="3">
        <v>19918000.000000004</v>
      </c>
      <c r="F25" s="3">
        <v>20277000</v>
      </c>
      <c r="G25" s="3">
        <v>21135999.999999996</v>
      </c>
      <c r="H25" s="3">
        <v>21557000</v>
      </c>
      <c r="I25" s="3">
        <v>22152000</v>
      </c>
      <c r="J25" s="3">
        <v>22117000</v>
      </c>
      <c r="K25" s="3">
        <v>22534000.000000004</v>
      </c>
      <c r="L25" s="3">
        <v>22830000.000000004</v>
      </c>
      <c r="M25" s="3">
        <v>23132999.999999996</v>
      </c>
      <c r="N25" s="3">
        <v>23418000</v>
      </c>
      <c r="O25" s="3">
        <v>23560890.168970812</v>
      </c>
      <c r="P25" s="3">
        <v>23489944.700460833</v>
      </c>
      <c r="Q25" s="3">
        <v>23812728.659148052</v>
      </c>
      <c r="R25" s="3">
        <v>24227867.470823947</v>
      </c>
    </row>
    <row r="26" spans="1:18" x14ac:dyDescent="0.25">
      <c r="A26" t="s">
        <v>24</v>
      </c>
      <c r="B26" s="3">
        <v>1480200</v>
      </c>
      <c r="C26" s="3">
        <v>1493499.9999999998</v>
      </c>
      <c r="D26" s="3">
        <v>1502500</v>
      </c>
      <c r="E26" s="3">
        <v>1490399.9999999995</v>
      </c>
      <c r="F26" s="3">
        <v>1457200.0000000002</v>
      </c>
      <c r="G26" s="3">
        <v>1399200</v>
      </c>
      <c r="H26" s="3">
        <v>1345900</v>
      </c>
      <c r="I26" s="3">
        <v>1394899.9999999998</v>
      </c>
      <c r="J26" s="3">
        <v>1425900</v>
      </c>
      <c r="K26" s="3">
        <v>1425500.0000000002</v>
      </c>
      <c r="L26" s="3">
        <v>1460699.9999999995</v>
      </c>
      <c r="M26" s="3">
        <v>1487600.0000000005</v>
      </c>
      <c r="N26" s="3">
        <v>1528899.9999999995</v>
      </c>
      <c r="O26" s="3">
        <v>1530742.4870881415</v>
      </c>
      <c r="P26" s="3">
        <v>1442881.9411049979</v>
      </c>
      <c r="Q26" s="3">
        <v>1385503.7386856449</v>
      </c>
      <c r="R26" s="3">
        <v>1415670.9527319144</v>
      </c>
    </row>
    <row r="27" spans="1:18" x14ac:dyDescent="0.25">
      <c r="A27" t="s">
        <v>25</v>
      </c>
      <c r="B27" s="3">
        <v>215500.00000000003</v>
      </c>
      <c r="C27" s="3">
        <v>221300</v>
      </c>
      <c r="D27" s="3">
        <v>227899.99999999994</v>
      </c>
      <c r="E27" s="3">
        <v>238099.99999999997</v>
      </c>
      <c r="F27" s="3">
        <v>250000</v>
      </c>
      <c r="G27" s="3">
        <v>263699.99999999994</v>
      </c>
      <c r="H27" s="3">
        <v>278099.99999999988</v>
      </c>
      <c r="I27" s="3">
        <v>287500</v>
      </c>
      <c r="J27" s="3">
        <v>292699.99999999994</v>
      </c>
      <c r="K27" s="3">
        <v>299300</v>
      </c>
      <c r="L27" s="3">
        <v>308100</v>
      </c>
      <c r="M27" s="3">
        <v>318900</v>
      </c>
      <c r="N27" s="3">
        <v>333000</v>
      </c>
      <c r="O27" s="3">
        <v>370678.08420920814</v>
      </c>
      <c r="P27" s="3">
        <v>379928.38447862765</v>
      </c>
      <c r="Q27" s="3">
        <v>373767.10286302312</v>
      </c>
      <c r="R27" s="3">
        <v>374500.84969861858</v>
      </c>
    </row>
    <row r="28" spans="1:18" x14ac:dyDescent="0.25">
      <c r="A28" t="s">
        <v>26</v>
      </c>
      <c r="B28" s="3">
        <v>969735.66232158616</v>
      </c>
      <c r="C28" s="3">
        <v>951270.04923814081</v>
      </c>
      <c r="D28" s="3">
        <v>992998.05442707811</v>
      </c>
      <c r="E28" s="3">
        <v>989890.20435288211</v>
      </c>
      <c r="F28" s="3">
        <v>972383.80790108896</v>
      </c>
      <c r="G28" s="3">
        <v>941400</v>
      </c>
      <c r="H28" s="3">
        <v>953100</v>
      </c>
      <c r="I28" s="3">
        <v>980925.62499999965</v>
      </c>
      <c r="J28" s="3">
        <v>1000100</v>
      </c>
      <c r="K28" s="3">
        <v>1012467.6540284359</v>
      </c>
      <c r="L28" s="3">
        <v>1032012.2037914693</v>
      </c>
      <c r="M28" s="3">
        <v>1079300</v>
      </c>
      <c r="N28" s="3">
        <v>1117700</v>
      </c>
      <c r="O28" s="3">
        <v>1120558.3564364163</v>
      </c>
      <c r="P28" s="3">
        <v>955265.98153663613</v>
      </c>
      <c r="Q28" s="3">
        <v>922585.88164045813</v>
      </c>
      <c r="R28" s="3">
        <v>856516.3231740226</v>
      </c>
    </row>
    <row r="29" spans="1:18" x14ac:dyDescent="0.25">
      <c r="A29" t="s">
        <v>27</v>
      </c>
      <c r="B29" s="3">
        <v>33127869.025705565</v>
      </c>
      <c r="C29" s="3">
        <v>34306518.342603453</v>
      </c>
      <c r="D29" s="3">
        <v>35189306.172139898</v>
      </c>
      <c r="E29" s="3">
        <v>36554940.924029671</v>
      </c>
      <c r="F29" s="3">
        <v>37969392.396743953</v>
      </c>
      <c r="G29" s="3">
        <v>39225534.739474565</v>
      </c>
      <c r="H29" s="3">
        <v>40103380.165926471</v>
      </c>
      <c r="I29" s="3">
        <v>40958074.533465646</v>
      </c>
      <c r="J29" s="3">
        <v>41655918.788166746</v>
      </c>
      <c r="K29" s="3">
        <v>43032457.778870486</v>
      </c>
      <c r="L29" s="3">
        <v>43701833.209909722</v>
      </c>
      <c r="M29" s="3">
        <v>45268677.209756777</v>
      </c>
      <c r="N29" s="3">
        <v>46080116.059381887</v>
      </c>
      <c r="O29" s="3">
        <v>49694372.629022397</v>
      </c>
      <c r="P29" s="3">
        <v>49055599.762706712</v>
      </c>
      <c r="Q29" s="3">
        <v>50105945.831169218</v>
      </c>
      <c r="R29" s="3">
        <v>51386524.895472355</v>
      </c>
    </row>
    <row r="30" spans="1:18" x14ac:dyDescent="0.25">
      <c r="A30" t="s">
        <v>28</v>
      </c>
      <c r="B30" s="3">
        <v>138874.44668716675</v>
      </c>
      <c r="C30" s="3">
        <v>139488.26200164467</v>
      </c>
      <c r="D30" s="3">
        <v>140044.24678236188</v>
      </c>
      <c r="E30" s="3">
        <v>141987.65708795268</v>
      </c>
      <c r="F30" s="3">
        <v>143908.23955126948</v>
      </c>
      <c r="G30" s="3">
        <v>145532.5673504085</v>
      </c>
      <c r="H30" s="3">
        <v>148518.69985870458</v>
      </c>
      <c r="I30" s="3">
        <v>151325.44625655931</v>
      </c>
      <c r="J30" s="3">
        <v>150581.13712862611</v>
      </c>
      <c r="K30" s="3">
        <v>148818.6296248505</v>
      </c>
      <c r="L30" s="3">
        <v>150919.65916683033</v>
      </c>
      <c r="M30" s="3">
        <v>154191.416391832</v>
      </c>
      <c r="N30" s="3">
        <v>159111.86123872164</v>
      </c>
      <c r="O30" s="3">
        <v>163839.80861896041</v>
      </c>
      <c r="P30" s="3">
        <v>162466.36194053967</v>
      </c>
      <c r="Q30" s="3">
        <v>166584.43478726581</v>
      </c>
      <c r="R30" s="3">
        <v>173573.24392942246</v>
      </c>
    </row>
    <row r="31" spans="1:18" x14ac:dyDescent="0.25">
      <c r="A31" t="s">
        <v>29</v>
      </c>
      <c r="B31" s="3">
        <v>7154972</v>
      </c>
      <c r="C31" s="3">
        <v>7314819</v>
      </c>
      <c r="D31" s="3">
        <v>7541382.0000000009</v>
      </c>
      <c r="E31" s="3">
        <v>7738202.9999999991</v>
      </c>
      <c r="F31" s="3">
        <v>7936943.0000000009</v>
      </c>
      <c r="G31" s="3">
        <v>8115485</v>
      </c>
      <c r="H31" s="3">
        <v>8282402.9999999981</v>
      </c>
      <c r="I31" s="3">
        <v>8323918</v>
      </c>
      <c r="J31" s="3">
        <v>8283124.0000000019</v>
      </c>
      <c r="K31" s="3">
        <v>8211303.9999999981</v>
      </c>
      <c r="L31" s="3">
        <v>8251594.9999999991</v>
      </c>
      <c r="M31" s="3">
        <v>8392348</v>
      </c>
      <c r="N31" s="3">
        <v>8606581.9999999981</v>
      </c>
      <c r="O31" s="3">
        <v>8737563.6151537243</v>
      </c>
      <c r="P31" s="3">
        <v>8693514.5852091759</v>
      </c>
      <c r="Q31" s="3">
        <v>8688767.2568608578</v>
      </c>
      <c r="R31" s="3">
        <v>8816197.8898778334</v>
      </c>
    </row>
    <row r="32" spans="1:18" x14ac:dyDescent="0.25">
      <c r="A32" t="s">
        <v>30</v>
      </c>
      <c r="B32" s="3">
        <v>14735199.999999998</v>
      </c>
      <c r="C32" s="3">
        <v>15020600.000000002</v>
      </c>
      <c r="D32" s="3">
        <v>15438699.999999998</v>
      </c>
      <c r="E32" s="3">
        <v>15800399.999999998</v>
      </c>
      <c r="F32" s="3">
        <v>15374999.999999998</v>
      </c>
      <c r="G32" s="3">
        <v>15017500.000000002</v>
      </c>
      <c r="H32" s="3">
        <v>14194799.999999998</v>
      </c>
      <c r="I32" s="3">
        <v>13766300.000000002</v>
      </c>
      <c r="J32" s="3">
        <v>13606100.000000002</v>
      </c>
      <c r="K32" s="3">
        <v>13773299.999999998</v>
      </c>
      <c r="L32" s="3">
        <v>14074500.000000006</v>
      </c>
      <c r="M32" s="3">
        <v>14529900.000000004</v>
      </c>
      <c r="N32" s="3">
        <v>15174199.999999998</v>
      </c>
      <c r="O32" s="3">
        <v>15783645.889572972</v>
      </c>
      <c r="P32" s="3">
        <v>15786155.371238198</v>
      </c>
      <c r="Q32" s="3">
        <v>15775950.520895226</v>
      </c>
      <c r="R32" s="3">
        <v>15747930.363875208</v>
      </c>
    </row>
    <row r="33" spans="1:18" x14ac:dyDescent="0.25">
      <c r="A33" t="s">
        <v>31</v>
      </c>
      <c r="B33" s="3">
        <v>4530799.9999999991</v>
      </c>
      <c r="C33" s="3">
        <v>4607000.0000000009</v>
      </c>
      <c r="D33" s="3">
        <v>4727599.9999999991</v>
      </c>
      <c r="E33" s="3">
        <v>4860200</v>
      </c>
      <c r="F33" s="3">
        <v>4926999.9999999991</v>
      </c>
      <c r="G33" s="3">
        <v>5030000</v>
      </c>
      <c r="H33" s="3">
        <v>5121200.0000000019</v>
      </c>
      <c r="I33" s="3">
        <v>5151300</v>
      </c>
      <c r="J33" s="3">
        <v>5122000</v>
      </c>
      <c r="K33" s="3">
        <v>5116799.9999999991</v>
      </c>
      <c r="L33" s="3">
        <v>5100000.0000000019</v>
      </c>
      <c r="M33" s="3">
        <v>5200900</v>
      </c>
      <c r="N33" s="3">
        <v>5197884.7861783803</v>
      </c>
      <c r="O33" s="3">
        <v>5217616.273340187</v>
      </c>
      <c r="P33" s="3">
        <v>5053215.1500755111</v>
      </c>
      <c r="Q33" s="3">
        <v>5030469.9305580854</v>
      </c>
      <c r="R33" s="3">
        <v>5021395.7171498509</v>
      </c>
    </row>
    <row r="34" spans="1:18" x14ac:dyDescent="0.25">
      <c r="A34" t="s">
        <v>32</v>
      </c>
      <c r="B34" s="3">
        <v>9503080.1394644901</v>
      </c>
      <c r="C34" s="3">
        <v>9378883.3475479744</v>
      </c>
      <c r="D34" s="3">
        <v>9022592.2814498935</v>
      </c>
      <c r="E34" s="3">
        <v>8812501.6631130055</v>
      </c>
      <c r="F34" s="3">
        <v>10855400.000000004</v>
      </c>
      <c r="G34" s="3">
        <v>10771400.000000002</v>
      </c>
      <c r="H34" s="3">
        <v>10657400.000000002</v>
      </c>
      <c r="I34" s="3">
        <v>9574000.0000000019</v>
      </c>
      <c r="J34" s="3">
        <v>9569499.9999999981</v>
      </c>
      <c r="K34" s="3">
        <v>9410200.0000000019</v>
      </c>
      <c r="L34" s="3">
        <v>9267300.0000000019</v>
      </c>
      <c r="M34" s="3">
        <v>9331000.0000000019</v>
      </c>
      <c r="N34" s="3">
        <v>9364900</v>
      </c>
      <c r="O34" s="3">
        <v>9366300.0000000019</v>
      </c>
      <c r="P34" s="3">
        <v>9211994.6456041429</v>
      </c>
      <c r="Q34" s="3">
        <v>10107993.358756401</v>
      </c>
      <c r="R34" s="3">
        <v>10672555.614288609</v>
      </c>
    </row>
    <row r="35" spans="1:18" x14ac:dyDescent="0.25">
      <c r="A35" t="s">
        <v>33</v>
      </c>
      <c r="B35" s="3">
        <v>75064020.4105068</v>
      </c>
      <c r="C35" s="3">
        <v>72952323.144409806</v>
      </c>
      <c r="D35" s="3">
        <v>72751632.044011906</v>
      </c>
      <c r="E35" s="3">
        <v>70678642.977886796</v>
      </c>
      <c r="F35" s="3">
        <v>72536304.653305098</v>
      </c>
      <c r="G35" s="3">
        <v>73725622.640716895</v>
      </c>
      <c r="H35" s="3">
        <v>74726901.761350304</v>
      </c>
      <c r="I35" s="3">
        <v>74927528.605348602</v>
      </c>
      <c r="J35" s="3">
        <v>75795783.223857492</v>
      </c>
      <c r="K35" s="3">
        <v>76274192.880278304</v>
      </c>
      <c r="L35" s="3">
        <v>76903373.293030098</v>
      </c>
      <c r="M35" s="3">
        <v>77376240.022588402</v>
      </c>
      <c r="N35" s="3">
        <v>78351850.917037293</v>
      </c>
      <c r="O35" s="3">
        <v>78687685.78407909</v>
      </c>
      <c r="P35" s="3">
        <v>75717000</v>
      </c>
      <c r="Q35" s="3">
        <v>76568456.738827661</v>
      </c>
      <c r="R35" s="3">
        <v>76402478.386550725</v>
      </c>
    </row>
    <row r="36" spans="1:18" x14ac:dyDescent="0.25">
      <c r="A36" t="s">
        <v>34</v>
      </c>
      <c r="B36" s="3">
        <v>2107194</v>
      </c>
      <c r="C36" s="3">
        <v>2151114.0000000005</v>
      </c>
      <c r="D36" s="3">
        <v>2128906.0000000005</v>
      </c>
      <c r="E36" s="3">
        <v>2118874.0000000005</v>
      </c>
      <c r="F36" s="3">
        <v>2065183.0000000005</v>
      </c>
      <c r="G36" s="3">
        <v>2024843.0000000002</v>
      </c>
      <c r="H36" s="3">
        <v>2036513.0000000002</v>
      </c>
      <c r="I36" s="3">
        <v>2038414.0000000005</v>
      </c>
      <c r="J36" s="3">
        <v>2060469</v>
      </c>
      <c r="K36" s="3">
        <v>2055726.9999999998</v>
      </c>
      <c r="L36" s="3">
        <v>2088913</v>
      </c>
      <c r="M36" s="3">
        <v>2132388.9999999995</v>
      </c>
      <c r="N36" s="3">
        <v>2176970.9999999995</v>
      </c>
      <c r="O36" s="3">
        <v>2262293.8356477483</v>
      </c>
      <c r="P36" s="3">
        <v>2251181.6220283327</v>
      </c>
      <c r="Q36" s="3">
        <v>2187739.372852297</v>
      </c>
      <c r="R36" s="3">
        <v>2250546.7761459784</v>
      </c>
    </row>
    <row r="37" spans="1:18" x14ac:dyDescent="0.25">
      <c r="A37" t="s">
        <v>35</v>
      </c>
      <c r="B37" s="3">
        <v>918099.00000000012</v>
      </c>
      <c r="C37" s="3">
        <v>899513.99999999988</v>
      </c>
      <c r="D37" s="3">
        <v>882596</v>
      </c>
      <c r="E37" s="3">
        <v>881001.99999999977</v>
      </c>
      <c r="F37" s="3">
        <v>893143</v>
      </c>
      <c r="G37" s="3">
        <v>904704.99999999988</v>
      </c>
      <c r="H37" s="3">
        <v>908909.00000000012</v>
      </c>
      <c r="I37" s="3">
        <v>922829.99999999988</v>
      </c>
      <c r="J37" s="3">
        <v>919233.00000000012</v>
      </c>
      <c r="K37" s="3">
        <v>922090</v>
      </c>
      <c r="L37" s="3">
        <v>920313.00000000012</v>
      </c>
      <c r="M37" s="3">
        <v>934160.00000000012</v>
      </c>
      <c r="N37" s="3">
        <v>962261</v>
      </c>
      <c r="O37" s="3">
        <v>994232.21913295111</v>
      </c>
      <c r="P37" s="3">
        <v>973825.84117740288</v>
      </c>
      <c r="Q37" s="3">
        <v>958261.65684822097</v>
      </c>
      <c r="R37" s="3">
        <v>933666.15051337262</v>
      </c>
    </row>
    <row r="38" spans="1:18" x14ac:dyDescent="0.25">
      <c r="A38" t="s">
        <v>36</v>
      </c>
      <c r="B38" s="3">
        <v>4128899.9999958449</v>
      </c>
      <c r="C38" s="3">
        <v>4095799.9999959008</v>
      </c>
      <c r="D38" s="3">
        <v>4043200.0000000009</v>
      </c>
      <c r="E38" s="3">
        <v>4111399.9999999995</v>
      </c>
      <c r="F38" s="3">
        <v>4197700.0000061514</v>
      </c>
      <c r="G38" s="3">
        <v>4300700.0000053206</v>
      </c>
      <c r="H38" s="3">
        <v>4391200.0000000009</v>
      </c>
      <c r="I38" s="3">
        <v>4393300.0000052201</v>
      </c>
      <c r="J38" s="3">
        <v>4367900.0000000009</v>
      </c>
      <c r="K38" s="3">
        <v>4337400</v>
      </c>
      <c r="L38" s="3">
        <v>4348900.0000000009</v>
      </c>
      <c r="M38" s="3">
        <v>4422500</v>
      </c>
      <c r="N38" s="3">
        <v>4524300.0000000009</v>
      </c>
      <c r="O38" s="3">
        <v>4541646.2633556742</v>
      </c>
      <c r="P38" s="3">
        <v>4424861.2813346833</v>
      </c>
      <c r="Q38" s="3">
        <v>4472679.5264721354</v>
      </c>
      <c r="R38" s="3">
        <v>4600314.0707936566</v>
      </c>
    </row>
    <row r="39" spans="1:18" x14ac:dyDescent="0.25">
      <c r="A39" t="s">
        <v>37</v>
      </c>
      <c r="B39" s="3">
        <v>20586426.489519324</v>
      </c>
      <c r="C39" s="3">
        <v>21194652.701108754</v>
      </c>
      <c r="D39" s="3">
        <v>21204337.546573594</v>
      </c>
      <c r="E39" s="3">
        <v>21778920.504637707</v>
      </c>
      <c r="F39" s="3">
        <v>22048000</v>
      </c>
      <c r="G39" s="3">
        <v>21580000.000000004</v>
      </c>
      <c r="H39" s="3">
        <v>21524000</v>
      </c>
      <c r="I39" s="3">
        <v>21354000</v>
      </c>
      <c r="J39" s="3">
        <v>21147000</v>
      </c>
      <c r="K39" s="3">
        <v>21732000.000000004</v>
      </c>
      <c r="L39" s="3">
        <v>21956000</v>
      </c>
      <c r="M39" s="3">
        <v>21092505.505351301</v>
      </c>
      <c r="N39" s="3">
        <v>20738197.11654371</v>
      </c>
      <c r="O39" s="3">
        <v>21193800.169867415</v>
      </c>
      <c r="P39" s="3">
        <v>21275000</v>
      </c>
      <c r="Q39" s="3">
        <v>22595999.999999996</v>
      </c>
      <c r="R39" s="3">
        <v>24109000</v>
      </c>
    </row>
    <row r="40" spans="1:18" x14ac:dyDescent="0.25">
      <c r="A40" t="s">
        <v>38</v>
      </c>
      <c r="B40" s="3">
        <v>9368000</v>
      </c>
      <c r="C40" s="3">
        <v>9275000</v>
      </c>
      <c r="D40" s="3">
        <v>9390000</v>
      </c>
      <c r="E40" s="3">
        <v>9425000</v>
      </c>
      <c r="F40" s="3">
        <v>9458000</v>
      </c>
      <c r="G40" s="3">
        <v>9597000</v>
      </c>
      <c r="H40" s="3">
        <v>9383000</v>
      </c>
      <c r="I40" s="3">
        <v>9454000</v>
      </c>
      <c r="J40" s="3">
        <v>9574000</v>
      </c>
      <c r="K40" s="3">
        <v>9784000</v>
      </c>
      <c r="L40" s="3">
        <v>9943000</v>
      </c>
      <c r="M40" s="3">
        <v>10113000</v>
      </c>
      <c r="N40" s="3">
        <v>10292000</v>
      </c>
      <c r="O40" s="3">
        <v>10404000</v>
      </c>
      <c r="P40" s="3">
        <v>10279000</v>
      </c>
      <c r="Q40" s="3">
        <v>10490559.858285885</v>
      </c>
      <c r="R40" s="3">
        <v>10707995.937869091</v>
      </c>
    </row>
    <row r="41" spans="1:18" x14ac:dyDescent="0.25">
      <c r="A41" t="s">
        <v>39</v>
      </c>
      <c r="B41" s="3">
        <v>133979321.12327136</v>
      </c>
      <c r="C41" s="3">
        <v>136022925.92767045</v>
      </c>
      <c r="D41" s="3">
        <v>138547833.03005251</v>
      </c>
      <c r="E41" s="3">
        <v>141887415.07467777</v>
      </c>
      <c r="F41" s="3">
        <v>144534413.32925057</v>
      </c>
      <c r="G41" s="3">
        <v>147716677.93694755</v>
      </c>
      <c r="H41" s="3">
        <v>146817829.33965713</v>
      </c>
      <c r="I41" s="3">
        <v>145399036.92417383</v>
      </c>
      <c r="J41" s="3">
        <v>145189036.08132681</v>
      </c>
      <c r="K41" s="3">
        <v>146864998.43984655</v>
      </c>
      <c r="L41" s="3">
        <v>148903330.42420551</v>
      </c>
      <c r="M41" s="3">
        <v>151319391.57291707</v>
      </c>
      <c r="N41" s="3">
        <v>152567147.54835382</v>
      </c>
      <c r="O41" s="3">
        <v>151742790.7348294</v>
      </c>
      <c r="P41" s="3">
        <v>145344828.72610477</v>
      </c>
      <c r="Q41" s="3">
        <v>144540387.25695172</v>
      </c>
      <c r="R41" s="3">
        <v>145548485.27006245</v>
      </c>
    </row>
    <row r="43" spans="1:18" x14ac:dyDescent="0.25">
      <c r="A43" t="s">
        <v>66</v>
      </c>
      <c r="B43" s="4">
        <f>SUM(B2:B41)</f>
        <v>1804246882.9876232</v>
      </c>
      <c r="C43" s="4">
        <f t="shared" ref="C43:R43" si="0">SUM(C2:C41)</f>
        <v>1829453488.959672</v>
      </c>
      <c r="D43" s="4">
        <f t="shared" si="0"/>
        <v>1851218056.2073882</v>
      </c>
      <c r="E43" s="4">
        <f t="shared" si="0"/>
        <v>1867721511.5592172</v>
      </c>
      <c r="F43" s="4">
        <f t="shared" si="0"/>
        <v>1887812690.6103604</v>
      </c>
      <c r="G43" s="4">
        <f t="shared" si="0"/>
        <v>1925984927.5505214</v>
      </c>
      <c r="H43" s="4">
        <f t="shared" si="0"/>
        <v>1953963305.2062886</v>
      </c>
      <c r="I43" s="4">
        <f t="shared" si="0"/>
        <v>1955749777.8124156</v>
      </c>
      <c r="J43" s="4">
        <f t="shared" si="0"/>
        <v>1991863736.3982739</v>
      </c>
      <c r="K43" s="4">
        <f t="shared" si="0"/>
        <v>2019807511.9089746</v>
      </c>
      <c r="L43" s="4">
        <f t="shared" si="0"/>
        <v>2048227219.2936368</v>
      </c>
      <c r="M43" s="4">
        <f t="shared" si="0"/>
        <v>2069338864.4175882</v>
      </c>
      <c r="N43" s="4">
        <f t="shared" si="0"/>
        <v>2078652931.566725</v>
      </c>
      <c r="O43" s="4">
        <f t="shared" si="0"/>
        <v>2096402875.2401528</v>
      </c>
      <c r="P43" s="4">
        <f t="shared" si="0"/>
        <v>2087693243.7903979</v>
      </c>
      <c r="Q43" s="4">
        <f t="shared" si="0"/>
        <v>2129377881.6024184</v>
      </c>
      <c r="R43" s="4">
        <f t="shared" si="0"/>
        <v>2157884155.1257577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0"/>
  <sheetViews>
    <sheetView topLeftCell="F25" workbookViewId="0">
      <selection activeCell="B46" sqref="B46:P46"/>
    </sheetView>
  </sheetViews>
  <sheetFormatPr defaultRowHeight="15" x14ac:dyDescent="0.25"/>
  <cols>
    <col min="2" max="16" width="16.85546875" bestFit="1" customWidth="1"/>
  </cols>
  <sheetData>
    <row r="1" spans="1:16" x14ac:dyDescent="0.25">
      <c r="B1">
        <v>2000</v>
      </c>
      <c r="C1">
        <v>2001</v>
      </c>
      <c r="D1">
        <v>2002</v>
      </c>
      <c r="E1">
        <v>2003</v>
      </c>
      <c r="F1">
        <v>2004</v>
      </c>
      <c r="G1">
        <v>2005</v>
      </c>
      <c r="H1">
        <v>2006</v>
      </c>
      <c r="I1">
        <v>2007</v>
      </c>
      <c r="J1">
        <v>2008</v>
      </c>
      <c r="K1">
        <v>2009</v>
      </c>
      <c r="L1">
        <v>2010</v>
      </c>
      <c r="M1">
        <v>2011</v>
      </c>
      <c r="N1">
        <v>2012</v>
      </c>
      <c r="O1">
        <v>2013</v>
      </c>
      <c r="P1">
        <v>2014</v>
      </c>
    </row>
    <row r="2" spans="1:16" x14ac:dyDescent="0.25">
      <c r="A2" t="s">
        <v>0</v>
      </c>
      <c r="B2" s="2">
        <v>9044699.9999999981</v>
      </c>
      <c r="C2" s="2">
        <v>9182650</v>
      </c>
      <c r="D2" s="2">
        <v>9430010.0000000019</v>
      </c>
      <c r="E2" s="2">
        <v>9581591.9999999981</v>
      </c>
      <c r="F2" s="2">
        <v>9903713.0000000019</v>
      </c>
      <c r="G2" s="2">
        <v>10145585</v>
      </c>
      <c r="H2" s="2">
        <v>10466510</v>
      </c>
      <c r="I2" s="2">
        <v>10752408.000000002</v>
      </c>
      <c r="J2" s="2">
        <v>10865505.000000002</v>
      </c>
      <c r="K2" s="2">
        <v>11024774.999999998</v>
      </c>
      <c r="L2" s="2">
        <v>11271706.000000002</v>
      </c>
      <c r="M2" s="2">
        <v>11472686.000000004</v>
      </c>
      <c r="N2" s="2">
        <v>11557675.999999998</v>
      </c>
      <c r="O2" s="2">
        <v>11621580.000000004</v>
      </c>
      <c r="P2" s="2">
        <v>11863007</v>
      </c>
    </row>
    <row r="3" spans="1:16" x14ac:dyDescent="0.25">
      <c r="A3" t="s">
        <v>1</v>
      </c>
      <c r="B3" s="2">
        <v>3756459.9999999995</v>
      </c>
      <c r="C3" s="2">
        <v>3783490</v>
      </c>
      <c r="D3" s="2">
        <v>3779940</v>
      </c>
      <c r="E3" s="2">
        <v>3804560</v>
      </c>
      <c r="F3" s="2">
        <v>3828330.0000000009</v>
      </c>
      <c r="G3" s="2">
        <v>3873820.0000000005</v>
      </c>
      <c r="H3" s="2">
        <v>3941430.0000000005</v>
      </c>
      <c r="I3" s="2">
        <v>4013690</v>
      </c>
      <c r="J3" s="2">
        <v>4090350.0000000014</v>
      </c>
      <c r="K3" s="2">
        <v>4072619.9999999995</v>
      </c>
      <c r="L3" s="2">
        <v>4102239.9999999991</v>
      </c>
      <c r="M3" s="2">
        <v>4166000</v>
      </c>
      <c r="N3" s="2">
        <v>4211030.0000000009</v>
      </c>
      <c r="O3" s="2">
        <v>4230600</v>
      </c>
      <c r="P3" s="2">
        <v>4268490.0000000009</v>
      </c>
    </row>
    <row r="4" spans="1:16" x14ac:dyDescent="0.25">
      <c r="A4" t="s">
        <v>2</v>
      </c>
      <c r="B4" s="2">
        <v>4108799.9999999991</v>
      </c>
      <c r="C4" s="2">
        <v>4165200.0000000009</v>
      </c>
      <c r="D4" s="2">
        <v>4157500</v>
      </c>
      <c r="E4" s="2">
        <v>4154000</v>
      </c>
      <c r="F4" s="2">
        <v>4194499.9999999991</v>
      </c>
      <c r="G4" s="2">
        <v>4255500</v>
      </c>
      <c r="H4" s="2">
        <v>4302900</v>
      </c>
      <c r="I4" s="2">
        <v>4373900</v>
      </c>
      <c r="J4" s="2">
        <v>4453299.9999999991</v>
      </c>
      <c r="K4" s="2">
        <v>4445500</v>
      </c>
      <c r="L4" s="2">
        <v>4474000</v>
      </c>
      <c r="M4" s="2">
        <v>4535799.9999999991</v>
      </c>
      <c r="N4" s="2">
        <v>4551500.0000000019</v>
      </c>
      <c r="O4" s="2">
        <v>4534100</v>
      </c>
      <c r="P4" s="2">
        <v>4549800</v>
      </c>
    </row>
    <row r="5" spans="1:16" x14ac:dyDescent="0.25">
      <c r="A5" t="s">
        <v>3</v>
      </c>
      <c r="B5" s="2">
        <v>3319350.0000000005</v>
      </c>
      <c r="C5" s="2">
        <v>3309509.9999999995</v>
      </c>
      <c r="D5" s="2">
        <v>3312160</v>
      </c>
      <c r="E5" s="2">
        <v>3402679.9999999995</v>
      </c>
      <c r="F5" s="2">
        <v>3484979.9999999986</v>
      </c>
      <c r="G5" s="2">
        <v>3564529.9999999991</v>
      </c>
      <c r="H5" s="2">
        <v>3702579.9999999995</v>
      </c>
      <c r="I5" s="2">
        <v>3823620.0000000009</v>
      </c>
      <c r="J5" s="2">
        <v>3915630.0000000009</v>
      </c>
      <c r="K5" s="2">
        <v>3859510.0000000005</v>
      </c>
      <c r="L5" s="2">
        <v>3680590</v>
      </c>
      <c r="M5" s="2">
        <v>3585490</v>
      </c>
      <c r="N5" s="2">
        <v>3474039.9999999981</v>
      </c>
      <c r="O5" s="2">
        <v>3470069.9999999991</v>
      </c>
      <c r="P5" s="2">
        <v>3600340</v>
      </c>
    </row>
    <row r="6" spans="1:16" x14ac:dyDescent="0.25">
      <c r="A6" t="s">
        <v>4</v>
      </c>
      <c r="B6" s="2">
        <v>81003280</v>
      </c>
      <c r="C6" s="2">
        <v>81869940.999999985</v>
      </c>
      <c r="D6" s="2">
        <v>85428530.999999985</v>
      </c>
      <c r="E6" s="2">
        <v>86351144</v>
      </c>
      <c r="F6" s="2">
        <v>90883574</v>
      </c>
      <c r="G6" s="2">
        <v>94080942</v>
      </c>
      <c r="H6" s="2">
        <v>95555438</v>
      </c>
      <c r="I6" s="2">
        <v>97563630.999999985</v>
      </c>
      <c r="J6" s="2">
        <v>99373771</v>
      </c>
      <c r="K6" s="2">
        <v>99517771.000000015</v>
      </c>
      <c r="L6" s="2">
        <v>99173384.000000015</v>
      </c>
      <c r="M6" s="2">
        <v>100260573.99999999</v>
      </c>
      <c r="N6" s="2">
        <v>101491931.00000001</v>
      </c>
      <c r="O6" s="2">
        <v>102993067.00000001</v>
      </c>
      <c r="P6" s="2">
        <v>104031462.00000003</v>
      </c>
    </row>
    <row r="7" spans="1:16" x14ac:dyDescent="0.25">
      <c r="A7" t="s">
        <v>5</v>
      </c>
      <c r="B7" s="2">
        <v>15143131.000000004</v>
      </c>
      <c r="C7" s="2">
        <v>15302796.000000002</v>
      </c>
      <c r="D7" s="2">
        <v>15686348</v>
      </c>
      <c r="E7" s="2">
        <v>16036946.000000002</v>
      </c>
      <c r="F7" s="2">
        <v>16287253.999999996</v>
      </c>
      <c r="G7" s="2">
        <v>16534559.999999994</v>
      </c>
      <c r="H7" s="2">
        <v>16814489</v>
      </c>
      <c r="I7" s="2">
        <v>17223935.999999993</v>
      </c>
      <c r="J7" s="2">
        <v>17704096.999999996</v>
      </c>
      <c r="K7" s="2">
        <v>16889309.999999993</v>
      </c>
      <c r="L7" s="2">
        <v>17210866</v>
      </c>
      <c r="M7" s="2">
        <v>17377209</v>
      </c>
      <c r="N7" s="2">
        <v>17555443.000000004</v>
      </c>
      <c r="O7" s="2">
        <v>17772837.000000004</v>
      </c>
      <c r="P7" s="2">
        <v>18449875.000000007</v>
      </c>
    </row>
    <row r="8" spans="1:16" x14ac:dyDescent="0.25">
      <c r="A8" t="s">
        <v>59</v>
      </c>
      <c r="B8" s="2">
        <v>4012254.0000000009</v>
      </c>
      <c r="C8" s="2">
        <v>4118131.0000000005</v>
      </c>
      <c r="D8" s="2">
        <v>4146218.0000000009</v>
      </c>
      <c r="E8" s="2">
        <v>4134237.9999999995</v>
      </c>
      <c r="F8" s="2">
        <v>4165457.9999999986</v>
      </c>
      <c r="G8" s="2">
        <v>4204780</v>
      </c>
      <c r="H8" s="2">
        <v>4285666</v>
      </c>
      <c r="I8" s="2">
        <v>4398199</v>
      </c>
      <c r="J8" s="2">
        <v>4501676.9999999981</v>
      </c>
      <c r="K8" s="2">
        <v>4580103.9999999972</v>
      </c>
      <c r="L8" s="2">
        <v>4683309.9999999991</v>
      </c>
      <c r="M8" s="2">
        <v>4890381.0000000019</v>
      </c>
      <c r="N8" s="2">
        <v>4960441.0000000009</v>
      </c>
      <c r="O8" s="2">
        <v>5021571</v>
      </c>
      <c r="P8" s="2">
        <v>5084671</v>
      </c>
    </row>
    <row r="9" spans="1:16" x14ac:dyDescent="0.25">
      <c r="A9" t="s">
        <v>6</v>
      </c>
      <c r="B9" s="2">
        <v>719604312</v>
      </c>
      <c r="C9" s="2">
        <v>728107453.99999988</v>
      </c>
      <c r="D9" s="2">
        <v>737283544</v>
      </c>
      <c r="E9" s="2">
        <v>744531054.99999988</v>
      </c>
      <c r="F9" s="2">
        <v>752280978.00000012</v>
      </c>
      <c r="G9" s="2">
        <v>759769705.99999976</v>
      </c>
      <c r="H9" s="2">
        <v>765353191.99999988</v>
      </c>
      <c r="I9" s="2">
        <v>770887157</v>
      </c>
      <c r="J9" s="2">
        <v>777013044</v>
      </c>
      <c r="K9" s="2">
        <v>784923938.99999988</v>
      </c>
      <c r="L9" s="2">
        <v>784662539.99999976</v>
      </c>
      <c r="M9" s="2">
        <v>840443021.00000012</v>
      </c>
      <c r="N9" s="2">
        <v>854216281.99999988</v>
      </c>
      <c r="O9" s="2">
        <v>857825563</v>
      </c>
      <c r="P9" s="2">
        <v>858367350</v>
      </c>
    </row>
    <row r="10" spans="1:16" x14ac:dyDescent="0.25">
      <c r="A10" t="s">
        <v>7</v>
      </c>
      <c r="B10" s="2">
        <v>316400.00000000023</v>
      </c>
      <c r="C10" s="2">
        <v>323510</v>
      </c>
      <c r="D10" s="2">
        <v>330459.99999999994</v>
      </c>
      <c r="E10" s="2">
        <v>342550.00000000017</v>
      </c>
      <c r="F10" s="2">
        <v>356140.00000000017</v>
      </c>
      <c r="G10" s="2">
        <v>368510.00000000017</v>
      </c>
      <c r="H10" s="2">
        <v>375380</v>
      </c>
      <c r="I10" s="2">
        <v>388690</v>
      </c>
      <c r="J10" s="2">
        <v>396309.99999999983</v>
      </c>
      <c r="K10" s="2">
        <v>394459.99999999988</v>
      </c>
      <c r="L10" s="2">
        <v>401280</v>
      </c>
      <c r="M10" s="2">
        <v>403460.00000000012</v>
      </c>
      <c r="N10" s="2">
        <v>388970.00000000006</v>
      </c>
      <c r="O10" s="2">
        <v>365009.99999999994</v>
      </c>
      <c r="P10" s="2">
        <v>357509.99999999994</v>
      </c>
    </row>
    <row r="11" spans="1:16" x14ac:dyDescent="0.25">
      <c r="A11" t="s">
        <v>8</v>
      </c>
      <c r="B11" s="2">
        <v>4859390</v>
      </c>
      <c r="C11" s="2">
        <v>4846399.9999999981</v>
      </c>
      <c r="D11" s="2">
        <v>4876770</v>
      </c>
      <c r="E11" s="2">
        <v>4838090</v>
      </c>
      <c r="F11" s="2">
        <v>4828910.0000000009</v>
      </c>
      <c r="G11" s="2">
        <v>4922670.0000000009</v>
      </c>
      <c r="H11" s="2">
        <v>4988979.9999999981</v>
      </c>
      <c r="I11" s="2">
        <v>5093159.9999999991</v>
      </c>
      <c r="J11" s="2">
        <v>5204089.9999999991</v>
      </c>
      <c r="K11" s="2">
        <v>5110140</v>
      </c>
      <c r="L11" s="2">
        <v>5057259.9999999991</v>
      </c>
      <c r="M11" s="2">
        <v>5043459.9999999981</v>
      </c>
      <c r="N11" s="2">
        <v>5064670</v>
      </c>
      <c r="O11" s="2">
        <v>5081059.9999999981</v>
      </c>
      <c r="P11" s="2">
        <v>5109230</v>
      </c>
    </row>
    <row r="12" spans="1:16" x14ac:dyDescent="0.25">
      <c r="A12" t="s">
        <v>9</v>
      </c>
      <c r="B12" s="2">
        <v>39917000</v>
      </c>
      <c r="C12" s="2">
        <v>39809000</v>
      </c>
      <c r="D12" s="2">
        <v>39630000</v>
      </c>
      <c r="E12" s="2">
        <v>39200000</v>
      </c>
      <c r="F12" s="2">
        <v>39337000</v>
      </c>
      <c r="G12" s="2">
        <v>39326000</v>
      </c>
      <c r="H12" s="2">
        <v>39635000</v>
      </c>
      <c r="I12" s="2">
        <v>40325000</v>
      </c>
      <c r="J12" s="2">
        <v>40856000</v>
      </c>
      <c r="K12" s="2">
        <v>40892000</v>
      </c>
      <c r="L12" s="2">
        <v>41020000</v>
      </c>
      <c r="M12" s="2">
        <v>41577000</v>
      </c>
      <c r="N12" s="2">
        <v>42060000</v>
      </c>
      <c r="O12" s="2">
        <v>42328000</v>
      </c>
      <c r="P12" s="2">
        <v>42706000</v>
      </c>
    </row>
    <row r="13" spans="1:16" x14ac:dyDescent="0.25">
      <c r="A13" t="s">
        <v>10</v>
      </c>
      <c r="B13" s="2">
        <v>2736000</v>
      </c>
      <c r="C13" s="2">
        <v>2754000</v>
      </c>
      <c r="D13" s="2">
        <v>2754000</v>
      </c>
      <c r="E13" s="2">
        <v>2735000</v>
      </c>
      <c r="F13" s="2">
        <v>2712000</v>
      </c>
      <c r="G13" s="2">
        <v>2756000</v>
      </c>
      <c r="H13" s="2">
        <v>2816000</v>
      </c>
      <c r="I13" s="2">
        <v>2877000</v>
      </c>
      <c r="J13" s="2">
        <v>2911000</v>
      </c>
      <c r="K13" s="2">
        <v>2825000</v>
      </c>
      <c r="L13" s="2">
        <v>2759000</v>
      </c>
      <c r="M13" s="2">
        <v>2757000</v>
      </c>
      <c r="N13" s="2">
        <v>2741000</v>
      </c>
      <c r="O13" s="2">
        <v>2745000</v>
      </c>
      <c r="P13" s="2">
        <v>2765000</v>
      </c>
    </row>
    <row r="14" spans="1:16" x14ac:dyDescent="0.25">
      <c r="A14" t="s">
        <v>11</v>
      </c>
      <c r="B14" s="2">
        <v>16691000</v>
      </c>
      <c r="C14" s="2">
        <v>17247799.999999996</v>
      </c>
      <c r="D14" s="2">
        <v>17692899.999999993</v>
      </c>
      <c r="E14" s="2">
        <v>18281800.000000007</v>
      </c>
      <c r="F14" s="2">
        <v>18970100</v>
      </c>
      <c r="G14" s="2">
        <v>19783999.999999996</v>
      </c>
      <c r="H14" s="2">
        <v>20609200</v>
      </c>
      <c r="I14" s="2">
        <v>21284899.999999996</v>
      </c>
      <c r="J14" s="2">
        <v>21324100.000000011</v>
      </c>
      <c r="K14" s="2">
        <v>19986800.000000004</v>
      </c>
      <c r="L14" s="2">
        <v>19639500.000000007</v>
      </c>
      <c r="M14" s="2">
        <v>19112500.000000004</v>
      </c>
      <c r="N14" s="2">
        <v>18337700.000000004</v>
      </c>
      <c r="O14" s="2">
        <v>17798300.000000007</v>
      </c>
      <c r="P14" s="2">
        <v>17964499.999999993</v>
      </c>
    </row>
    <row r="15" spans="1:16" x14ac:dyDescent="0.25">
      <c r="A15" t="s">
        <v>12</v>
      </c>
      <c r="B15" s="2">
        <v>589400.00000000012</v>
      </c>
      <c r="C15" s="2">
        <v>592200</v>
      </c>
      <c r="D15" s="2">
        <v>589200.00000000012</v>
      </c>
      <c r="E15" s="2">
        <v>606299.99999999988</v>
      </c>
      <c r="F15" s="2">
        <v>603800</v>
      </c>
      <c r="G15" s="2">
        <v>617800</v>
      </c>
      <c r="H15" s="2">
        <v>646800.00000000012</v>
      </c>
      <c r="I15" s="2">
        <v>648800.00000000012</v>
      </c>
      <c r="J15" s="2">
        <v>646399.99999999988</v>
      </c>
      <c r="K15" s="2">
        <v>582800.00000000012</v>
      </c>
      <c r="L15" s="2">
        <v>551800.00000000012</v>
      </c>
      <c r="M15" s="2">
        <v>590400</v>
      </c>
      <c r="N15" s="2">
        <v>589299.99999999988</v>
      </c>
      <c r="O15" s="2">
        <v>606600</v>
      </c>
      <c r="P15" s="2">
        <v>619200.00000000012</v>
      </c>
    </row>
    <row r="16" spans="1:16" x14ac:dyDescent="0.25">
      <c r="A16" t="s">
        <v>13</v>
      </c>
      <c r="B16" s="2">
        <v>2298300</v>
      </c>
      <c r="C16" s="2">
        <v>2331600.0000000005</v>
      </c>
      <c r="D16" s="2">
        <v>2356900.0000000005</v>
      </c>
      <c r="E16" s="2">
        <v>2360200</v>
      </c>
      <c r="F16" s="2">
        <v>2373599.9999999995</v>
      </c>
      <c r="G16" s="2">
        <v>2410600.0000000009</v>
      </c>
      <c r="H16" s="2">
        <v>2454600</v>
      </c>
      <c r="I16" s="2">
        <v>2506900.0000000005</v>
      </c>
      <c r="J16" s="2">
        <v>2562700.0000000009</v>
      </c>
      <c r="K16" s="2">
        <v>2501000</v>
      </c>
      <c r="L16" s="2">
        <v>2483799.9999999991</v>
      </c>
      <c r="M16" s="2">
        <v>2515499.9999999995</v>
      </c>
      <c r="N16" s="2">
        <v>2537600</v>
      </c>
      <c r="O16" s="2">
        <v>2519600</v>
      </c>
      <c r="P16" s="2">
        <v>2498500.0000000005</v>
      </c>
    </row>
    <row r="17" spans="1:16" x14ac:dyDescent="0.25">
      <c r="A17" t="s">
        <v>14</v>
      </c>
      <c r="B17" s="2">
        <v>25672000</v>
      </c>
      <c r="C17" s="2">
        <v>26041000</v>
      </c>
      <c r="D17" s="2">
        <v>26161000</v>
      </c>
      <c r="E17" s="2">
        <v>26164000</v>
      </c>
      <c r="F17" s="2">
        <v>26192000</v>
      </c>
      <c r="G17" s="2">
        <v>26376000</v>
      </c>
      <c r="H17" s="2">
        <v>26667000</v>
      </c>
      <c r="I17" s="2">
        <v>27042000</v>
      </c>
      <c r="J17" s="2">
        <v>27167000</v>
      </c>
      <c r="K17" s="2">
        <v>26861000</v>
      </c>
      <c r="L17" s="2">
        <v>26892000</v>
      </c>
      <c r="M17" s="2">
        <v>27107000</v>
      </c>
      <c r="N17" s="2">
        <v>27197000</v>
      </c>
      <c r="O17" s="2">
        <v>27197000</v>
      </c>
      <c r="P17" s="2">
        <v>27295000</v>
      </c>
    </row>
    <row r="18" spans="1:16" x14ac:dyDescent="0.25">
      <c r="A18" t="s">
        <v>15</v>
      </c>
      <c r="B18" s="2">
        <v>27482000</v>
      </c>
      <c r="C18" s="2">
        <v>27711000</v>
      </c>
      <c r="D18" s="2">
        <v>27944000</v>
      </c>
      <c r="E18" s="2">
        <v>28225000</v>
      </c>
      <c r="F18" s="2">
        <v>28530000</v>
      </c>
      <c r="G18" s="2">
        <v>28852000</v>
      </c>
      <c r="H18" s="2">
        <v>29140000</v>
      </c>
      <c r="I18" s="2">
        <v>29373000</v>
      </c>
      <c r="J18" s="2">
        <v>29629000</v>
      </c>
      <c r="K18" s="2">
        <v>29152000</v>
      </c>
      <c r="L18" s="2">
        <v>29227000</v>
      </c>
      <c r="M18" s="2">
        <v>29372000</v>
      </c>
      <c r="N18" s="2">
        <v>29693000</v>
      </c>
      <c r="O18" s="2">
        <v>30044000</v>
      </c>
      <c r="P18" s="2">
        <v>30726000</v>
      </c>
    </row>
    <row r="19" spans="1:16" x14ac:dyDescent="0.25">
      <c r="A19" t="s">
        <v>16</v>
      </c>
      <c r="B19" s="2">
        <v>4308120</v>
      </c>
      <c r="C19" s="2">
        <v>4328410</v>
      </c>
      <c r="D19" s="2">
        <v>4434300.0000000009</v>
      </c>
      <c r="E19" s="2">
        <v>4495719.9999999981</v>
      </c>
      <c r="F19" s="2">
        <v>4604099.9999999981</v>
      </c>
      <c r="G19" s="2">
        <v>4648180</v>
      </c>
      <c r="H19" s="2">
        <v>4731320.0000000009</v>
      </c>
      <c r="I19" s="2">
        <v>4795150.0000000019</v>
      </c>
      <c r="J19" s="2">
        <v>4856399.9999999991</v>
      </c>
      <c r="K19" s="2">
        <v>4829030</v>
      </c>
      <c r="L19" s="2">
        <v>4705509.9999999981</v>
      </c>
      <c r="M19" s="2">
        <v>4381870.0000000009</v>
      </c>
      <c r="N19" s="2">
        <v>4105270.0000000005</v>
      </c>
      <c r="O19" s="2">
        <v>3957319.9999999995</v>
      </c>
      <c r="P19" s="2">
        <v>3962620.0000000005</v>
      </c>
    </row>
    <row r="20" spans="1:16" x14ac:dyDescent="0.25">
      <c r="A20" t="s">
        <v>60</v>
      </c>
      <c r="B20" s="2">
        <v>1597780.0000000007</v>
      </c>
      <c r="C20" s="2">
        <v>1578210</v>
      </c>
      <c r="D20" s="2">
        <v>1602830.0000000007</v>
      </c>
      <c r="E20" s="2">
        <v>1609939.9999999998</v>
      </c>
      <c r="F20" s="2">
        <v>1633269.9999999998</v>
      </c>
      <c r="G20" s="2">
        <v>1636890.0000000002</v>
      </c>
      <c r="H20" s="2">
        <v>1682730.0000000002</v>
      </c>
      <c r="I20" s="2">
        <v>1719450.0000000005</v>
      </c>
      <c r="J20" s="2">
        <v>1779869.9999999995</v>
      </c>
      <c r="K20" s="2">
        <v>1767539.9999999995</v>
      </c>
      <c r="L20" s="2">
        <v>1695649.9999999995</v>
      </c>
      <c r="M20" s="2">
        <v>1631720.0000000002</v>
      </c>
      <c r="N20" s="2">
        <v>1571850.0000000002</v>
      </c>
      <c r="O20" s="2">
        <v>1531350.0000000005</v>
      </c>
      <c r="P20" s="2">
        <v>1570100.0000000007</v>
      </c>
    </row>
    <row r="21" spans="1:16" x14ac:dyDescent="0.25">
      <c r="A21" t="s">
        <v>17</v>
      </c>
      <c r="B21" s="2">
        <v>4237060</v>
      </c>
      <c r="C21" s="2">
        <v>4230329.9999999981</v>
      </c>
      <c r="D21" s="2">
        <v>4226960.0000000009</v>
      </c>
      <c r="E21" s="2">
        <v>4226949.9999999991</v>
      </c>
      <c r="F21" s="2">
        <v>4186439.9999999986</v>
      </c>
      <c r="G21" s="2">
        <v>4174190.0000000005</v>
      </c>
      <c r="H21" s="2">
        <v>4192230.0000000005</v>
      </c>
      <c r="I21" s="2">
        <v>4198059.9999999991</v>
      </c>
      <c r="J21" s="2">
        <v>4115520.0000000005</v>
      </c>
      <c r="K21" s="2">
        <v>4012990</v>
      </c>
      <c r="L21" s="2">
        <v>4001580.0000000005</v>
      </c>
      <c r="M21" s="2">
        <v>4002759.9999999995</v>
      </c>
      <c r="N21" s="2">
        <v>4008239.9999999991</v>
      </c>
      <c r="O21" s="2">
        <v>4045850.0000000005</v>
      </c>
      <c r="P21" s="2">
        <v>4233850</v>
      </c>
    </row>
    <row r="22" spans="1:16" x14ac:dyDescent="0.25">
      <c r="A22" t="s">
        <v>18</v>
      </c>
      <c r="B22" s="2">
        <v>96874612</v>
      </c>
      <c r="C22" s="2">
        <v>99380967.000000015</v>
      </c>
      <c r="D22" s="2">
        <v>100229552.99999999</v>
      </c>
      <c r="E22" s="2">
        <v>103734625</v>
      </c>
      <c r="F22" s="2">
        <v>104667310.99999999</v>
      </c>
      <c r="G22" s="2">
        <v>106264607.00000001</v>
      </c>
      <c r="H22" s="2">
        <v>108611120.00000001</v>
      </c>
      <c r="I22" s="2">
        <v>113378871.99999999</v>
      </c>
      <c r="J22" s="2">
        <v>115174342</v>
      </c>
      <c r="K22" s="2">
        <v>117182364</v>
      </c>
      <c r="L22" s="2">
        <v>121658174.99999997</v>
      </c>
      <c r="M22" s="2">
        <v>123605873</v>
      </c>
      <c r="N22" s="2">
        <v>135569052.00000003</v>
      </c>
      <c r="O22" s="2">
        <v>151171492.00000003</v>
      </c>
      <c r="P22" s="2">
        <v>168803678</v>
      </c>
    </row>
    <row r="23" spans="1:16" x14ac:dyDescent="0.25">
      <c r="A23" t="s">
        <v>19</v>
      </c>
      <c r="B23" s="2">
        <v>410063444</v>
      </c>
      <c r="C23" s="2">
        <v>420902877</v>
      </c>
      <c r="D23" s="2">
        <v>432113285.00000006</v>
      </c>
      <c r="E23" s="2">
        <v>444312235</v>
      </c>
      <c r="F23" s="2">
        <v>457919360.00000006</v>
      </c>
      <c r="G23" s="2">
        <v>460240169.99999994</v>
      </c>
      <c r="H23" s="2">
        <v>459570160.00000006</v>
      </c>
      <c r="I23" s="2">
        <v>459864020</v>
      </c>
      <c r="J23" s="2">
        <v>460178296</v>
      </c>
      <c r="K23" s="2">
        <v>461620466</v>
      </c>
      <c r="L23" s="2">
        <v>466169307</v>
      </c>
      <c r="M23" s="2">
        <v>473774818</v>
      </c>
      <c r="N23" s="2">
        <v>540263370</v>
      </c>
      <c r="O23" s="2">
        <v>609186497</v>
      </c>
      <c r="P23" s="2">
        <v>658776147.99999988</v>
      </c>
    </row>
    <row r="24" spans="1:16" x14ac:dyDescent="0.25">
      <c r="A24" t="s">
        <v>20</v>
      </c>
      <c r="B24" s="2">
        <v>1711749.9999999993</v>
      </c>
      <c r="C24" s="2">
        <v>1763360.0000000005</v>
      </c>
      <c r="D24" s="2">
        <v>1791709.9999999998</v>
      </c>
      <c r="E24" s="2">
        <v>1825530.0000000002</v>
      </c>
      <c r="F24" s="2">
        <v>1888370.0000000002</v>
      </c>
      <c r="G24" s="2">
        <v>1978539.9999999998</v>
      </c>
      <c r="H24" s="2">
        <v>2071140.0000000002</v>
      </c>
      <c r="I24" s="2">
        <v>2162960</v>
      </c>
      <c r="J24" s="2">
        <v>2146799.9999999995</v>
      </c>
      <c r="K24" s="2">
        <v>1971040</v>
      </c>
      <c r="L24" s="2">
        <v>1884659.9999999993</v>
      </c>
      <c r="M24" s="2">
        <v>1849419.9999999998</v>
      </c>
      <c r="N24" s="2">
        <v>1838509.9999999993</v>
      </c>
      <c r="O24" s="2">
        <v>1882079.9999999995</v>
      </c>
      <c r="P24" s="2">
        <v>1914310</v>
      </c>
    </row>
    <row r="25" spans="1:16" x14ac:dyDescent="0.25">
      <c r="A25" t="s">
        <v>21</v>
      </c>
      <c r="B25" s="2">
        <v>23021299.999999996</v>
      </c>
      <c r="C25" s="2">
        <v>23473300</v>
      </c>
      <c r="D25" s="2">
        <v>23867399.999999996</v>
      </c>
      <c r="E25" s="2">
        <v>24217899.999999996</v>
      </c>
      <c r="F25" s="2">
        <v>24364600.000000004</v>
      </c>
      <c r="G25" s="2">
        <v>24501300.000000004</v>
      </c>
      <c r="H25" s="2">
        <v>24983799.999999996</v>
      </c>
      <c r="I25" s="2">
        <v>25294899.999999993</v>
      </c>
      <c r="J25" s="2">
        <v>25349200.000000011</v>
      </c>
      <c r="K25" s="2">
        <v>24925499.999999996</v>
      </c>
      <c r="L25" s="2">
        <v>24765700.000000004</v>
      </c>
      <c r="M25" s="2">
        <v>24842699.999999985</v>
      </c>
      <c r="N25" s="2">
        <v>24764799.999999993</v>
      </c>
      <c r="O25" s="2">
        <v>24322899.999999996</v>
      </c>
      <c r="P25" s="2">
        <v>24368300.000000004</v>
      </c>
    </row>
    <row r="26" spans="1:16" x14ac:dyDescent="0.25">
      <c r="A26" t="s">
        <v>22</v>
      </c>
      <c r="B26" s="2">
        <v>65252322.755099982</v>
      </c>
      <c r="C26" s="2">
        <v>64760027.965299994</v>
      </c>
      <c r="D26" s="2">
        <v>63747497.475300014</v>
      </c>
      <c r="E26" s="2">
        <v>63536206.775399998</v>
      </c>
      <c r="F26" s="2">
        <v>63676059.193899997</v>
      </c>
      <c r="G26" s="2">
        <v>63916437.327699989</v>
      </c>
      <c r="H26" s="2">
        <v>64197683.943699986</v>
      </c>
      <c r="I26" s="2">
        <v>64437719.754199974</v>
      </c>
      <c r="J26" s="2">
        <v>64209601.888899989</v>
      </c>
      <c r="K26" s="2">
        <v>63274319.879199997</v>
      </c>
      <c r="L26" s="2">
        <v>62988851.894299991</v>
      </c>
      <c r="M26" s="2">
        <v>62858109.518299989</v>
      </c>
      <c r="N26" s="2">
        <v>62497588.109100014</v>
      </c>
      <c r="O26" s="2">
        <v>62041289.936299995</v>
      </c>
      <c r="P26" s="2">
        <v>61233873.69160001</v>
      </c>
    </row>
    <row r="27" spans="1:16" x14ac:dyDescent="0.25">
      <c r="A27" t="s">
        <v>23</v>
      </c>
      <c r="B27" s="2">
        <v>18207712</v>
      </c>
      <c r="C27" s="2">
        <v>18648511.999999996</v>
      </c>
      <c r="D27" s="2">
        <v>19308557</v>
      </c>
      <c r="E27" s="2">
        <v>19546847.000000004</v>
      </c>
      <c r="F27" s="2">
        <v>20066114.000000011</v>
      </c>
      <c r="G27" s="2">
        <v>20445114.000000004</v>
      </c>
      <c r="H27" s="2">
        <v>20841514.000000007</v>
      </c>
      <c r="I27" s="2">
        <v>21158797.999999985</v>
      </c>
      <c r="J27" s="2">
        <v>21373015.000000007</v>
      </c>
      <c r="K27" s="2">
        <v>21650267.999999996</v>
      </c>
      <c r="L27" s="2">
        <v>21925244.000000007</v>
      </c>
      <c r="M27" s="2">
        <v>22849293.999999993</v>
      </c>
      <c r="N27" s="2">
        <v>23809716.000000004</v>
      </c>
      <c r="O27" s="2">
        <v>24058954.000000007</v>
      </c>
      <c r="P27" s="2">
        <v>24448999.999999996</v>
      </c>
    </row>
    <row r="28" spans="1:16" x14ac:dyDescent="0.25">
      <c r="A28" t="s">
        <v>24</v>
      </c>
      <c r="B28" s="2">
        <v>1398989.9999999993</v>
      </c>
      <c r="C28" s="2">
        <v>1346080.0000000002</v>
      </c>
      <c r="D28" s="2">
        <v>1397329.9999999995</v>
      </c>
      <c r="E28" s="2">
        <v>1427230.0000000002</v>
      </c>
      <c r="F28" s="2">
        <v>1411120</v>
      </c>
      <c r="G28" s="2">
        <v>1417790.0000000005</v>
      </c>
      <c r="H28" s="2">
        <v>1416170.0000000002</v>
      </c>
      <c r="I28" s="2">
        <v>1445549.9999999998</v>
      </c>
      <c r="J28" s="2">
        <v>1425080.0000000005</v>
      </c>
      <c r="K28" s="2">
        <v>1317740.0000000002</v>
      </c>
      <c r="L28" s="2">
        <v>1245360</v>
      </c>
      <c r="M28" s="2">
        <v>1251970</v>
      </c>
      <c r="N28" s="2">
        <v>1273730.0000000007</v>
      </c>
      <c r="O28" s="2">
        <v>1292100.0000000002</v>
      </c>
      <c r="P28" s="2">
        <v>1316640</v>
      </c>
    </row>
    <row r="29" spans="1:16" x14ac:dyDescent="0.25">
      <c r="A29" t="s">
        <v>25</v>
      </c>
      <c r="B29" s="2">
        <v>262640.00000000006</v>
      </c>
      <c r="C29" s="2">
        <v>279179.99999999994</v>
      </c>
      <c r="D29" s="2">
        <v>287460.00000000006</v>
      </c>
      <c r="E29" s="2">
        <v>292900.00000000006</v>
      </c>
      <c r="F29" s="2">
        <v>299650.00000000006</v>
      </c>
      <c r="G29" s="2">
        <v>307789.99999999994</v>
      </c>
      <c r="H29" s="2">
        <v>319589.99999999983</v>
      </c>
      <c r="I29" s="2">
        <v>333700</v>
      </c>
      <c r="J29" s="2">
        <v>349589.99999999988</v>
      </c>
      <c r="K29" s="2">
        <v>353120.00000000006</v>
      </c>
      <c r="L29" s="2">
        <v>359549.99999999988</v>
      </c>
      <c r="M29" s="2">
        <v>370220.00000000012</v>
      </c>
      <c r="N29" s="2">
        <v>379120.00000000012</v>
      </c>
      <c r="O29" s="2">
        <v>389879.99999999994</v>
      </c>
      <c r="P29" s="2">
        <v>405009.99999999994</v>
      </c>
    </row>
    <row r="30" spans="1:16" x14ac:dyDescent="0.25">
      <c r="A30" t="s">
        <v>26</v>
      </c>
      <c r="B30" s="2">
        <v>924250</v>
      </c>
      <c r="C30" s="2">
        <v>942389.99999999977</v>
      </c>
      <c r="D30" s="2">
        <v>957440</v>
      </c>
      <c r="E30" s="2">
        <v>966450</v>
      </c>
      <c r="F30" s="2">
        <v>970300</v>
      </c>
      <c r="G30" s="2">
        <v>976519.99999999988</v>
      </c>
      <c r="H30" s="2">
        <v>1035069.9999999999</v>
      </c>
      <c r="I30" s="2">
        <v>1068739.9999999998</v>
      </c>
      <c r="J30" s="2">
        <v>1056780</v>
      </c>
      <c r="K30" s="2">
        <v>900810.00000000012</v>
      </c>
      <c r="L30" s="2">
        <v>835520</v>
      </c>
      <c r="M30" s="2">
        <v>847669.99999999988</v>
      </c>
      <c r="N30" s="2">
        <v>874810.00000000023</v>
      </c>
      <c r="O30" s="2">
        <v>891520.00000000047</v>
      </c>
      <c r="P30" s="2">
        <v>898030.00000000035</v>
      </c>
    </row>
    <row r="31" spans="1:16" x14ac:dyDescent="0.25">
      <c r="A31" t="s">
        <v>27</v>
      </c>
      <c r="B31" s="2">
        <v>31748216</v>
      </c>
      <c r="C31" s="2">
        <v>31448122.999999993</v>
      </c>
      <c r="D31" s="2">
        <v>31608837.000000011</v>
      </c>
      <c r="E31" s="2">
        <v>33467686.000000007</v>
      </c>
      <c r="F31" s="2">
        <v>34828912</v>
      </c>
      <c r="G31" s="2">
        <v>35203494</v>
      </c>
      <c r="H31" s="2">
        <v>36683335</v>
      </c>
      <c r="I31" s="2">
        <v>37417215</v>
      </c>
      <c r="J31" s="2">
        <v>37982023</v>
      </c>
      <c r="K31" s="2">
        <v>36633161.000000007</v>
      </c>
      <c r="L31" s="2">
        <v>37267340.000000007</v>
      </c>
      <c r="M31" s="2">
        <v>37792488</v>
      </c>
      <c r="N31" s="2">
        <v>38860524.999999993</v>
      </c>
      <c r="O31" s="2">
        <v>38612134</v>
      </c>
      <c r="P31" s="2">
        <v>38996763.000000007</v>
      </c>
    </row>
    <row r="32" spans="1:16" x14ac:dyDescent="0.25">
      <c r="A32" t="s">
        <v>28</v>
      </c>
      <c r="B32" s="2">
        <v>150999.99999999994</v>
      </c>
      <c r="C32" s="2">
        <v>150670</v>
      </c>
      <c r="D32" s="2">
        <v>152459.99999999991</v>
      </c>
      <c r="E32" s="2">
        <v>152830</v>
      </c>
      <c r="F32" s="2">
        <v>151040.00000000003</v>
      </c>
      <c r="G32" s="2">
        <v>154209.99999999997</v>
      </c>
      <c r="H32" s="2">
        <v>153870</v>
      </c>
      <c r="I32" s="2">
        <v>158670.00000000006</v>
      </c>
      <c r="J32" s="2">
        <v>167640</v>
      </c>
      <c r="K32" s="2">
        <v>167800.00000000009</v>
      </c>
      <c r="L32" s="2">
        <v>176090</v>
      </c>
      <c r="M32" s="2">
        <v>177180.00000000003</v>
      </c>
      <c r="N32" s="2">
        <v>178840</v>
      </c>
      <c r="O32" s="2">
        <v>182720.00000000003</v>
      </c>
      <c r="P32" s="2">
        <v>193599.99999999994</v>
      </c>
    </row>
    <row r="33" spans="1:16" x14ac:dyDescent="0.25">
      <c r="A33" t="s">
        <v>29</v>
      </c>
      <c r="B33" s="2">
        <v>8207000</v>
      </c>
      <c r="C33" s="2">
        <v>8364000</v>
      </c>
      <c r="D33" s="2">
        <v>8425000</v>
      </c>
      <c r="E33" s="2">
        <v>8376000</v>
      </c>
      <c r="F33" s="2">
        <v>8273000</v>
      </c>
      <c r="G33" s="2">
        <v>8328000</v>
      </c>
      <c r="H33" s="2">
        <v>8510000</v>
      </c>
      <c r="I33" s="2">
        <v>8758000</v>
      </c>
      <c r="J33" s="2">
        <v>8907000</v>
      </c>
      <c r="K33" s="2">
        <v>8824000</v>
      </c>
      <c r="L33" s="2">
        <v>8768000</v>
      </c>
      <c r="M33" s="2">
        <v>8843000</v>
      </c>
      <c r="N33" s="2">
        <v>8827000</v>
      </c>
      <c r="O33" s="2">
        <v>8744000</v>
      </c>
      <c r="P33" s="2">
        <v>8727000</v>
      </c>
    </row>
    <row r="34" spans="1:16" x14ac:dyDescent="0.25">
      <c r="A34" t="s">
        <v>61</v>
      </c>
      <c r="B34" s="2">
        <v>2328000</v>
      </c>
      <c r="C34" s="2">
        <v>2330000</v>
      </c>
      <c r="D34" s="2">
        <v>2343000</v>
      </c>
      <c r="E34" s="2">
        <v>2318000</v>
      </c>
      <c r="F34" s="2">
        <v>2331000</v>
      </c>
      <c r="G34" s="2">
        <v>2362000</v>
      </c>
      <c r="H34" s="2">
        <v>2442000</v>
      </c>
      <c r="I34" s="2">
        <v>2542000</v>
      </c>
      <c r="J34" s="2">
        <v>2626000</v>
      </c>
      <c r="K34" s="2">
        <v>2612000</v>
      </c>
      <c r="L34" s="2">
        <v>2601000</v>
      </c>
      <c r="M34" s="2">
        <v>2638000</v>
      </c>
      <c r="N34" s="2">
        <v>2689000</v>
      </c>
      <c r="O34" s="2">
        <v>2727000</v>
      </c>
      <c r="P34" s="2">
        <v>2747000</v>
      </c>
    </row>
    <row r="35" spans="1:16" x14ac:dyDescent="0.25">
      <c r="A35" t="s">
        <v>30</v>
      </c>
      <c r="B35" s="2">
        <v>14777000</v>
      </c>
      <c r="C35" s="2">
        <v>14689200.000000004</v>
      </c>
      <c r="D35" s="2">
        <v>13885200</v>
      </c>
      <c r="E35" s="2">
        <v>13606100.000000006</v>
      </c>
      <c r="F35" s="2">
        <v>13760300</v>
      </c>
      <c r="G35" s="2">
        <v>14057000</v>
      </c>
      <c r="H35" s="2">
        <v>14503900</v>
      </c>
      <c r="I35" s="2">
        <v>15155900</v>
      </c>
      <c r="J35" s="2">
        <v>15731899.999999996</v>
      </c>
      <c r="K35" s="2">
        <v>15789400</v>
      </c>
      <c r="L35" s="2">
        <v>15370300</v>
      </c>
      <c r="M35" s="2">
        <v>15457299.999999998</v>
      </c>
      <c r="N35" s="2">
        <v>15474899.999999996</v>
      </c>
      <c r="O35" s="2">
        <v>15463500</v>
      </c>
      <c r="P35" s="2">
        <v>15572099.999999998</v>
      </c>
    </row>
    <row r="36" spans="1:16" x14ac:dyDescent="0.25">
      <c r="A36" t="s">
        <v>31</v>
      </c>
      <c r="B36" s="2">
        <v>5041900.0000000009</v>
      </c>
      <c r="C36" s="2">
        <v>5130150.0000000009</v>
      </c>
      <c r="D36" s="2">
        <v>5149980.0000000009</v>
      </c>
      <c r="E36" s="2">
        <v>5100210</v>
      </c>
      <c r="F36" s="2">
        <v>5064229.9999999991</v>
      </c>
      <c r="G36" s="2">
        <v>5040940</v>
      </c>
      <c r="H36" s="2">
        <v>5060950</v>
      </c>
      <c r="I36" s="2">
        <v>5061660.0000000009</v>
      </c>
      <c r="J36" s="2">
        <v>5080129.9999999991</v>
      </c>
      <c r="K36" s="2">
        <v>4941689.9999999991</v>
      </c>
      <c r="L36" s="2">
        <v>4871370</v>
      </c>
      <c r="M36" s="2">
        <v>4776780.0000000009</v>
      </c>
      <c r="N36" s="2">
        <v>4581440</v>
      </c>
      <c r="O36" s="2">
        <v>4450200</v>
      </c>
      <c r="P36" s="2">
        <v>4545450.0000000009</v>
      </c>
    </row>
    <row r="37" spans="1:16" x14ac:dyDescent="0.25">
      <c r="A37" t="s">
        <v>32</v>
      </c>
      <c r="B37" s="2">
        <v>10706500</v>
      </c>
      <c r="C37" s="2">
        <v>10630299.999999998</v>
      </c>
      <c r="D37" s="2">
        <v>9568400.0000000019</v>
      </c>
      <c r="E37" s="2">
        <v>9569100</v>
      </c>
      <c r="F37" s="2">
        <v>9410900</v>
      </c>
      <c r="G37" s="2">
        <v>9266100</v>
      </c>
      <c r="H37" s="2">
        <v>9319500</v>
      </c>
      <c r="I37" s="2">
        <v>9366100</v>
      </c>
      <c r="J37" s="2">
        <v>9348800</v>
      </c>
      <c r="K37" s="2">
        <v>9185599.9999999981</v>
      </c>
      <c r="L37" s="2">
        <v>9134200</v>
      </c>
      <c r="M37" s="2">
        <v>9073000</v>
      </c>
      <c r="N37" s="2">
        <v>8627800.0000000019</v>
      </c>
      <c r="O37" s="2">
        <v>8569300.0000000037</v>
      </c>
      <c r="P37" s="2">
        <v>8803900</v>
      </c>
    </row>
    <row r="38" spans="1:16" x14ac:dyDescent="0.25">
      <c r="A38" t="s">
        <v>33</v>
      </c>
      <c r="B38" s="2">
        <v>74224424</v>
      </c>
      <c r="C38" s="2">
        <v>74474565</v>
      </c>
      <c r="D38" s="2">
        <v>75270789</v>
      </c>
      <c r="E38" s="2">
        <v>76472881</v>
      </c>
      <c r="F38" s="2">
        <v>76753220</v>
      </c>
      <c r="G38" s="2">
        <v>77330046</v>
      </c>
      <c r="H38" s="2">
        <v>77804440</v>
      </c>
      <c r="I38" s="2">
        <v>78632970.00000003</v>
      </c>
      <c r="J38" s="2">
        <v>78997043</v>
      </c>
      <c r="K38" s="2">
        <v>76285437</v>
      </c>
      <c r="L38" s="2">
        <v>76443103</v>
      </c>
      <c r="M38" s="2">
        <v>76029564</v>
      </c>
      <c r="N38" s="2">
        <v>77251713.999999985</v>
      </c>
      <c r="O38" s="2">
        <v>75120815.999999985</v>
      </c>
      <c r="P38" s="2">
        <v>74288750</v>
      </c>
    </row>
    <row r="39" spans="1:16" x14ac:dyDescent="0.25">
      <c r="A39" t="s">
        <v>34</v>
      </c>
      <c r="B39" s="2">
        <v>2013050.0000000007</v>
      </c>
      <c r="C39" s="2">
        <v>2036099.9999999998</v>
      </c>
      <c r="D39" s="2">
        <v>2040129.9999999998</v>
      </c>
      <c r="E39" s="2">
        <v>2061489.9999999998</v>
      </c>
      <c r="F39" s="2">
        <v>2057850</v>
      </c>
      <c r="G39" s="2">
        <v>2085230</v>
      </c>
      <c r="H39" s="2">
        <v>2130929.9999999995</v>
      </c>
      <c r="I39" s="2">
        <v>2176240.0000000005</v>
      </c>
      <c r="J39" s="2">
        <v>2248250</v>
      </c>
      <c r="K39" s="2">
        <v>2203170</v>
      </c>
      <c r="L39" s="2">
        <v>2169850</v>
      </c>
      <c r="M39" s="2">
        <v>2208389.9999999991</v>
      </c>
      <c r="N39" s="2">
        <v>2209519.9999999995</v>
      </c>
      <c r="O39" s="2">
        <v>2192259.9999999995</v>
      </c>
      <c r="P39" s="2">
        <v>2223140.0000000009</v>
      </c>
    </row>
    <row r="40" spans="1:16" x14ac:dyDescent="0.25">
      <c r="A40" t="s">
        <v>35</v>
      </c>
      <c r="B40" s="2">
        <v>905569.99999999988</v>
      </c>
      <c r="C40" s="2">
        <v>916260</v>
      </c>
      <c r="D40" s="2">
        <v>937429.99999999988</v>
      </c>
      <c r="E40" s="2">
        <v>931719.99999999988</v>
      </c>
      <c r="F40" s="2">
        <v>934019.99999999988</v>
      </c>
      <c r="G40" s="2">
        <v>928729.99999999977</v>
      </c>
      <c r="H40" s="2">
        <v>944280.00000000035</v>
      </c>
      <c r="I40" s="2">
        <v>975770.00000000012</v>
      </c>
      <c r="J40" s="2">
        <v>1000819.9999999997</v>
      </c>
      <c r="K40" s="2">
        <v>982919.99999999988</v>
      </c>
      <c r="L40" s="2">
        <v>962069.99999999977</v>
      </c>
      <c r="M40" s="2">
        <v>945990</v>
      </c>
      <c r="N40" s="2">
        <v>937599.99999999977</v>
      </c>
      <c r="O40" s="2">
        <v>926990.00000000023</v>
      </c>
      <c r="P40" s="2">
        <v>940149.99999999988</v>
      </c>
    </row>
    <row r="41" spans="1:16" x14ac:dyDescent="0.25">
      <c r="A41" t="s">
        <v>36</v>
      </c>
      <c r="B41" s="2">
        <v>4301000</v>
      </c>
      <c r="C41" s="2">
        <v>4396000</v>
      </c>
      <c r="D41" s="2">
        <v>4390000</v>
      </c>
      <c r="E41" s="2">
        <v>4376000</v>
      </c>
      <c r="F41" s="2">
        <v>4348000</v>
      </c>
      <c r="G41" s="2">
        <v>4356000</v>
      </c>
      <c r="H41" s="2">
        <v>4434000</v>
      </c>
      <c r="I41" s="2">
        <v>4530000</v>
      </c>
      <c r="J41" s="2">
        <v>4567000</v>
      </c>
      <c r="K41" s="2">
        <v>4462000</v>
      </c>
      <c r="L41" s="2">
        <v>4506000</v>
      </c>
      <c r="M41" s="2">
        <v>4595000</v>
      </c>
      <c r="N41" s="2">
        <v>4628000</v>
      </c>
      <c r="O41" s="2">
        <v>4672000</v>
      </c>
      <c r="P41" s="2">
        <v>4750000</v>
      </c>
    </row>
    <row r="42" spans="1:16" x14ac:dyDescent="0.25">
      <c r="A42" t="s">
        <v>37</v>
      </c>
      <c r="B42" s="2">
        <v>22741592.000000004</v>
      </c>
      <c r="C42" s="2">
        <v>22734699.999999996</v>
      </c>
      <c r="D42" s="2">
        <v>21818750</v>
      </c>
      <c r="E42" s="2">
        <v>21461234.999999996</v>
      </c>
      <c r="F42" s="2">
        <v>22014471</v>
      </c>
      <c r="G42" s="2">
        <v>22153909.999999996</v>
      </c>
      <c r="H42" s="2">
        <v>21264783</v>
      </c>
      <c r="I42" s="2">
        <v>20927003</v>
      </c>
      <c r="J42" s="2">
        <v>21405043.999999993</v>
      </c>
      <c r="K42" s="2">
        <v>21593295</v>
      </c>
      <c r="L42" s="2">
        <v>22863011.000000004</v>
      </c>
      <c r="M42" s="2">
        <v>24298768</v>
      </c>
      <c r="N42" s="2">
        <v>26486467.999999996</v>
      </c>
      <c r="O42" s="2">
        <v>28879456</v>
      </c>
      <c r="P42" s="2">
        <v>32329192.000000011</v>
      </c>
    </row>
    <row r="43" spans="1:16" x14ac:dyDescent="0.25">
      <c r="A43" t="s">
        <v>38</v>
      </c>
      <c r="B43" s="2">
        <v>16928066</v>
      </c>
      <c r="C43" s="2">
        <v>17059329</v>
      </c>
      <c r="D43" s="2">
        <v>18077590.999999996</v>
      </c>
      <c r="E43" s="2">
        <v>18115491.999999996</v>
      </c>
      <c r="F43" s="2">
        <v>18341731.000000004</v>
      </c>
      <c r="G43" s="2">
        <v>18564527.000000004</v>
      </c>
      <c r="H43" s="2">
        <v>19007059.999999993</v>
      </c>
      <c r="I43" s="2">
        <v>19236306</v>
      </c>
      <c r="J43" s="2">
        <v>19036336</v>
      </c>
      <c r="K43" s="2">
        <v>19270147</v>
      </c>
      <c r="L43" s="2">
        <v>19722895.999999996</v>
      </c>
      <c r="M43" s="2">
        <v>19580745.999999993</v>
      </c>
      <c r="N43" s="2">
        <v>19902102</v>
      </c>
      <c r="O43" s="2">
        <v>20227154.999999993</v>
      </c>
      <c r="P43" s="2">
        <v>20206844</v>
      </c>
    </row>
    <row r="44" spans="1:16" x14ac:dyDescent="0.25">
      <c r="A44" t="s">
        <v>39</v>
      </c>
      <c r="B44" s="2">
        <v>150433350.99999994</v>
      </c>
      <c r="C44" s="2">
        <v>150399160</v>
      </c>
      <c r="D44" s="2">
        <v>149192148.00000003</v>
      </c>
      <c r="E44" s="2">
        <v>148589267.00000003</v>
      </c>
      <c r="F44" s="2">
        <v>150048192.99999997</v>
      </c>
      <c r="G44" s="2">
        <v>151999621.99999997</v>
      </c>
      <c r="H44" s="2">
        <v>155008647.00000003</v>
      </c>
      <c r="I44" s="2">
        <v>155568502.00000006</v>
      </c>
      <c r="J44" s="2">
        <v>154696176.00000009</v>
      </c>
      <c r="K44" s="2">
        <v>147906283.99999997</v>
      </c>
      <c r="L44" s="2">
        <v>146533434</v>
      </c>
      <c r="M44" s="2">
        <v>147898640.99999997</v>
      </c>
      <c r="N44" s="2">
        <v>150631025.00000003</v>
      </c>
      <c r="O44" s="2">
        <v>152958082.99999994</v>
      </c>
      <c r="P44" s="2">
        <v>155770460.00000006</v>
      </c>
    </row>
    <row r="46" spans="1:16" x14ac:dyDescent="0.25">
      <c r="A46" t="s">
        <v>66</v>
      </c>
      <c r="B46" s="5">
        <f>SUM(B2:B44)</f>
        <v>1932920426.7551</v>
      </c>
      <c r="C46" s="5">
        <f t="shared" ref="C46:P46" si="0">SUM(C2:C44)</f>
        <v>1957887882.9653001</v>
      </c>
      <c r="D46" s="5">
        <f t="shared" si="0"/>
        <v>1982383518.4753001</v>
      </c>
      <c r="E46" s="5">
        <f t="shared" si="0"/>
        <v>2009539699.7753999</v>
      </c>
      <c r="F46" s="5">
        <f t="shared" si="0"/>
        <v>2042935898.1939001</v>
      </c>
      <c r="G46" s="5">
        <f t="shared" si="0"/>
        <v>2064180340.3276997</v>
      </c>
      <c r="H46" s="5">
        <f t="shared" si="0"/>
        <v>2082675387.9437001</v>
      </c>
      <c r="I46" s="5">
        <f t="shared" si="0"/>
        <v>2102940246.7542</v>
      </c>
      <c r="J46" s="5">
        <f t="shared" si="0"/>
        <v>2116422630.8889</v>
      </c>
      <c r="K46" s="5">
        <f t="shared" si="0"/>
        <v>2112280820.8792</v>
      </c>
      <c r="L46" s="5">
        <f t="shared" si="0"/>
        <v>2120914047.8942997</v>
      </c>
      <c r="M46" s="5">
        <f t="shared" si="0"/>
        <v>2191790752.5183001</v>
      </c>
      <c r="N46" s="5">
        <f t="shared" si="0"/>
        <v>2292869573.1091003</v>
      </c>
      <c r="O46" s="5">
        <f t="shared" si="0"/>
        <v>2384650804.9362998</v>
      </c>
      <c r="P46" s="5">
        <f t="shared" si="0"/>
        <v>2462281843.6915998</v>
      </c>
    </row>
    <row r="48" spans="1:16" x14ac:dyDescent="0.25"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</row>
    <row r="49" spans="2:16" x14ac:dyDescent="0.25"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</row>
    <row r="50" spans="2:16" x14ac:dyDescent="0.25"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</row>
    <row r="51" spans="2:16" x14ac:dyDescent="0.25"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</row>
    <row r="52" spans="2:16" x14ac:dyDescent="0.25"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</row>
    <row r="53" spans="2:16" x14ac:dyDescent="0.25"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</row>
    <row r="54" spans="2:16" x14ac:dyDescent="0.25"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</row>
    <row r="55" spans="2:16" x14ac:dyDescent="0.25"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</row>
    <row r="56" spans="2:16" x14ac:dyDescent="0.25"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</row>
    <row r="57" spans="2:16" x14ac:dyDescent="0.25"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</row>
    <row r="58" spans="2:16" x14ac:dyDescent="0.25"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</row>
    <row r="59" spans="2:16" x14ac:dyDescent="0.25"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</row>
    <row r="60" spans="2:16" x14ac:dyDescent="0.25"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</row>
    <row r="61" spans="2:16" x14ac:dyDescent="0.25"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</row>
    <row r="62" spans="2:16" x14ac:dyDescent="0.25"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</row>
    <row r="63" spans="2:16" x14ac:dyDescent="0.25"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</row>
    <row r="64" spans="2:16" x14ac:dyDescent="0.25"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</row>
    <row r="65" spans="2:16" x14ac:dyDescent="0.25"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</row>
    <row r="66" spans="2:16" x14ac:dyDescent="0.25"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</row>
    <row r="67" spans="2:16" x14ac:dyDescent="0.25"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</row>
    <row r="68" spans="2:16" x14ac:dyDescent="0.25"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</row>
    <row r="69" spans="2:16" x14ac:dyDescent="0.25"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</row>
    <row r="70" spans="2:16" x14ac:dyDescent="0.25"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</row>
    <row r="71" spans="2:16" x14ac:dyDescent="0.25"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</row>
    <row r="72" spans="2:16" x14ac:dyDescent="0.25"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</row>
    <row r="73" spans="2:16" x14ac:dyDescent="0.25"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</row>
    <row r="74" spans="2:16" x14ac:dyDescent="0.25"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</row>
    <row r="75" spans="2:16" x14ac:dyDescent="0.25"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</row>
    <row r="76" spans="2:16" x14ac:dyDescent="0.25"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</row>
    <row r="77" spans="2:16" x14ac:dyDescent="0.25"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</row>
    <row r="78" spans="2:16" x14ac:dyDescent="0.25"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</row>
    <row r="79" spans="2:16" x14ac:dyDescent="0.25"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</row>
    <row r="80" spans="2:16" x14ac:dyDescent="0.25"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</row>
    <row r="81" spans="2:16" x14ac:dyDescent="0.25"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</row>
    <row r="82" spans="2:16" x14ac:dyDescent="0.25"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</row>
    <row r="83" spans="2:16" x14ac:dyDescent="0.25"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</row>
    <row r="84" spans="2:16" x14ac:dyDescent="0.25"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</row>
    <row r="85" spans="2:16" x14ac:dyDescent="0.25"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</row>
    <row r="86" spans="2:16" x14ac:dyDescent="0.25"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</row>
    <row r="87" spans="2:16" x14ac:dyDescent="0.25"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</row>
    <row r="88" spans="2:16" x14ac:dyDescent="0.25"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</row>
    <row r="89" spans="2:16" x14ac:dyDescent="0.25"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</row>
    <row r="90" spans="2:16" x14ac:dyDescent="0.25"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1"/>
  <sheetViews>
    <sheetView topLeftCell="A19" workbookViewId="0">
      <selection activeCell="M24" sqref="M24"/>
    </sheetView>
  </sheetViews>
  <sheetFormatPr defaultRowHeight="15" x14ac:dyDescent="0.25"/>
  <cols>
    <col min="1" max="13" width="5.28515625" bestFit="1" customWidth="1"/>
  </cols>
  <sheetData>
    <row r="1" spans="1:15" x14ac:dyDescent="0.25">
      <c r="B1">
        <v>2000</v>
      </c>
      <c r="C1">
        <v>2001</v>
      </c>
      <c r="D1">
        <v>2002</v>
      </c>
      <c r="E1">
        <v>2003</v>
      </c>
      <c r="F1">
        <v>2004</v>
      </c>
      <c r="G1">
        <v>2005</v>
      </c>
      <c r="H1">
        <v>2006</v>
      </c>
      <c r="I1">
        <v>2007</v>
      </c>
      <c r="J1">
        <v>2008</v>
      </c>
      <c r="K1">
        <v>2009</v>
      </c>
      <c r="L1">
        <v>2010</v>
      </c>
      <c r="M1">
        <v>2011</v>
      </c>
    </row>
    <row r="2" spans="1:15" x14ac:dyDescent="0.25">
      <c r="A2" t="s">
        <v>0</v>
      </c>
      <c r="B2" s="6">
        <f>(VLOOKUP($A2,'Emprego - WIOD-14'!$A:$R,B$1-1993,FALSE)-VLOOKUP($A2,'Emprego - WIOD-16'!$A:$R,B$1-1998,FALSE))/VLOOKUP($A2,'Emprego - WIOD-14'!$A:$R,B$1-1993,FALSE)</f>
        <v>-3.610412870562644E-3</v>
      </c>
      <c r="C2" s="6">
        <f>(VLOOKUP($A2,'Emprego - WIOD-14'!$A:$R,C$1-1993,FALSE)-VLOOKUP($A2,'Emprego - WIOD-16'!$A:$R,C$1-1998,FALSE))/VLOOKUP($A2,'Emprego - WIOD-14'!$A:$R,C$1-1993,FALSE)</f>
        <v>-5.8150873201189843E-3</v>
      </c>
      <c r="D2" s="6">
        <f>(VLOOKUP($A2,'Emprego - WIOD-14'!$A:$R,D$1-1993,FALSE)-VLOOKUP($A2,'Emprego - WIOD-16'!$A:$R,D$1-1998,FALSE))/VLOOKUP($A2,'Emprego - WIOD-14'!$A:$R,D$1-1993,FALSE)</f>
        <v>-6.7372484147570234E-3</v>
      </c>
      <c r="E2" s="6">
        <f>(VLOOKUP($A2,'Emprego - WIOD-14'!$A:$R,E$1-1993,FALSE)-VLOOKUP($A2,'Emprego - WIOD-16'!$A:$R,E$1-1998,FALSE))/VLOOKUP($A2,'Emprego - WIOD-14'!$A:$R,E$1-1993,FALSE)</f>
        <v>-6.5934141646844403E-3</v>
      </c>
      <c r="F2" s="6">
        <f>(VLOOKUP($A2,'Emprego - WIOD-14'!$A:$R,F$1-1993,FALSE)-VLOOKUP($A2,'Emprego - WIOD-16'!$A:$R,F$1-1998,FALSE))/VLOOKUP($A2,'Emprego - WIOD-14'!$A:$R,F$1-1993,FALSE)</f>
        <v>-1.3297624136184785E-2</v>
      </c>
      <c r="G2" s="6">
        <f>(VLOOKUP($A2,'Emprego - WIOD-14'!$A:$R,G$1-1993,FALSE)-VLOOKUP($A2,'Emprego - WIOD-16'!$A:$R,G$1-1998,FALSE))/VLOOKUP($A2,'Emprego - WIOD-14'!$A:$R,G$1-1993,FALSE)</f>
        <v>-1.16373098894893E-2</v>
      </c>
      <c r="H2" s="6">
        <f>(VLOOKUP($A2,'Emprego - WIOD-14'!$A:$R,H$1-1993,FALSE)-VLOOKUP($A2,'Emprego - WIOD-16'!$A:$R,H$1-1998,FALSE))/VLOOKUP($A2,'Emprego - WIOD-14'!$A:$R,H$1-1993,FALSE)</f>
        <v>-1.7339309988616929E-2</v>
      </c>
      <c r="I2" s="6">
        <f>(VLOOKUP($A2,'Emprego - WIOD-14'!$A:$R,I$1-1993,FALSE)-VLOOKUP($A2,'Emprego - WIOD-16'!$A:$R,I$1-1998,FALSE))/VLOOKUP($A2,'Emprego - WIOD-14'!$A:$R,I$1-1993,FALSE)</f>
        <v>-1.8374556152375238E-2</v>
      </c>
      <c r="J2" s="6">
        <f>(VLOOKUP($A2,'Emprego - WIOD-14'!$A:$R,J$1-1993,FALSE)-VLOOKUP($A2,'Emprego - WIOD-16'!$A:$R,J$1-1998,FALSE))/VLOOKUP($A2,'Emprego - WIOD-14'!$A:$R,J$1-1993,FALSE)</f>
        <v>-3.9519665987209311E-4</v>
      </c>
      <c r="K2" s="6">
        <f>(VLOOKUP($A2,'Emprego - WIOD-14'!$A:$R,K$1-1993,FALSE)-VLOOKUP($A2,'Emprego - WIOD-16'!$A:$R,K$1-1998,FALSE))/VLOOKUP($A2,'Emprego - WIOD-14'!$A:$R,K$1-1993,FALSE)</f>
        <v>-8.1710844976965197E-3</v>
      </c>
      <c r="L2" s="6">
        <f>(VLOOKUP($A2,'Emprego - WIOD-14'!$A:$R,L$1-1993,FALSE)-VLOOKUP($A2,'Emprego - WIOD-16'!$A:$R,L$1-1998,FALSE))/VLOOKUP($A2,'Emprego - WIOD-14'!$A:$R,L$1-1993,FALSE)</f>
        <v>-1.1523197913050736E-2</v>
      </c>
      <c r="M2" s="6">
        <f>(VLOOKUP($A2,'Emprego - WIOD-14'!$A:$R,M$1-1993,FALSE)-VLOOKUP($A2,'Emprego - WIOD-16'!$A:$R,M$1-1998,FALSE))/VLOOKUP($A2,'Emprego - WIOD-14'!$A:$R,M$1-1993,FALSE)</f>
        <v>-1.2454942903909468E-2</v>
      </c>
      <c r="N2" s="5"/>
      <c r="O2" s="5"/>
    </row>
    <row r="3" spans="1:15" x14ac:dyDescent="0.25">
      <c r="A3" t="s">
        <v>1</v>
      </c>
      <c r="B3" s="6">
        <f>(VLOOKUP($A3,'Emprego - WIOD-14'!$A:$R,B$1-1993,FALSE)-VLOOKUP($A3,'Emprego - WIOD-16'!$A:$R,B$1-1998,FALSE))/VLOOKUP($A3,'Emprego - WIOD-14'!$A:$R,B$1-1993,FALSE)</f>
        <v>4.4433003012872743E-2</v>
      </c>
      <c r="C3" s="6">
        <f>(VLOOKUP($A3,'Emprego - WIOD-14'!$A:$R,C$1-1993,FALSE)-VLOOKUP($A3,'Emprego - WIOD-16'!$A:$R,C$1-1998,FALSE))/VLOOKUP($A3,'Emprego - WIOD-14'!$A:$R,C$1-1993,FALSE)</f>
        <v>4.4327556932565099E-2</v>
      </c>
      <c r="D3" s="6">
        <f>(VLOOKUP($A3,'Emprego - WIOD-14'!$A:$R,D$1-1993,FALSE)-VLOOKUP($A3,'Emprego - WIOD-16'!$A:$R,D$1-1998,FALSE))/VLOOKUP($A3,'Emprego - WIOD-14'!$A:$R,D$1-1993,FALSE)</f>
        <v>4.5348195830984553E-2</v>
      </c>
      <c r="E3" s="6">
        <f>(VLOOKUP($A3,'Emprego - WIOD-14'!$A:$R,E$1-1993,FALSE)-VLOOKUP($A3,'Emprego - WIOD-16'!$A:$R,E$1-1998,FALSE))/VLOOKUP($A3,'Emprego - WIOD-14'!$A:$R,E$1-1993,FALSE)</f>
        <v>4.1963574793148481E-2</v>
      </c>
      <c r="F3" s="6">
        <f>(VLOOKUP($A3,'Emprego - WIOD-14'!$A:$R,F$1-1993,FALSE)-VLOOKUP($A3,'Emprego - WIOD-16'!$A:$R,F$1-1998,FALSE))/VLOOKUP($A3,'Emprego - WIOD-14'!$A:$R,F$1-1993,FALSE)</f>
        <v>3.9557391534282345E-2</v>
      </c>
      <c r="G3" s="6">
        <f>(VLOOKUP($A3,'Emprego - WIOD-14'!$A:$R,G$1-1993,FALSE)-VLOOKUP($A3,'Emprego - WIOD-16'!$A:$R,G$1-1998,FALSE))/VLOOKUP($A3,'Emprego - WIOD-14'!$A:$R,G$1-1993,FALSE)</f>
        <v>3.9062414729570456E-2</v>
      </c>
      <c r="H3" s="6">
        <f>(VLOOKUP($A3,'Emprego - WIOD-14'!$A:$R,H$1-1993,FALSE)-VLOOKUP($A3,'Emprego - WIOD-16'!$A:$R,H$1-1998,FALSE))/VLOOKUP($A3,'Emprego - WIOD-14'!$A:$R,H$1-1993,FALSE)</f>
        <v>3.644015090620005E-2</v>
      </c>
      <c r="I3" s="6">
        <f>(VLOOKUP($A3,'Emprego - WIOD-14'!$A:$R,I$1-1993,FALSE)-VLOOKUP($A3,'Emprego - WIOD-16'!$A:$R,I$1-1998,FALSE))/VLOOKUP($A3,'Emprego - WIOD-14'!$A:$R,I$1-1993,FALSE)</f>
        <v>3.5371482763443957E-2</v>
      </c>
      <c r="J3" s="6">
        <f>(VLOOKUP($A3,'Emprego - WIOD-14'!$A:$R,J$1-1993,FALSE)-VLOOKUP($A3,'Emprego - WIOD-16'!$A:$R,J$1-1998,FALSE))/VLOOKUP($A3,'Emprego - WIOD-14'!$A:$R,J$1-1993,FALSE)</f>
        <v>4.8799230107701881E-2</v>
      </c>
      <c r="K3" s="6">
        <f>(VLOOKUP($A3,'Emprego - WIOD-14'!$A:$R,K$1-1993,FALSE)-VLOOKUP($A3,'Emprego - WIOD-16'!$A:$R,K$1-1998,FALSE))/VLOOKUP($A3,'Emprego - WIOD-14'!$A:$R,K$1-1993,FALSE)</f>
        <v>3.3285930715617099E-2</v>
      </c>
      <c r="L3" s="6">
        <f>(VLOOKUP($A3,'Emprego - WIOD-14'!$A:$R,L$1-1993,FALSE)-VLOOKUP($A3,'Emprego - WIOD-16'!$A:$R,L$1-1998,FALSE))/VLOOKUP($A3,'Emprego - WIOD-14'!$A:$R,L$1-1993,FALSE)</f>
        <v>2.6433960781174583E-2</v>
      </c>
      <c r="M3" s="6">
        <f>(VLOOKUP($A3,'Emprego - WIOD-14'!$A:$R,M$1-1993,FALSE)-VLOOKUP($A3,'Emprego - WIOD-16'!$A:$R,M$1-1998,FALSE))/VLOOKUP($A3,'Emprego - WIOD-14'!$A:$R,M$1-1993,FALSE)</f>
        <v>3.0024630691243798E-2</v>
      </c>
      <c r="N3" s="5"/>
      <c r="O3" s="5"/>
    </row>
    <row r="4" spans="1:15" x14ac:dyDescent="0.25">
      <c r="A4" t="s">
        <v>2</v>
      </c>
      <c r="B4" s="6">
        <f>(VLOOKUP($A4,'Emprego - WIOD-14'!$A:$R,B$1-1993,FALSE)-VLOOKUP($A4,'Emprego - WIOD-16'!$A:$R,B$1-1998,FALSE))/VLOOKUP($A4,'Emprego - WIOD-14'!$A:$R,B$1-1993,FALSE)</f>
        <v>3.8209209782773821E-5</v>
      </c>
      <c r="C4" s="6">
        <f>(VLOOKUP($A4,'Emprego - WIOD-14'!$A:$R,C$1-1993,FALSE)-VLOOKUP($A4,'Emprego - WIOD-16'!$A:$R,C$1-1998,FALSE))/VLOOKUP($A4,'Emprego - WIOD-14'!$A:$R,C$1-1993,FALSE)</f>
        <v>5.5456446163338932E-5</v>
      </c>
      <c r="D4" s="6">
        <f>(VLOOKUP($A4,'Emprego - WIOD-14'!$A:$R,D$1-1993,FALSE)-VLOOKUP($A4,'Emprego - WIOD-16'!$A:$R,D$1-1998,FALSE))/VLOOKUP($A4,'Emprego - WIOD-14'!$A:$R,D$1-1993,FALSE)</f>
        <v>3.4768424499861261E-4</v>
      </c>
      <c r="E4" s="6">
        <f>(VLOOKUP($A4,'Emprego - WIOD-14'!$A:$R,E$1-1993,FALSE)-VLOOKUP($A4,'Emprego - WIOD-16'!$A:$R,E$1-1998,FALSE))/VLOOKUP($A4,'Emprego - WIOD-14'!$A:$R,E$1-1993,FALSE)</f>
        <v>1.5459933006959205E-3</v>
      </c>
      <c r="F4" s="6">
        <f>(VLOOKUP($A4,'Emprego - WIOD-14'!$A:$R,F$1-1993,FALSE)-VLOOKUP($A4,'Emprego - WIOD-16'!$A:$R,F$1-1998,FALSE))/VLOOKUP($A4,'Emprego - WIOD-14'!$A:$R,F$1-1993,FALSE)</f>
        <v>1.0100646836756378E-3</v>
      </c>
      <c r="G4" s="6">
        <f>(VLOOKUP($A4,'Emprego - WIOD-14'!$A:$R,G$1-1993,FALSE)-VLOOKUP($A4,'Emprego - WIOD-16'!$A:$R,G$1-1998,FALSE))/VLOOKUP($A4,'Emprego - WIOD-14'!$A:$R,G$1-1993,FALSE)</f>
        <v>5.8924253095732522E-4</v>
      </c>
      <c r="H4" s="6">
        <f>(VLOOKUP($A4,'Emprego - WIOD-14'!$A:$R,H$1-1993,FALSE)-VLOOKUP($A4,'Emprego - WIOD-16'!$A:$R,H$1-1998,FALSE))/VLOOKUP($A4,'Emprego - WIOD-14'!$A:$R,H$1-1993,FALSE)</f>
        <v>1.2985973060196357E-3</v>
      </c>
      <c r="I4" s="6">
        <f>(VLOOKUP($A4,'Emprego - WIOD-14'!$A:$R,I$1-1993,FALSE)-VLOOKUP($A4,'Emprego - WIOD-16'!$A:$R,I$1-1998,FALSE))/VLOOKUP($A4,'Emprego - WIOD-14'!$A:$R,I$1-1993,FALSE)</f>
        <v>9.6114577347109756E-4</v>
      </c>
      <c r="J4" s="6">
        <f>(VLOOKUP($A4,'Emprego - WIOD-14'!$A:$R,J$1-1993,FALSE)-VLOOKUP($A4,'Emprego - WIOD-16'!$A:$R,J$1-1998,FALSE))/VLOOKUP($A4,'Emprego - WIOD-14'!$A:$R,J$1-1993,FALSE)</f>
        <v>-7.6556390793010808E-4</v>
      </c>
      <c r="K4" s="6">
        <f>(VLOOKUP($A4,'Emprego - WIOD-14'!$A:$R,K$1-1993,FALSE)-VLOOKUP($A4,'Emprego - WIOD-16'!$A:$R,K$1-1998,FALSE))/VLOOKUP($A4,'Emprego - WIOD-14'!$A:$R,K$1-1993,FALSE)</f>
        <v>-1.7902760386043475E-3</v>
      </c>
      <c r="L4" s="6">
        <f>(VLOOKUP($A4,'Emprego - WIOD-14'!$A:$R,L$1-1993,FALSE)-VLOOKUP($A4,'Emprego - WIOD-16'!$A:$R,L$1-1998,FALSE))/VLOOKUP($A4,'Emprego - WIOD-14'!$A:$R,L$1-1993,FALSE)</f>
        <v>1.0911917542724685E-4</v>
      </c>
      <c r="M4" s="6">
        <f>(VLOOKUP($A4,'Emprego - WIOD-14'!$A:$R,M$1-1993,FALSE)-VLOOKUP($A4,'Emprego - WIOD-16'!$A:$R,M$1-1998,FALSE))/VLOOKUP($A4,'Emprego - WIOD-14'!$A:$R,M$1-1993,FALSE)</f>
        <v>-1.2053800211210034E-3</v>
      </c>
      <c r="N4" s="5"/>
      <c r="O4" s="5"/>
    </row>
    <row r="5" spans="1:15" x14ac:dyDescent="0.25">
      <c r="A5" t="s">
        <v>3</v>
      </c>
      <c r="B5" s="6">
        <f>(VLOOKUP($A5,'Emprego - WIOD-14'!$A:$R,B$1-1993,FALSE)-VLOOKUP($A5,'Emprego - WIOD-16'!$A:$R,B$1-1998,FALSE))/VLOOKUP($A5,'Emprego - WIOD-14'!$A:$R,B$1-1993,FALSE)</f>
        <v>-2.4712129163708501E-2</v>
      </c>
      <c r="C5" s="6">
        <f>(VLOOKUP($A5,'Emprego - WIOD-14'!$A:$R,C$1-1993,FALSE)-VLOOKUP($A5,'Emprego - WIOD-16'!$A:$R,C$1-1998,FALSE))/VLOOKUP($A5,'Emprego - WIOD-14'!$A:$R,C$1-1993,FALSE)</f>
        <v>-2.9460619634191419E-2</v>
      </c>
      <c r="D5" s="6">
        <f>(VLOOKUP($A5,'Emprego - WIOD-14'!$A:$R,D$1-1993,FALSE)-VLOOKUP($A5,'Emprego - WIOD-16'!$A:$R,D$1-1998,FALSE))/VLOOKUP($A5,'Emprego - WIOD-14'!$A:$R,D$1-1993,FALSE)</f>
        <v>-2.7918813233194711E-2</v>
      </c>
      <c r="E5" s="6">
        <f>(VLOOKUP($A5,'Emprego - WIOD-14'!$A:$R,E$1-1993,FALSE)-VLOOKUP($A5,'Emprego - WIOD-16'!$A:$R,E$1-1998,FALSE))/VLOOKUP($A5,'Emprego - WIOD-14'!$A:$R,E$1-1993,FALSE)</f>
        <v>-2.5706878881051286E-2</v>
      </c>
      <c r="F5" s="6">
        <f>(VLOOKUP($A5,'Emprego - WIOD-14'!$A:$R,F$1-1993,FALSE)-VLOOKUP($A5,'Emprego - WIOD-16'!$A:$R,F$1-1998,FALSE))/VLOOKUP($A5,'Emprego - WIOD-14'!$A:$R,F$1-1993,FALSE)</f>
        <v>-2.3940061701189681E-2</v>
      </c>
      <c r="G5" s="6">
        <f>(VLOOKUP($A5,'Emprego - WIOD-14'!$A:$R,G$1-1993,FALSE)-VLOOKUP($A5,'Emprego - WIOD-16'!$A:$R,G$1-1998,FALSE))/VLOOKUP($A5,'Emprego - WIOD-14'!$A:$R,G$1-1993,FALSE)</f>
        <v>-1.9835774776836675E-2</v>
      </c>
      <c r="H5" s="6">
        <f>(VLOOKUP($A5,'Emprego - WIOD-14'!$A:$R,H$1-1993,FALSE)-VLOOKUP($A5,'Emprego - WIOD-16'!$A:$R,H$1-1998,FALSE))/VLOOKUP($A5,'Emprego - WIOD-14'!$A:$R,H$1-1993,FALSE)</f>
        <v>-2.5077519379844964E-2</v>
      </c>
      <c r="I5" s="6">
        <f>(VLOOKUP($A5,'Emprego - WIOD-14'!$A:$R,I$1-1993,FALSE)-VLOOKUP($A5,'Emprego - WIOD-16'!$A:$R,I$1-1998,FALSE))/VLOOKUP($A5,'Emprego - WIOD-14'!$A:$R,I$1-1993,FALSE)</f>
        <v>-2.6034454999195353E-2</v>
      </c>
      <c r="J5" s="6">
        <f>(VLOOKUP($A5,'Emprego - WIOD-14'!$A:$R,J$1-1993,FALSE)-VLOOKUP($A5,'Emprego - WIOD-16'!$A:$R,J$1-1998,FALSE))/VLOOKUP($A5,'Emprego - WIOD-14'!$A:$R,J$1-1993,FALSE)</f>
        <v>-4.1499947189626796E-2</v>
      </c>
      <c r="K5" s="6">
        <f>(VLOOKUP($A5,'Emprego - WIOD-14'!$A:$R,K$1-1993,FALSE)-VLOOKUP($A5,'Emprego - WIOD-16'!$A:$R,K$1-1998,FALSE))/VLOOKUP($A5,'Emprego - WIOD-14'!$A:$R,K$1-1993,FALSE)</f>
        <v>-3.2022091988089793E-2</v>
      </c>
      <c r="L5" s="6">
        <f>(VLOOKUP($A5,'Emprego - WIOD-14'!$A:$R,L$1-1993,FALSE)-VLOOKUP($A5,'Emprego - WIOD-16'!$A:$R,L$1-1998,FALSE))/VLOOKUP($A5,'Emprego - WIOD-14'!$A:$R,L$1-1993,FALSE)</f>
        <v>-1.8844199180584536E-2</v>
      </c>
      <c r="M5" s="6">
        <f>(VLOOKUP($A5,'Emprego - WIOD-14'!$A:$R,M$1-1993,FALSE)-VLOOKUP($A5,'Emprego - WIOD-16'!$A:$R,M$1-1998,FALSE))/VLOOKUP($A5,'Emprego - WIOD-14'!$A:$R,M$1-1993,FALSE)</f>
        <v>-3.5379472223447013E-2</v>
      </c>
      <c r="N5" s="5"/>
      <c r="O5" s="5"/>
    </row>
    <row r="6" spans="1:15" x14ac:dyDescent="0.25">
      <c r="A6" t="s">
        <v>4</v>
      </c>
      <c r="B6" s="6">
        <f>(VLOOKUP($A6,'Emprego - WIOD-14'!$A:$R,B$1-1993,FALSE)-VLOOKUP($A6,'Emprego - WIOD-16'!$A:$R,B$1-1998,FALSE))/VLOOKUP($A6,'Emprego - WIOD-14'!$A:$R,B$1-1993,FALSE)</f>
        <v>-2.5717014589929813E-2</v>
      </c>
      <c r="C6" s="6">
        <f>(VLOOKUP($A6,'Emprego - WIOD-14'!$A:$R,C$1-1993,FALSE)-VLOOKUP($A6,'Emprego - WIOD-16'!$A:$R,C$1-1998,FALSE))/VLOOKUP($A6,'Emprego - WIOD-14'!$A:$R,C$1-1993,FALSE)</f>
        <v>-2.9235579006213874E-2</v>
      </c>
      <c r="D6" s="6">
        <f>(VLOOKUP($A6,'Emprego - WIOD-14'!$A:$R,D$1-1993,FALSE)-VLOOKUP($A6,'Emprego - WIOD-16'!$A:$R,D$1-1998,FALSE))/VLOOKUP($A6,'Emprego - WIOD-14'!$A:$R,D$1-1993,FALSE)</f>
        <v>-3.3879893621453876E-2</v>
      </c>
      <c r="E6" s="6">
        <f>(VLOOKUP($A6,'Emprego - WIOD-14'!$A:$R,E$1-1993,FALSE)-VLOOKUP($A6,'Emprego - WIOD-16'!$A:$R,E$1-1998,FALSE))/VLOOKUP($A6,'Emprego - WIOD-14'!$A:$R,E$1-1993,FALSE)</f>
        <v>-2.7561891160539625E-2</v>
      </c>
      <c r="F6" s="6">
        <f>(VLOOKUP($A6,'Emprego - WIOD-14'!$A:$R,F$1-1993,FALSE)-VLOOKUP($A6,'Emprego - WIOD-16'!$A:$R,F$1-1998,FALSE))/VLOOKUP($A6,'Emprego - WIOD-14'!$A:$R,F$1-1993,FALSE)</f>
        <v>-2.9813340188212238E-2</v>
      </c>
      <c r="G6" s="6">
        <f>(VLOOKUP($A6,'Emprego - WIOD-14'!$A:$R,G$1-1993,FALSE)-VLOOKUP($A6,'Emprego - WIOD-16'!$A:$R,G$1-1998,FALSE))/VLOOKUP($A6,'Emprego - WIOD-14'!$A:$R,G$1-1993,FALSE)</f>
        <v>-3.4929272235848248E-2</v>
      </c>
      <c r="H6" s="6">
        <f>(VLOOKUP($A6,'Emprego - WIOD-14'!$A:$R,H$1-1993,FALSE)-VLOOKUP($A6,'Emprego - WIOD-16'!$A:$R,H$1-1998,FALSE))/VLOOKUP($A6,'Emprego - WIOD-14'!$A:$R,H$1-1993,FALSE)</f>
        <v>-2.4756570356076906E-2</v>
      </c>
      <c r="I6" s="6">
        <f>(VLOOKUP($A6,'Emprego - WIOD-14'!$A:$R,I$1-1993,FALSE)-VLOOKUP($A6,'Emprego - WIOD-16'!$A:$R,I$1-1998,FALSE))/VLOOKUP($A6,'Emprego - WIOD-14'!$A:$R,I$1-1993,FALSE)</f>
        <v>-3.0087682264280585E-2</v>
      </c>
      <c r="J6" s="6">
        <f>(VLOOKUP($A6,'Emprego - WIOD-14'!$A:$R,J$1-1993,FALSE)-VLOOKUP($A6,'Emprego - WIOD-16'!$A:$R,J$1-1998,FALSE))/VLOOKUP($A6,'Emprego - WIOD-14'!$A:$R,J$1-1993,FALSE)</f>
        <v>-3.2641347175779052E-2</v>
      </c>
      <c r="K6" s="6">
        <f>(VLOOKUP($A6,'Emprego - WIOD-14'!$A:$R,K$1-1993,FALSE)-VLOOKUP($A6,'Emprego - WIOD-16'!$A:$R,K$1-1998,FALSE))/VLOOKUP($A6,'Emprego - WIOD-14'!$A:$R,K$1-1993,FALSE)</f>
        <v>-2.9702193253749756E-2</v>
      </c>
      <c r="L6" s="6">
        <f>(VLOOKUP($A6,'Emprego - WIOD-14'!$A:$R,L$1-1993,FALSE)-VLOOKUP($A6,'Emprego - WIOD-16'!$A:$R,L$1-1998,FALSE))/VLOOKUP($A6,'Emprego - WIOD-14'!$A:$R,L$1-1993,FALSE)</f>
        <v>2.6667681800787352E-2</v>
      </c>
      <c r="M6" s="6">
        <f>(VLOOKUP($A6,'Emprego - WIOD-14'!$A:$R,M$1-1993,FALSE)-VLOOKUP($A6,'Emprego - WIOD-16'!$A:$R,M$1-1998,FALSE))/VLOOKUP($A6,'Emprego - WIOD-14'!$A:$R,M$1-1993,FALSE)</f>
        <v>5.2654391696430741E-2</v>
      </c>
      <c r="N6" s="5"/>
      <c r="O6" s="5"/>
    </row>
    <row r="7" spans="1:15" x14ac:dyDescent="0.25">
      <c r="A7" t="s">
        <v>5</v>
      </c>
      <c r="B7" s="6">
        <f>(VLOOKUP($A7,'Emprego - WIOD-14'!$A:$R,B$1-1993,FALSE)-VLOOKUP($A7,'Emprego - WIOD-16'!$A:$R,B$1-1998,FALSE))/VLOOKUP($A7,'Emprego - WIOD-14'!$A:$R,B$1-1993,FALSE)</f>
        <v>-6.3118059032217172E-3</v>
      </c>
      <c r="C7" s="6">
        <f>(VLOOKUP($A7,'Emprego - WIOD-14'!$A:$R,C$1-1993,FALSE)-VLOOKUP($A7,'Emprego - WIOD-16'!$A:$R,C$1-1998,FALSE))/VLOOKUP($A7,'Emprego - WIOD-14'!$A:$R,C$1-1993,FALSE)</f>
        <v>-6.8188660470510937E-3</v>
      </c>
      <c r="D7" s="6">
        <f>(VLOOKUP($A7,'Emprego - WIOD-14'!$A:$R,D$1-1993,FALSE)-VLOOKUP($A7,'Emprego - WIOD-16'!$A:$R,D$1-1998,FALSE))/VLOOKUP($A7,'Emprego - WIOD-14'!$A:$R,D$1-1993,FALSE)</f>
        <v>-7.5890598775034453E-3</v>
      </c>
      <c r="E7" s="6">
        <f>(VLOOKUP($A7,'Emprego - WIOD-14'!$A:$R,E$1-1993,FALSE)-VLOOKUP($A7,'Emprego - WIOD-16'!$A:$R,E$1-1998,FALSE))/VLOOKUP($A7,'Emprego - WIOD-14'!$A:$R,E$1-1993,FALSE)</f>
        <v>-8.4876879750295977E-3</v>
      </c>
      <c r="F7" s="6">
        <f>(VLOOKUP($A7,'Emprego - WIOD-14'!$A:$R,F$1-1993,FALSE)-VLOOKUP($A7,'Emprego - WIOD-16'!$A:$R,F$1-1998,FALSE))/VLOOKUP($A7,'Emprego - WIOD-14'!$A:$R,F$1-1993,FALSE)</f>
        <v>-7.5024265159946944E-3</v>
      </c>
      <c r="G7" s="6">
        <f>(VLOOKUP($A7,'Emprego - WIOD-14'!$A:$R,G$1-1993,FALSE)-VLOOKUP($A7,'Emprego - WIOD-16'!$A:$R,G$1-1998,FALSE))/VLOOKUP($A7,'Emprego - WIOD-14'!$A:$R,G$1-1993,FALSE)</f>
        <v>-7.8720960107027914E-3</v>
      </c>
      <c r="H7" s="6">
        <f>(VLOOKUP($A7,'Emprego - WIOD-14'!$A:$R,H$1-1993,FALSE)-VLOOKUP($A7,'Emprego - WIOD-16'!$A:$R,H$1-1998,FALSE))/VLOOKUP($A7,'Emprego - WIOD-14'!$A:$R,H$1-1993,FALSE)</f>
        <v>-8.2593432159257778E-3</v>
      </c>
      <c r="I7" s="6">
        <f>(VLOOKUP($A7,'Emprego - WIOD-14'!$A:$R,I$1-1993,FALSE)-VLOOKUP($A7,'Emprego - WIOD-16'!$A:$R,I$1-1998,FALSE))/VLOOKUP($A7,'Emprego - WIOD-14'!$A:$R,I$1-1993,FALSE)</f>
        <v>-1.038819500261641E-2</v>
      </c>
      <c r="J7" s="6">
        <f>(VLOOKUP($A7,'Emprego - WIOD-14'!$A:$R,J$1-1993,FALSE)-VLOOKUP($A7,'Emprego - WIOD-16'!$A:$R,J$1-1998,FALSE))/VLOOKUP($A7,'Emprego - WIOD-14'!$A:$R,J$1-1993,FALSE)</f>
        <v>-1.249172205944068E-2</v>
      </c>
      <c r="K7" s="6">
        <f>(VLOOKUP($A7,'Emprego - WIOD-14'!$A:$R,K$1-1993,FALSE)-VLOOKUP($A7,'Emprego - WIOD-16'!$A:$R,K$1-1998,FALSE))/VLOOKUP($A7,'Emprego - WIOD-14'!$A:$R,K$1-1993,FALSE)</f>
        <v>-8.2149853016251885E-4</v>
      </c>
      <c r="L7" s="6">
        <f>(VLOOKUP($A7,'Emprego - WIOD-14'!$A:$R,L$1-1993,FALSE)-VLOOKUP($A7,'Emprego - WIOD-16'!$A:$R,L$1-1998,FALSE))/VLOOKUP($A7,'Emprego - WIOD-14'!$A:$R,L$1-1993,FALSE)</f>
        <v>4.5879206849289552E-3</v>
      </c>
      <c r="M7" s="6">
        <f>(VLOOKUP($A7,'Emprego - WIOD-14'!$A:$R,M$1-1993,FALSE)-VLOOKUP($A7,'Emprego - WIOD-16'!$A:$R,M$1-1998,FALSE))/VLOOKUP($A7,'Emprego - WIOD-14'!$A:$R,M$1-1993,FALSE)</f>
        <v>1.1897888708678733E-2</v>
      </c>
      <c r="N7" s="5"/>
      <c r="O7" s="5"/>
    </row>
    <row r="8" spans="1:15" x14ac:dyDescent="0.25">
      <c r="A8" t="s">
        <v>6</v>
      </c>
      <c r="B8" s="6">
        <f>(VLOOKUP($A8,'Emprego - WIOD-14'!$A:$R,B$1-1993,FALSE)-VLOOKUP($A8,'Emprego - WIOD-16'!$A:$R,B$1-1998,FALSE))/VLOOKUP($A8,'Emprego - WIOD-14'!$A:$R,B$1-1993,FALSE)</f>
        <v>1.7280821252687799E-3</v>
      </c>
      <c r="C8" s="6">
        <f>(VLOOKUP($A8,'Emprego - WIOD-14'!$A:$R,C$1-1993,FALSE)-VLOOKUP($A8,'Emprego - WIOD-16'!$A:$R,C$1-1998,FALSE))/VLOOKUP($A8,'Emprego - WIOD-14'!$A:$R,C$1-1993,FALSE)</f>
        <v>2.9339897295448396E-3</v>
      </c>
      <c r="D8" s="6">
        <f>(VLOOKUP($A8,'Emprego - WIOD-14'!$A:$R,D$1-1993,FALSE)-VLOOKUP($A8,'Emprego - WIOD-16'!$A:$R,D$1-1998,FALSE))/VLOOKUP($A8,'Emprego - WIOD-14'!$A:$R,D$1-1993,FALSE)</f>
        <v>1.5792785462435586E-4</v>
      </c>
      <c r="E8" s="6">
        <f>(VLOOKUP($A8,'Emprego - WIOD-14'!$A:$R,E$1-1993,FALSE)-VLOOKUP($A8,'Emprego - WIOD-16'!$A:$R,E$1-1998,FALSE))/VLOOKUP($A8,'Emprego - WIOD-14'!$A:$R,E$1-1993,FALSE)</f>
        <v>-2.8355411650886824E-4</v>
      </c>
      <c r="F8" s="6">
        <f>(VLOOKUP($A8,'Emprego - WIOD-14'!$A:$R,F$1-1993,FALSE)-VLOOKUP($A8,'Emprego - WIOD-16'!$A:$R,F$1-1998,FALSE))/VLOOKUP($A8,'Emprego - WIOD-14'!$A:$R,F$1-1993,FALSE)</f>
        <v>-3.7364095744696704E-4</v>
      </c>
      <c r="G8" s="6">
        <f>(VLOOKUP($A8,'Emprego - WIOD-14'!$A:$R,G$1-1993,FALSE)-VLOOKUP($A8,'Emprego - WIOD-16'!$A:$R,G$1-1998,FALSE))/VLOOKUP($A8,'Emprego - WIOD-14'!$A:$R,G$1-1993,FALSE)</f>
        <v>-2.0042281569400086E-3</v>
      </c>
      <c r="H8" s="6">
        <f>(VLOOKUP($A8,'Emprego - WIOD-14'!$A:$R,H$1-1993,FALSE)-VLOOKUP($A8,'Emprego - WIOD-16'!$A:$R,H$1-1998,FALSE))/VLOOKUP($A8,'Emprego - WIOD-14'!$A:$R,H$1-1993,FALSE)</f>
        <v>-1.771193717277331E-3</v>
      </c>
      <c r="I8" s="6">
        <f>(VLOOKUP($A8,'Emprego - WIOD-14'!$A:$R,I$1-1993,FALSE)-VLOOKUP($A8,'Emprego - WIOD-16'!$A:$R,I$1-1998,FALSE))/VLOOKUP($A8,'Emprego - WIOD-14'!$A:$R,I$1-1993,FALSE)</f>
        <v>-1.2821885959215483E-3</v>
      </c>
      <c r="J8" s="6">
        <f>(VLOOKUP($A8,'Emprego - WIOD-14'!$A:$R,J$1-1993,FALSE)-VLOOKUP($A8,'Emprego - WIOD-16'!$A:$R,J$1-1998,FALSE))/VLOOKUP($A8,'Emprego - WIOD-14'!$A:$R,J$1-1993,FALSE)</f>
        <v>-2.8562777490965413E-3</v>
      </c>
      <c r="K8" s="6">
        <f>(VLOOKUP($A8,'Emprego - WIOD-14'!$A:$R,K$1-1993,FALSE)-VLOOKUP($A8,'Emprego - WIOD-16'!$A:$R,K$1-1998,FALSE))/VLOOKUP($A8,'Emprego - WIOD-14'!$A:$R,K$1-1993,FALSE)</f>
        <v>-6.3772536701069051E-3</v>
      </c>
      <c r="L8" s="6">
        <f>(VLOOKUP($A8,'Emprego - WIOD-14'!$A:$R,L$1-1993,FALSE)-VLOOKUP($A8,'Emprego - WIOD-16'!$A:$R,L$1-1998,FALSE))/VLOOKUP($A8,'Emprego - WIOD-14'!$A:$R,L$1-1993,FALSE)</f>
        <v>1.8371222341049594E-2</v>
      </c>
      <c r="M8" s="6">
        <f>(VLOOKUP($A8,'Emprego - WIOD-14'!$A:$R,M$1-1993,FALSE)-VLOOKUP($A8,'Emprego - WIOD-16'!$A:$R,M$1-1998,FALSE))/VLOOKUP($A8,'Emprego - WIOD-14'!$A:$R,M$1-1993,FALSE)</f>
        <v>-3.9425720446930899E-2</v>
      </c>
      <c r="N8" s="5"/>
      <c r="O8" s="5"/>
    </row>
    <row r="9" spans="1:15" x14ac:dyDescent="0.25">
      <c r="A9" t="s">
        <v>7</v>
      </c>
      <c r="B9" s="6">
        <f>(VLOOKUP($A9,'Emprego - WIOD-14'!$A:$R,B$1-1993,FALSE)-VLOOKUP($A9,'Emprego - WIOD-16'!$A:$R,B$1-1998,FALSE))/VLOOKUP($A9,'Emprego - WIOD-14'!$A:$R,B$1-1993,FALSE)</f>
        <v>-5.0825921219829501E-3</v>
      </c>
      <c r="C9" s="6">
        <f>(VLOOKUP($A9,'Emprego - WIOD-14'!$A:$R,C$1-1993,FALSE)-VLOOKUP($A9,'Emprego - WIOD-16'!$A:$R,C$1-1998,FALSE))/VLOOKUP($A9,'Emprego - WIOD-14'!$A:$R,C$1-1993,FALSE)</f>
        <v>-5.0015532774153465E-3</v>
      </c>
      <c r="D9" s="6">
        <f>(VLOOKUP($A9,'Emprego - WIOD-14'!$A:$R,D$1-1993,FALSE)-VLOOKUP($A9,'Emprego - WIOD-16'!$A:$R,D$1-1998,FALSE))/VLOOKUP($A9,'Emprego - WIOD-14'!$A:$R,D$1-1993,FALSE)</f>
        <v>-6.5793481571729609E-3</v>
      </c>
      <c r="E9" s="6">
        <f>(VLOOKUP($A9,'Emprego - WIOD-14'!$A:$R,E$1-1993,FALSE)-VLOOKUP($A9,'Emprego - WIOD-16'!$A:$R,E$1-1998,FALSE))/VLOOKUP($A9,'Emprego - WIOD-14'!$A:$R,E$1-1993,FALSE)</f>
        <v>-5.1349765258219366E-3</v>
      </c>
      <c r="F9" s="6">
        <f>(VLOOKUP($A9,'Emprego - WIOD-14'!$A:$R,F$1-1993,FALSE)-VLOOKUP($A9,'Emprego - WIOD-16'!$A:$R,F$1-1998,FALSE))/VLOOKUP($A9,'Emprego - WIOD-14'!$A:$R,F$1-1993,FALSE)</f>
        <v>-8.0384941975663021E-3</v>
      </c>
      <c r="G9" s="6">
        <f>(VLOOKUP($A9,'Emprego - WIOD-14'!$A:$R,G$1-1993,FALSE)-VLOOKUP($A9,'Emprego - WIOD-16'!$A:$R,G$1-1998,FALSE))/VLOOKUP($A9,'Emprego - WIOD-14'!$A:$R,G$1-1993,FALSE)</f>
        <v>-5.758733624454785E-3</v>
      </c>
      <c r="H9" s="6">
        <f>(VLOOKUP($A9,'Emprego - WIOD-14'!$A:$R,H$1-1993,FALSE)-VLOOKUP($A9,'Emprego - WIOD-16'!$A:$R,H$1-1998,FALSE))/VLOOKUP($A9,'Emprego - WIOD-14'!$A:$R,H$1-1993,FALSE)</f>
        <v>-8.0021482277121379E-3</v>
      </c>
      <c r="I9" s="6">
        <f>(VLOOKUP($A9,'Emprego - WIOD-14'!$A:$R,I$1-1993,FALSE)-VLOOKUP($A9,'Emprego - WIOD-16'!$A:$R,I$1-1998,FALSE))/VLOOKUP($A9,'Emprego - WIOD-14'!$A:$R,I$1-1993,FALSE)</f>
        <v>-1.0897269180754227E-2</v>
      </c>
      <c r="J9" s="6">
        <f>(VLOOKUP($A9,'Emprego - WIOD-14'!$A:$R,J$1-1993,FALSE)-VLOOKUP($A9,'Emprego - WIOD-16'!$A:$R,J$1-1998,FALSE))/VLOOKUP($A9,'Emprego - WIOD-14'!$A:$R,J$1-1993,FALSE)</f>
        <v>-1.3148689577429307E-2</v>
      </c>
      <c r="K9" s="6">
        <f>(VLOOKUP($A9,'Emprego - WIOD-14'!$A:$R,K$1-1993,FALSE)-VLOOKUP($A9,'Emprego - WIOD-16'!$A:$R,K$1-1998,FALSE))/VLOOKUP($A9,'Emprego - WIOD-14'!$A:$R,K$1-1993,FALSE)</f>
        <v>-4.7050817481011451E-3</v>
      </c>
      <c r="L9" s="6">
        <f>(VLOOKUP($A9,'Emprego - WIOD-14'!$A:$R,L$1-1993,FALSE)-VLOOKUP($A9,'Emprego - WIOD-16'!$A:$R,L$1-1998,FALSE))/VLOOKUP($A9,'Emprego - WIOD-14'!$A:$R,L$1-1993,FALSE)</f>
        <v>-1.0371084045180336E-2</v>
      </c>
      <c r="M9" s="6">
        <f>(VLOOKUP($A9,'Emprego - WIOD-14'!$A:$R,M$1-1993,FALSE)-VLOOKUP($A9,'Emprego - WIOD-16'!$A:$R,M$1-1998,FALSE))/VLOOKUP($A9,'Emprego - WIOD-14'!$A:$R,M$1-1993,FALSE)</f>
        <v>-2.3228271673803098E-2</v>
      </c>
      <c r="N9" s="5"/>
      <c r="O9" s="5"/>
    </row>
    <row r="10" spans="1:15" x14ac:dyDescent="0.25">
      <c r="A10" t="s">
        <v>8</v>
      </c>
      <c r="B10" s="6">
        <f>(VLOOKUP($A10,'Emprego - WIOD-14'!$A:$R,B$1-1993,FALSE)-VLOOKUP($A10,'Emprego - WIOD-16'!$A:$R,B$1-1998,FALSE))/VLOOKUP($A10,'Emprego - WIOD-14'!$A:$R,B$1-1993,FALSE)</f>
        <v>1.6410000439230087E-2</v>
      </c>
      <c r="C10" s="6">
        <f>(VLOOKUP($A10,'Emprego - WIOD-14'!$A:$R,C$1-1993,FALSE)-VLOOKUP($A10,'Emprego - WIOD-16'!$A:$R,C$1-1998,FALSE))/VLOOKUP($A10,'Emprego - WIOD-14'!$A:$R,C$1-1993,FALSE)</f>
        <v>2.3486574451592919E-2</v>
      </c>
      <c r="D10" s="6">
        <f>(VLOOKUP($A10,'Emprego - WIOD-14'!$A:$R,D$1-1993,FALSE)-VLOOKUP($A10,'Emprego - WIOD-16'!$A:$R,D$1-1998,FALSE))/VLOOKUP($A10,'Emprego - WIOD-14'!$A:$R,D$1-1993,FALSE)</f>
        <v>2.2837663379850569E-2</v>
      </c>
      <c r="E10" s="6">
        <f>(VLOOKUP($A10,'Emprego - WIOD-14'!$A:$R,E$1-1993,FALSE)-VLOOKUP($A10,'Emprego - WIOD-16'!$A:$R,E$1-1998,FALSE))/VLOOKUP($A10,'Emprego - WIOD-14'!$A:$R,E$1-1993,FALSE)</f>
        <v>1.7336637793935201E-2</v>
      </c>
      <c r="F10" s="6">
        <f>(VLOOKUP($A10,'Emprego - WIOD-14'!$A:$R,F$1-1993,FALSE)-VLOOKUP($A10,'Emprego - WIOD-16'!$A:$R,F$1-1998,FALSE))/VLOOKUP($A10,'Emprego - WIOD-14'!$A:$R,F$1-1993,FALSE)</f>
        <v>2.256126108747666E-2</v>
      </c>
      <c r="G10" s="6">
        <f>(VLOOKUP($A10,'Emprego - WIOD-14'!$A:$R,G$1-1993,FALSE)-VLOOKUP($A10,'Emprego - WIOD-16'!$A:$R,G$1-1998,FALSE))/VLOOKUP($A10,'Emprego - WIOD-14'!$A:$R,G$1-1993,FALSE)</f>
        <v>1.3812755703661249E-2</v>
      </c>
      <c r="H10" s="6">
        <f>(VLOOKUP($A10,'Emprego - WIOD-14'!$A:$R,H$1-1993,FALSE)-VLOOKUP($A10,'Emprego - WIOD-16'!$A:$R,H$1-1998,FALSE))/VLOOKUP($A10,'Emprego - WIOD-14'!$A:$R,H$1-1993,FALSE)</f>
        <v>1.9526997016709156E-2</v>
      </c>
      <c r="I10" s="6">
        <f>(VLOOKUP($A10,'Emprego - WIOD-14'!$A:$R,I$1-1993,FALSE)-VLOOKUP($A10,'Emprego - WIOD-16'!$A:$R,I$1-1998,FALSE))/VLOOKUP($A10,'Emprego - WIOD-14'!$A:$R,I$1-1993,FALSE)</f>
        <v>2.5016080124965721E-2</v>
      </c>
      <c r="J10" s="6">
        <f>(VLOOKUP($A10,'Emprego - WIOD-14'!$A:$R,J$1-1993,FALSE)-VLOOKUP($A10,'Emprego - WIOD-16'!$A:$R,J$1-1998,FALSE))/VLOOKUP($A10,'Emprego - WIOD-14'!$A:$R,J$1-1993,FALSE)</f>
        <v>2.7064739681625431E-2</v>
      </c>
      <c r="K10" s="6">
        <f>(VLOOKUP($A10,'Emprego - WIOD-14'!$A:$R,K$1-1993,FALSE)-VLOOKUP($A10,'Emprego - WIOD-16'!$A:$R,K$1-1998,FALSE))/VLOOKUP($A10,'Emprego - WIOD-14'!$A:$R,K$1-1993,FALSE)</f>
        <v>2.327275259325029E-2</v>
      </c>
      <c r="L10" s="6">
        <f>(VLOOKUP($A10,'Emprego - WIOD-14'!$A:$R,L$1-1993,FALSE)-VLOOKUP($A10,'Emprego - WIOD-16'!$A:$R,L$1-1998,FALSE))/VLOOKUP($A10,'Emprego - WIOD-14'!$A:$R,L$1-1993,FALSE)</f>
        <v>2.0609249179660165E-2</v>
      </c>
      <c r="M10" s="6">
        <f>(VLOOKUP($A10,'Emprego - WIOD-14'!$A:$R,M$1-1993,FALSE)-VLOOKUP($A10,'Emprego - WIOD-16'!$A:$R,M$1-1998,FALSE))/VLOOKUP($A10,'Emprego - WIOD-14'!$A:$R,M$1-1993,FALSE)</f>
        <v>2.0188427459871334E-2</v>
      </c>
      <c r="N10" s="5"/>
      <c r="O10" s="5"/>
    </row>
    <row r="11" spans="1:15" x14ac:dyDescent="0.25">
      <c r="A11" t="s">
        <v>9</v>
      </c>
      <c r="B11" s="6">
        <f>(VLOOKUP($A11,'Emprego - WIOD-14'!$A:$R,B$1-1993,FALSE)-VLOOKUP($A11,'Emprego - WIOD-16'!$A:$R,B$1-1998,FALSE))/VLOOKUP($A11,'Emprego - WIOD-14'!$A:$R,B$1-1993,FALSE)</f>
        <v>-1.9747598610259553E-2</v>
      </c>
      <c r="C11" s="6">
        <f>(VLOOKUP($A11,'Emprego - WIOD-14'!$A:$R,C$1-1993,FALSE)-VLOOKUP($A11,'Emprego - WIOD-16'!$A:$R,C$1-1998,FALSE))/VLOOKUP($A11,'Emprego - WIOD-14'!$A:$R,C$1-1993,FALSE)</f>
        <v>-1.2539424153016584E-2</v>
      </c>
      <c r="D11" s="6">
        <f>(VLOOKUP($A11,'Emprego - WIOD-14'!$A:$R,D$1-1993,FALSE)-VLOOKUP($A11,'Emprego - WIOD-16'!$A:$R,D$1-1998,FALSE))/VLOOKUP($A11,'Emprego - WIOD-14'!$A:$R,D$1-1993,FALSE)</f>
        <v>-1.3658686310620012E-2</v>
      </c>
      <c r="E11" s="6">
        <f>(VLOOKUP($A11,'Emprego - WIOD-14'!$A:$R,E$1-1993,FALSE)-VLOOKUP($A11,'Emprego - WIOD-16'!$A:$R,E$1-1998,FALSE))/VLOOKUP($A11,'Emprego - WIOD-14'!$A:$R,E$1-1993,FALSE)</f>
        <v>-1.2239838867944016E-2</v>
      </c>
      <c r="F11" s="6">
        <f>(VLOOKUP($A11,'Emprego - WIOD-14'!$A:$R,F$1-1993,FALSE)-VLOOKUP($A11,'Emprego - WIOD-16'!$A:$R,F$1-1998,FALSE))/VLOOKUP($A11,'Emprego - WIOD-14'!$A:$R,F$1-1993,FALSE)</f>
        <v>-1.1754115226337448E-2</v>
      </c>
      <c r="G11" s="6">
        <f>(VLOOKUP($A11,'Emprego - WIOD-14'!$A:$R,G$1-1993,FALSE)-VLOOKUP($A11,'Emprego - WIOD-16'!$A:$R,G$1-1998,FALSE))/VLOOKUP($A11,'Emprego - WIOD-14'!$A:$R,G$1-1993,FALSE)</f>
        <v>-1.2643234195957255E-2</v>
      </c>
      <c r="H11" s="6">
        <f>(VLOOKUP($A11,'Emprego - WIOD-14'!$A:$R,H$1-1993,FALSE)-VLOOKUP($A11,'Emprego - WIOD-16'!$A:$R,H$1-1998,FALSE))/VLOOKUP($A11,'Emprego - WIOD-14'!$A:$R,H$1-1993,FALSE)</f>
        <v>-1.4331413947536788E-2</v>
      </c>
      <c r="I11" s="6">
        <f>(VLOOKUP($A11,'Emprego - WIOD-14'!$A:$R,I$1-1993,FALSE)-VLOOKUP($A11,'Emprego - WIOD-16'!$A:$R,I$1-1998,FALSE))/VLOOKUP($A11,'Emprego - WIOD-14'!$A:$R,I$1-1993,FALSE)</f>
        <v>-1.5129392810391704E-2</v>
      </c>
      <c r="J11" s="6">
        <f>(VLOOKUP($A11,'Emprego - WIOD-14'!$A:$R,J$1-1993,FALSE)-VLOOKUP($A11,'Emprego - WIOD-16'!$A:$R,J$1-1998,FALSE))/VLOOKUP($A11,'Emprego - WIOD-14'!$A:$R,J$1-1993,FALSE)</f>
        <v>-1.002814377737399E-2</v>
      </c>
      <c r="K11" s="6">
        <f>(VLOOKUP($A11,'Emprego - WIOD-14'!$A:$R,K$1-1993,FALSE)-VLOOKUP($A11,'Emprego - WIOD-16'!$A:$R,K$1-1998,FALSE))/VLOOKUP($A11,'Emprego - WIOD-14'!$A:$R,K$1-1993,FALSE)</f>
        <v>-1.033859097215688E-3</v>
      </c>
      <c r="L11" s="6">
        <f>(VLOOKUP($A11,'Emprego - WIOD-14'!$A:$R,L$1-1993,FALSE)-VLOOKUP($A11,'Emprego - WIOD-16'!$A:$R,L$1-1998,FALSE))/VLOOKUP($A11,'Emprego - WIOD-14'!$A:$R,L$1-1993,FALSE)</f>
        <v>2.5573588117728972E-3</v>
      </c>
      <c r="M11" s="6">
        <f>(VLOOKUP($A11,'Emprego - WIOD-14'!$A:$R,M$1-1993,FALSE)-VLOOKUP($A11,'Emprego - WIOD-16'!$A:$R,M$1-1998,FALSE))/VLOOKUP($A11,'Emprego - WIOD-14'!$A:$R,M$1-1993,FALSE)</f>
        <v>9.7563275154866416E-3</v>
      </c>
      <c r="N11" s="5"/>
      <c r="O11" s="5"/>
    </row>
    <row r="12" spans="1:15" x14ac:dyDescent="0.25">
      <c r="A12" t="s">
        <v>10</v>
      </c>
      <c r="B12" s="6">
        <f>(VLOOKUP($A12,'Emprego - WIOD-14'!$A:$R,B$1-1993,FALSE)-VLOOKUP($A12,'Emprego - WIOD-16'!$A:$R,B$1-1998,FALSE))/VLOOKUP($A12,'Emprego - WIOD-14'!$A:$R,B$1-1993,FALSE)</f>
        <v>-8.6650819024249245E-3</v>
      </c>
      <c r="C12" s="6">
        <f>(VLOOKUP($A12,'Emprego - WIOD-14'!$A:$R,C$1-1993,FALSE)-VLOOKUP($A12,'Emprego - WIOD-16'!$A:$R,C$1-1998,FALSE))/VLOOKUP($A12,'Emprego - WIOD-14'!$A:$R,C$1-1993,FALSE)</f>
        <v>-4.2024084084631586E-3</v>
      </c>
      <c r="D12" s="6">
        <f>(VLOOKUP($A12,'Emprego - WIOD-14'!$A:$R,D$1-1993,FALSE)-VLOOKUP($A12,'Emprego - WIOD-16'!$A:$R,D$1-1998,FALSE))/VLOOKUP($A12,'Emprego - WIOD-14'!$A:$R,D$1-1993,FALSE)</f>
        <v>-2.927937770397068E-3</v>
      </c>
      <c r="E12" s="6">
        <f>(VLOOKUP($A12,'Emprego - WIOD-14'!$A:$R,E$1-1993,FALSE)-VLOOKUP($A12,'Emprego - WIOD-16'!$A:$R,E$1-1998,FALSE))/VLOOKUP($A12,'Emprego - WIOD-14'!$A:$R,E$1-1993,FALSE)</f>
        <v>-7.9088599795324368E-3</v>
      </c>
      <c r="F12" s="6">
        <f>(VLOOKUP($A12,'Emprego - WIOD-14'!$A:$R,F$1-1993,FALSE)-VLOOKUP($A12,'Emprego - WIOD-16'!$A:$R,F$1-1998,FALSE))/VLOOKUP($A12,'Emprego - WIOD-14'!$A:$R,F$1-1993,FALSE)</f>
        <v>-5.3224260298434948E-3</v>
      </c>
      <c r="G12" s="6">
        <f>(VLOOKUP($A12,'Emprego - WIOD-14'!$A:$R,G$1-1993,FALSE)-VLOOKUP($A12,'Emprego - WIOD-16'!$A:$R,G$1-1998,FALSE))/VLOOKUP($A12,'Emprego - WIOD-14'!$A:$R,G$1-1993,FALSE)</f>
        <v>-1.0667010889973714E-2</v>
      </c>
      <c r="H12" s="6">
        <f>(VLOOKUP($A12,'Emprego - WIOD-14'!$A:$R,H$1-1993,FALSE)-VLOOKUP($A12,'Emprego - WIOD-16'!$A:$R,H$1-1998,FALSE))/VLOOKUP($A12,'Emprego - WIOD-14'!$A:$R,H$1-1993,FALSE)</f>
        <v>-1.1692666737082776E-2</v>
      </c>
      <c r="I12" s="6">
        <f>(VLOOKUP($A12,'Emprego - WIOD-14'!$A:$R,I$1-1993,FALSE)-VLOOKUP($A12,'Emprego - WIOD-16'!$A:$R,I$1-1998,FALSE))/VLOOKUP($A12,'Emprego - WIOD-14'!$A:$R,I$1-1993,FALSE)</f>
        <v>-5.6631032099773524E-3</v>
      </c>
      <c r="J12" s="6">
        <f>(VLOOKUP($A12,'Emprego - WIOD-14'!$A:$R,J$1-1993,FALSE)-VLOOKUP($A12,'Emprego - WIOD-16'!$A:$R,J$1-1998,FALSE))/VLOOKUP($A12,'Emprego - WIOD-14'!$A:$R,J$1-1993,FALSE)</f>
        <v>-1.2107482120589559E-3</v>
      </c>
      <c r="K12" s="6">
        <f>(VLOOKUP($A12,'Emprego - WIOD-14'!$A:$R,K$1-1993,FALSE)-VLOOKUP($A12,'Emprego - WIOD-16'!$A:$R,K$1-1998,FALSE))/VLOOKUP($A12,'Emprego - WIOD-14'!$A:$R,K$1-1993,FALSE)</f>
        <v>1.1007446734130427E-2</v>
      </c>
      <c r="L12" s="6">
        <f>(VLOOKUP($A12,'Emprego - WIOD-14'!$A:$R,L$1-1993,FALSE)-VLOOKUP($A12,'Emprego - WIOD-16'!$A:$R,L$1-1998,FALSE))/VLOOKUP($A12,'Emprego - WIOD-14'!$A:$R,L$1-1993,FALSE)</f>
        <v>-2.9671500301462913E-3</v>
      </c>
      <c r="M12" s="6">
        <f>(VLOOKUP($A12,'Emprego - WIOD-14'!$A:$R,M$1-1993,FALSE)-VLOOKUP($A12,'Emprego - WIOD-16'!$A:$R,M$1-1998,FALSE))/VLOOKUP($A12,'Emprego - WIOD-14'!$A:$R,M$1-1993,FALSE)</f>
        <v>-6.643928027318868E-3</v>
      </c>
      <c r="N12" s="5"/>
      <c r="O12" s="5"/>
    </row>
    <row r="13" spans="1:15" x14ac:dyDescent="0.25">
      <c r="A13" t="s">
        <v>11</v>
      </c>
      <c r="B13" s="6">
        <f>(VLOOKUP($A13,'Emprego - WIOD-14'!$A:$R,B$1-1993,FALSE)-VLOOKUP($A13,'Emprego - WIOD-16'!$A:$R,B$1-1998,FALSE))/VLOOKUP($A13,'Emprego - WIOD-14'!$A:$R,B$1-1993,FALSE)</f>
        <v>-1.7030740639185936E-2</v>
      </c>
      <c r="C13" s="6">
        <f>(VLOOKUP($A13,'Emprego - WIOD-14'!$A:$R,C$1-1993,FALSE)-VLOOKUP($A13,'Emprego - WIOD-16'!$A:$R,C$1-1998,FALSE))/VLOOKUP($A13,'Emprego - WIOD-14'!$A:$R,C$1-1993,FALSE)</f>
        <v>-1.8735307667772923E-2</v>
      </c>
      <c r="D13" s="6">
        <f>(VLOOKUP($A13,'Emprego - WIOD-14'!$A:$R,D$1-1993,FALSE)-VLOOKUP($A13,'Emprego - WIOD-16'!$A:$R,D$1-1998,FALSE))/VLOOKUP($A13,'Emprego - WIOD-14'!$A:$R,D$1-1993,FALSE)</f>
        <v>-2.0493032484311342E-2</v>
      </c>
      <c r="E13" s="6">
        <f>(VLOOKUP($A13,'Emprego - WIOD-14'!$A:$R,E$1-1993,FALSE)-VLOOKUP($A13,'Emprego - WIOD-16'!$A:$R,E$1-1998,FALSE))/VLOOKUP($A13,'Emprego - WIOD-14'!$A:$R,E$1-1993,FALSE)</f>
        <v>-2.2609298787309461E-2</v>
      </c>
      <c r="F13" s="6">
        <f>(VLOOKUP($A13,'Emprego - WIOD-14'!$A:$R,F$1-1993,FALSE)-VLOOKUP($A13,'Emprego - WIOD-16'!$A:$R,F$1-1998,FALSE))/VLOOKUP($A13,'Emprego - WIOD-14'!$A:$R,F$1-1993,FALSE)</f>
        <v>-2.4867907810997212E-2</v>
      </c>
      <c r="G13" s="6">
        <f>(VLOOKUP($A13,'Emprego - WIOD-14'!$A:$R,G$1-1993,FALSE)-VLOOKUP($A13,'Emprego - WIOD-16'!$A:$R,G$1-1998,FALSE))/VLOOKUP($A13,'Emprego - WIOD-14'!$A:$R,G$1-1993,FALSE)</f>
        <v>-2.6817457557623346E-2</v>
      </c>
      <c r="H13" s="6">
        <f>(VLOOKUP($A13,'Emprego - WIOD-14'!$A:$R,H$1-1993,FALSE)-VLOOKUP($A13,'Emprego - WIOD-16'!$A:$R,H$1-1998,FALSE))/VLOOKUP($A13,'Emprego - WIOD-14'!$A:$R,H$1-1993,FALSE)</f>
        <v>-2.932773948656478E-2</v>
      </c>
      <c r="I13" s="6">
        <f>(VLOOKUP($A13,'Emprego - WIOD-14'!$A:$R,I$1-1993,FALSE)-VLOOKUP($A13,'Emprego - WIOD-16'!$A:$R,I$1-1998,FALSE))/VLOOKUP($A13,'Emprego - WIOD-14'!$A:$R,I$1-1993,FALSE)</f>
        <v>-3.1820054778582844E-2</v>
      </c>
      <c r="J13" s="6">
        <f>(VLOOKUP($A13,'Emprego - WIOD-14'!$A:$R,J$1-1993,FALSE)-VLOOKUP($A13,'Emprego - WIOD-16'!$A:$R,J$1-1998,FALSE))/VLOOKUP($A13,'Emprego - WIOD-14'!$A:$R,J$1-1993,FALSE)</f>
        <v>-3.6341917412030876E-2</v>
      </c>
      <c r="K13" s="6">
        <f>(VLOOKUP($A13,'Emprego - WIOD-14'!$A:$R,K$1-1993,FALSE)-VLOOKUP($A13,'Emprego - WIOD-16'!$A:$R,K$1-1998,FALSE))/VLOOKUP($A13,'Emprego - WIOD-14'!$A:$R,K$1-1993,FALSE)</f>
        <v>-3.7858789550310398E-2</v>
      </c>
      <c r="L13" s="6">
        <f>(VLOOKUP($A13,'Emprego - WIOD-14'!$A:$R,L$1-1993,FALSE)-VLOOKUP($A13,'Emprego - WIOD-16'!$A:$R,L$1-1998,FALSE))/VLOOKUP($A13,'Emprego - WIOD-14'!$A:$R,L$1-1993,FALSE)</f>
        <v>-5.0801949731274304E-2</v>
      </c>
      <c r="M13" s="6">
        <f>(VLOOKUP($A13,'Emprego - WIOD-14'!$A:$R,M$1-1993,FALSE)-VLOOKUP($A13,'Emprego - WIOD-16'!$A:$R,M$1-1998,FALSE))/VLOOKUP($A13,'Emprego - WIOD-14'!$A:$R,M$1-1993,FALSE)</f>
        <v>-4.7422153081969655E-2</v>
      </c>
      <c r="N13" s="5"/>
      <c r="O13" s="5"/>
    </row>
    <row r="14" spans="1:15" x14ac:dyDescent="0.25">
      <c r="A14" t="s">
        <v>12</v>
      </c>
      <c r="B14" s="6">
        <f>(VLOOKUP($A14,'Emprego - WIOD-14'!$A:$R,B$1-1993,FALSE)-VLOOKUP($A14,'Emprego - WIOD-16'!$A:$R,B$1-1998,FALSE))/VLOOKUP($A14,'Emprego - WIOD-14'!$A:$R,B$1-1993,FALSE)</f>
        <v>-2.9519650655022038E-2</v>
      </c>
      <c r="C14" s="6">
        <f>(VLOOKUP($A14,'Emprego - WIOD-14'!$A:$R,C$1-1993,FALSE)-VLOOKUP($A14,'Emprego - WIOD-16'!$A:$R,C$1-1998,FALSE))/VLOOKUP($A14,'Emprego - WIOD-14'!$A:$R,C$1-1993,FALSE)</f>
        <v>-2.5099532926768472E-2</v>
      </c>
      <c r="D14" s="6">
        <f>(VLOOKUP($A14,'Emprego - WIOD-14'!$A:$R,D$1-1993,FALSE)-VLOOKUP($A14,'Emprego - WIOD-16'!$A:$R,D$1-1998,FALSE))/VLOOKUP($A14,'Emprego - WIOD-14'!$A:$R,D$1-1993,FALSE)</f>
        <v>-6.6632496155819522E-3</v>
      </c>
      <c r="E14" s="6">
        <f>(VLOOKUP($A14,'Emprego - WIOD-14'!$A:$R,E$1-1993,FALSE)-VLOOKUP($A14,'Emprego - WIOD-16'!$A:$R,E$1-1998,FALSE))/VLOOKUP($A14,'Emprego - WIOD-14'!$A:$R,E$1-1993,FALSE)</f>
        <v>-2.0707070707070511E-2</v>
      </c>
      <c r="F14" s="6">
        <f>(VLOOKUP($A14,'Emprego - WIOD-14'!$A:$R,F$1-1993,FALSE)-VLOOKUP($A14,'Emprego - WIOD-16'!$A:$R,F$1-1998,FALSE))/VLOOKUP($A14,'Emprego - WIOD-14'!$A:$R,F$1-1993,FALSE)</f>
        <v>-1.427851481700769E-2</v>
      </c>
      <c r="G14" s="6">
        <f>(VLOOKUP($A14,'Emprego - WIOD-14'!$A:$R,G$1-1993,FALSE)-VLOOKUP($A14,'Emprego - WIOD-16'!$A:$R,G$1-1998,FALSE))/VLOOKUP($A14,'Emprego - WIOD-14'!$A:$R,G$1-1993,FALSE)</f>
        <v>-1.6620042784268749E-2</v>
      </c>
      <c r="H14" s="6">
        <f>(VLOOKUP($A14,'Emprego - WIOD-14'!$A:$R,H$1-1993,FALSE)-VLOOKUP($A14,'Emprego - WIOD-16'!$A:$R,H$1-1998,FALSE))/VLOOKUP($A14,'Emprego - WIOD-14'!$A:$R,H$1-1993,FALSE)</f>
        <v>-1.2383900928794372E-3</v>
      </c>
      <c r="I14" s="6">
        <f>(VLOOKUP($A14,'Emprego - WIOD-14'!$A:$R,I$1-1993,FALSE)-VLOOKUP($A14,'Emprego - WIOD-16'!$A:$R,I$1-1998,FALSE))/VLOOKUP($A14,'Emprego - WIOD-14'!$A:$R,I$1-1993,FALSE)</f>
        <v>1.037217829995306E-2</v>
      </c>
      <c r="J14" s="6">
        <f>(VLOOKUP($A14,'Emprego - WIOD-14'!$A:$R,J$1-1993,FALSE)-VLOOKUP($A14,'Emprego - WIOD-16'!$A:$R,J$1-1998,FALSE))/VLOOKUP($A14,'Emprego - WIOD-14'!$A:$R,J$1-1993,FALSE)</f>
        <v>2.1236037809783601E-2</v>
      </c>
      <c r="K14" s="6">
        <f>(VLOOKUP($A14,'Emprego - WIOD-14'!$A:$R,K$1-1993,FALSE)-VLOOKUP($A14,'Emprego - WIOD-16'!$A:$R,K$1-1998,FALSE))/VLOOKUP($A14,'Emprego - WIOD-14'!$A:$R,K$1-1993,FALSE)</f>
        <v>5.1065045106025241E-2</v>
      </c>
      <c r="L14" s="6">
        <f>(VLOOKUP($A14,'Emprego - WIOD-14'!$A:$R,L$1-1993,FALSE)-VLOOKUP($A14,'Emprego - WIOD-16'!$A:$R,L$1-1998,FALSE))/VLOOKUP($A14,'Emprego - WIOD-14'!$A:$R,L$1-1993,FALSE)</f>
        <v>5.118733004939989E-2</v>
      </c>
      <c r="M14" s="6">
        <f>(VLOOKUP($A14,'Emprego - WIOD-14'!$A:$R,M$1-1993,FALSE)-VLOOKUP($A14,'Emprego - WIOD-16'!$A:$R,M$1-1998,FALSE))/VLOOKUP($A14,'Emprego - WIOD-14'!$A:$R,M$1-1993,FALSE)</f>
        <v>4.2991412366436027E-2</v>
      </c>
      <c r="N14" s="5"/>
      <c r="O14" s="5"/>
    </row>
    <row r="15" spans="1:15" x14ac:dyDescent="0.25">
      <c r="A15" t="s">
        <v>13</v>
      </c>
      <c r="B15" s="6">
        <f>(VLOOKUP($A15,'Emprego - WIOD-14'!$A:$R,B$1-1993,FALSE)-VLOOKUP($A15,'Emprego - WIOD-16'!$A:$R,B$1-1998,FALSE))/VLOOKUP($A15,'Emprego - WIOD-14'!$A:$R,B$1-1993,FALSE)</f>
        <v>-2.1365657975060898E-3</v>
      </c>
      <c r="C15" s="6">
        <f>(VLOOKUP($A15,'Emprego - WIOD-14'!$A:$R,C$1-1993,FALSE)-VLOOKUP($A15,'Emprego - WIOD-16'!$A:$R,C$1-1998,FALSE))/VLOOKUP($A15,'Emprego - WIOD-14'!$A:$R,C$1-1993,FALSE)</f>
        <v>-3.1838912313916471E-3</v>
      </c>
      <c r="D15" s="6">
        <f>(VLOOKUP($A15,'Emprego - WIOD-14'!$A:$R,D$1-1993,FALSE)-VLOOKUP($A15,'Emprego - WIOD-16'!$A:$R,D$1-1998,FALSE))/VLOOKUP($A15,'Emprego - WIOD-14'!$A:$R,D$1-1993,FALSE)</f>
        <v>-4.560566021652032E-3</v>
      </c>
      <c r="E15" s="6">
        <f>(VLOOKUP($A15,'Emprego - WIOD-14'!$A:$R,E$1-1993,FALSE)-VLOOKUP($A15,'Emprego - WIOD-16'!$A:$R,E$1-1998,FALSE))/VLOOKUP($A15,'Emprego - WIOD-14'!$A:$R,E$1-1993,FALSE)</f>
        <v>-5.3671835065598906E-3</v>
      </c>
      <c r="F15" s="6">
        <f>(VLOOKUP($A15,'Emprego - WIOD-14'!$A:$R,F$1-1993,FALSE)-VLOOKUP($A15,'Emprego - WIOD-16'!$A:$R,F$1-1998,FALSE))/VLOOKUP($A15,'Emprego - WIOD-14'!$A:$R,F$1-1993,FALSE)</f>
        <v>-7.0855785141497448E-3</v>
      </c>
      <c r="G15" s="6">
        <f>(VLOOKUP($A15,'Emprego - WIOD-14'!$A:$R,G$1-1993,FALSE)-VLOOKUP($A15,'Emprego - WIOD-16'!$A:$R,G$1-1998,FALSE))/VLOOKUP($A15,'Emprego - WIOD-14'!$A:$R,G$1-1993,FALSE)</f>
        <v>-8.9569730453710281E-3</v>
      </c>
      <c r="H15" s="6">
        <f>(VLOOKUP($A15,'Emprego - WIOD-14'!$A:$R,H$1-1993,FALSE)-VLOOKUP($A15,'Emprego - WIOD-16'!$A:$R,H$1-1998,FALSE))/VLOOKUP($A15,'Emprego - WIOD-14'!$A:$R,H$1-1993,FALSE)</f>
        <v>-8.7950024658885427E-3</v>
      </c>
      <c r="I15" s="6">
        <f>(VLOOKUP($A15,'Emprego - WIOD-14'!$A:$R,I$1-1993,FALSE)-VLOOKUP($A15,'Emprego - WIOD-16'!$A:$R,I$1-1998,FALSE))/VLOOKUP($A15,'Emprego - WIOD-14'!$A:$R,I$1-1993,FALSE)</f>
        <v>-8.3665178391856831E-3</v>
      </c>
      <c r="J15" s="6">
        <f>(VLOOKUP($A15,'Emprego - WIOD-14'!$A:$R,J$1-1993,FALSE)-VLOOKUP($A15,'Emprego - WIOD-16'!$A:$R,J$1-1998,FALSE))/VLOOKUP($A15,'Emprego - WIOD-14'!$A:$R,J$1-1993,FALSE)</f>
        <v>-8.6128153621825142E-3</v>
      </c>
      <c r="K15" s="6">
        <f>(VLOOKUP($A15,'Emprego - WIOD-14'!$A:$R,K$1-1993,FALSE)-VLOOKUP($A15,'Emprego - WIOD-16'!$A:$R,K$1-1998,FALSE))/VLOOKUP($A15,'Emprego - WIOD-14'!$A:$R,K$1-1993,FALSE)</f>
        <v>-1.3213590840307212E-2</v>
      </c>
      <c r="L15" s="6">
        <f>(VLOOKUP($A15,'Emprego - WIOD-14'!$A:$R,L$1-1993,FALSE)-VLOOKUP($A15,'Emprego - WIOD-16'!$A:$R,L$1-1998,FALSE))/VLOOKUP($A15,'Emprego - WIOD-14'!$A:$R,L$1-1993,FALSE)</f>
        <v>-7.0600675720179249E-3</v>
      </c>
      <c r="M15" s="6">
        <f>(VLOOKUP($A15,'Emprego - WIOD-14'!$A:$R,M$1-1993,FALSE)-VLOOKUP($A15,'Emprego - WIOD-16'!$A:$R,M$1-1998,FALSE))/VLOOKUP($A15,'Emprego - WIOD-14'!$A:$R,M$1-1993,FALSE)</f>
        <v>-9.0707959034685409E-3</v>
      </c>
      <c r="N15" s="5"/>
      <c r="O15" s="5"/>
    </row>
    <row r="16" spans="1:15" x14ac:dyDescent="0.25">
      <c r="A16" t="s">
        <v>14</v>
      </c>
      <c r="B16" s="6">
        <f>(VLOOKUP($A16,'Emprego - WIOD-14'!$A:$R,B$1-1993,FALSE)-VLOOKUP($A16,'Emprego - WIOD-16'!$A:$R,B$1-1998,FALSE))/VLOOKUP($A16,'Emprego - WIOD-14'!$A:$R,B$1-1993,FALSE)</f>
        <v>-5.5075846933449669E-2</v>
      </c>
      <c r="C16" s="6">
        <f>(VLOOKUP($A16,'Emprego - WIOD-14'!$A:$R,C$1-1993,FALSE)-VLOOKUP($A16,'Emprego - WIOD-16'!$A:$R,C$1-1998,FALSE))/VLOOKUP($A16,'Emprego - WIOD-14'!$A:$R,C$1-1993,FALSE)</f>
        <v>-5.1545559167356501E-2</v>
      </c>
      <c r="D16" s="6">
        <f>(VLOOKUP($A16,'Emprego - WIOD-14'!$A:$R,D$1-1993,FALSE)-VLOOKUP($A16,'Emprego - WIOD-16'!$A:$R,D$1-1998,FALSE))/VLOOKUP($A16,'Emprego - WIOD-14'!$A:$R,D$1-1993,FALSE)</f>
        <v>-4.9849912515851483E-2</v>
      </c>
      <c r="E16" s="6">
        <f>(VLOOKUP($A16,'Emprego - WIOD-14'!$A:$R,E$1-1993,FALSE)-VLOOKUP($A16,'Emprego - WIOD-16'!$A:$R,E$1-1998,FALSE))/VLOOKUP($A16,'Emprego - WIOD-14'!$A:$R,E$1-1993,FALSE)</f>
        <v>-4.8648908625983117E-2</v>
      </c>
      <c r="F16" s="6">
        <f>(VLOOKUP($A16,'Emprego - WIOD-14'!$A:$R,F$1-1993,FALSE)-VLOOKUP($A16,'Emprego - WIOD-16'!$A:$R,F$1-1998,FALSE))/VLOOKUP($A16,'Emprego - WIOD-14'!$A:$R,F$1-1993,FALSE)</f>
        <v>-4.8644753172918928E-2</v>
      </c>
      <c r="G16" s="6">
        <f>(VLOOKUP($A16,'Emprego - WIOD-14'!$A:$R,G$1-1993,FALSE)-VLOOKUP($A16,'Emprego - WIOD-16'!$A:$R,G$1-1998,FALSE))/VLOOKUP($A16,'Emprego - WIOD-14'!$A:$R,G$1-1993,FALSE)</f>
        <v>-5.0196493770729239E-2</v>
      </c>
      <c r="H16" s="6">
        <f>(VLOOKUP($A16,'Emprego - WIOD-14'!$A:$R,H$1-1993,FALSE)-VLOOKUP($A16,'Emprego - WIOD-16'!$A:$R,H$1-1998,FALSE))/VLOOKUP($A16,'Emprego - WIOD-14'!$A:$R,H$1-1993,FALSE)</f>
        <v>-5.145078680393185E-2</v>
      </c>
      <c r="I16" s="6">
        <f>(VLOOKUP($A16,'Emprego - WIOD-14'!$A:$R,I$1-1993,FALSE)-VLOOKUP($A16,'Emprego - WIOD-16'!$A:$R,I$1-1998,FALSE))/VLOOKUP($A16,'Emprego - WIOD-14'!$A:$R,I$1-1993,FALSE)</f>
        <v>-5.1015569737343273E-2</v>
      </c>
      <c r="J16" s="6">
        <f>(VLOOKUP($A16,'Emprego - WIOD-14'!$A:$R,J$1-1993,FALSE)-VLOOKUP($A16,'Emprego - WIOD-16'!$A:$R,J$1-1998,FALSE))/VLOOKUP($A16,'Emprego - WIOD-14'!$A:$R,J$1-1993,FALSE)</f>
        <v>-4.7104363244374503E-2</v>
      </c>
      <c r="K16" s="6">
        <f>(VLOOKUP($A16,'Emprego - WIOD-14'!$A:$R,K$1-1993,FALSE)-VLOOKUP($A16,'Emprego - WIOD-16'!$A:$R,K$1-1998,FALSE))/VLOOKUP($A16,'Emprego - WIOD-14'!$A:$R,K$1-1993,FALSE)</f>
        <v>-5.2453736677953292E-2</v>
      </c>
      <c r="L16" s="6">
        <f>(VLOOKUP($A16,'Emprego - WIOD-14'!$A:$R,L$1-1993,FALSE)-VLOOKUP($A16,'Emprego - WIOD-16'!$A:$R,L$1-1998,FALSE))/VLOOKUP($A16,'Emprego - WIOD-14'!$A:$R,L$1-1993,FALSE)</f>
        <v>-5.5438526853829023E-2</v>
      </c>
      <c r="M16" s="6">
        <f>(VLOOKUP($A16,'Emprego - WIOD-14'!$A:$R,M$1-1993,FALSE)-VLOOKUP($A16,'Emprego - WIOD-16'!$A:$R,M$1-1998,FALSE))/VLOOKUP($A16,'Emprego - WIOD-14'!$A:$R,M$1-1993,FALSE)</f>
        <v>-6.0285690328761021E-2</v>
      </c>
      <c r="N16" s="5"/>
      <c r="O16" s="5"/>
    </row>
    <row r="17" spans="1:15" x14ac:dyDescent="0.25">
      <c r="A17" t="s">
        <v>15</v>
      </c>
      <c r="B17" s="6">
        <f>(VLOOKUP($A17,'Emprego - WIOD-14'!$A:$R,B$1-1993,FALSE)-VLOOKUP($A17,'Emprego - WIOD-16'!$A:$R,B$1-1998,FALSE))/VLOOKUP($A17,'Emprego - WIOD-14'!$A:$R,B$1-1993,FALSE)</f>
        <v>7.209000159373373E-2</v>
      </c>
      <c r="C17" s="6">
        <f>(VLOOKUP($A17,'Emprego - WIOD-14'!$A:$R,C$1-1993,FALSE)-VLOOKUP($A17,'Emprego - WIOD-16'!$A:$R,C$1-1998,FALSE))/VLOOKUP($A17,'Emprego - WIOD-14'!$A:$R,C$1-1993,FALSE)</f>
        <v>7.3977294039789143E-2</v>
      </c>
      <c r="D17" s="6">
        <f>(VLOOKUP($A17,'Emprego - WIOD-14'!$A:$R,D$1-1993,FALSE)-VLOOKUP($A17,'Emprego - WIOD-16'!$A:$R,D$1-1998,FALSE))/VLOOKUP($A17,'Emprego - WIOD-14'!$A:$R,D$1-1993,FALSE)</f>
        <v>7.1809213783059447E-2</v>
      </c>
      <c r="E17" s="6">
        <f>(VLOOKUP($A17,'Emprego - WIOD-14'!$A:$R,E$1-1993,FALSE)-VLOOKUP($A17,'Emprego - WIOD-16'!$A:$R,E$1-1998,FALSE))/VLOOKUP($A17,'Emprego - WIOD-14'!$A:$R,E$1-1993,FALSE)</f>
        <v>7.1795305732524337E-2</v>
      </c>
      <c r="F17" s="6">
        <f>(VLOOKUP($A17,'Emprego - WIOD-14'!$A:$R,F$1-1993,FALSE)-VLOOKUP($A17,'Emprego - WIOD-16'!$A:$R,F$1-1998,FALSE))/VLOOKUP($A17,'Emprego - WIOD-14'!$A:$R,F$1-1993,FALSE)</f>
        <v>7.0786867318716029E-2</v>
      </c>
      <c r="G17" s="6">
        <f>(VLOOKUP($A17,'Emprego - WIOD-14'!$A:$R,G$1-1993,FALSE)-VLOOKUP($A17,'Emprego - WIOD-16'!$A:$R,G$1-1998,FALSE))/VLOOKUP($A17,'Emprego - WIOD-14'!$A:$R,G$1-1993,FALSE)</f>
        <v>7.1992258890567651E-2</v>
      </c>
      <c r="H17" s="6">
        <f>(VLOOKUP($A17,'Emprego - WIOD-14'!$A:$R,H$1-1993,FALSE)-VLOOKUP($A17,'Emprego - WIOD-16'!$A:$R,H$1-1998,FALSE))/VLOOKUP($A17,'Emprego - WIOD-14'!$A:$R,H$1-1993,FALSE)</f>
        <v>7.1923238428820827E-2</v>
      </c>
      <c r="I17" s="6">
        <f>(VLOOKUP($A17,'Emprego - WIOD-14'!$A:$R,I$1-1993,FALSE)-VLOOKUP($A17,'Emprego - WIOD-16'!$A:$R,I$1-1998,FALSE))/VLOOKUP($A17,'Emprego - WIOD-14'!$A:$R,I$1-1993,FALSE)</f>
        <v>7.0533100491492598E-2</v>
      </c>
      <c r="J17" s="6">
        <f>(VLOOKUP($A17,'Emprego - WIOD-14'!$A:$R,J$1-1993,FALSE)-VLOOKUP($A17,'Emprego - WIOD-16'!$A:$R,J$1-1998,FALSE))/VLOOKUP($A17,'Emprego - WIOD-14'!$A:$R,J$1-1993,FALSE)</f>
        <v>6.4558175669150508E-2</v>
      </c>
      <c r="K17" s="6">
        <f>(VLOOKUP($A17,'Emprego - WIOD-14'!$A:$R,K$1-1993,FALSE)-VLOOKUP($A17,'Emprego - WIOD-16'!$A:$R,K$1-1998,FALSE))/VLOOKUP($A17,'Emprego - WIOD-14'!$A:$R,K$1-1993,FALSE)</f>
        <v>5.8770398865849713E-2</v>
      </c>
      <c r="L17" s="6">
        <f>(VLOOKUP($A17,'Emprego - WIOD-14'!$A:$R,L$1-1993,FALSE)-VLOOKUP($A17,'Emprego - WIOD-16'!$A:$R,L$1-1998,FALSE))/VLOOKUP($A17,'Emprego - WIOD-14'!$A:$R,L$1-1993,FALSE)</f>
        <v>8.8265055548496715E-2</v>
      </c>
      <c r="M17" s="6">
        <f>(VLOOKUP($A17,'Emprego - WIOD-14'!$A:$R,M$1-1993,FALSE)-VLOOKUP($A17,'Emprego - WIOD-16'!$A:$R,M$1-1998,FALSE))/VLOOKUP($A17,'Emprego - WIOD-14'!$A:$R,M$1-1993,FALSE)</f>
        <v>0.10691898396764989</v>
      </c>
      <c r="N17" s="5"/>
      <c r="O17" s="5"/>
    </row>
    <row r="18" spans="1:15" x14ac:dyDescent="0.25">
      <c r="A18" t="s">
        <v>16</v>
      </c>
      <c r="B18" s="6">
        <f>(VLOOKUP($A18,'Emprego - WIOD-14'!$A:$R,B$1-1993,FALSE)-VLOOKUP($A18,'Emprego - WIOD-16'!$A:$R,B$1-1998,FALSE))/VLOOKUP($A18,'Emprego - WIOD-14'!$A:$R,B$1-1993,FALSE)</f>
        <v>-1.2457724369587538E-2</v>
      </c>
      <c r="C18" s="6">
        <f>(VLOOKUP($A18,'Emprego - WIOD-14'!$A:$R,C$1-1993,FALSE)-VLOOKUP($A18,'Emprego - WIOD-16'!$A:$R,C$1-1998,FALSE))/VLOOKUP($A18,'Emprego - WIOD-14'!$A:$R,C$1-1993,FALSE)</f>
        <v>-1.5927997994624167E-2</v>
      </c>
      <c r="D18" s="6">
        <f>(VLOOKUP($A18,'Emprego - WIOD-14'!$A:$R,D$1-1993,FALSE)-VLOOKUP($A18,'Emprego - WIOD-16'!$A:$R,D$1-1998,FALSE))/VLOOKUP($A18,'Emprego - WIOD-14'!$A:$R,D$1-1993,FALSE)</f>
        <v>-1.7862110821479621E-2</v>
      </c>
      <c r="E18" s="6">
        <f>(VLOOKUP($A18,'Emprego - WIOD-14'!$A:$R,E$1-1993,FALSE)-VLOOKUP($A18,'Emprego - WIOD-16'!$A:$R,E$1-1998,FALSE))/VLOOKUP($A18,'Emprego - WIOD-14'!$A:$R,E$1-1993,FALSE)</f>
        <v>-1.9895322640250374E-2</v>
      </c>
      <c r="F18" s="6">
        <f>(VLOOKUP($A18,'Emprego - WIOD-14'!$A:$R,F$1-1993,FALSE)-VLOOKUP($A18,'Emprego - WIOD-16'!$A:$R,F$1-1998,FALSE))/VLOOKUP($A18,'Emprego - WIOD-14'!$A:$R,F$1-1993,FALSE)</f>
        <v>-1.9859132248091313E-2</v>
      </c>
      <c r="G18" s="6">
        <f>(VLOOKUP($A18,'Emprego - WIOD-14'!$A:$R,G$1-1993,FALSE)-VLOOKUP($A18,'Emprego - WIOD-16'!$A:$R,G$1-1998,FALSE))/VLOOKUP($A18,'Emprego - WIOD-14'!$A:$R,G$1-1993,FALSE)</f>
        <v>-2.144310169140275E-2</v>
      </c>
      <c r="H18" s="6">
        <f>(VLOOKUP($A18,'Emprego - WIOD-14'!$A:$R,H$1-1993,FALSE)-VLOOKUP($A18,'Emprego - WIOD-16'!$A:$R,H$1-1998,FALSE))/VLOOKUP($A18,'Emprego - WIOD-14'!$A:$R,H$1-1993,FALSE)</f>
        <v>-6.4871591688694923E-3</v>
      </c>
      <c r="I18" s="6">
        <f>(VLOOKUP($A18,'Emprego - WIOD-14'!$A:$R,I$1-1993,FALSE)-VLOOKUP($A18,'Emprego - WIOD-16'!$A:$R,I$1-1998,FALSE))/VLOOKUP($A18,'Emprego - WIOD-14'!$A:$R,I$1-1993,FALSE)</f>
        <v>-2.6064862324171661E-3</v>
      </c>
      <c r="J18" s="6">
        <f>(VLOOKUP($A18,'Emprego - WIOD-14'!$A:$R,J$1-1993,FALSE)-VLOOKUP($A18,'Emprego - WIOD-16'!$A:$R,J$1-1998,FALSE))/VLOOKUP($A18,'Emprego - WIOD-14'!$A:$R,J$1-1993,FALSE)</f>
        <v>1.8261523283023308E-2</v>
      </c>
      <c r="K18" s="6">
        <f>(VLOOKUP($A18,'Emprego - WIOD-14'!$A:$R,K$1-1993,FALSE)-VLOOKUP($A18,'Emprego - WIOD-16'!$A:$R,K$1-1998,FALSE))/VLOOKUP($A18,'Emprego - WIOD-14'!$A:$R,K$1-1993,FALSE)</f>
        <v>4.0868014815292793E-2</v>
      </c>
      <c r="L18" s="6">
        <f>(VLOOKUP($A18,'Emprego - WIOD-14'!$A:$R,L$1-1993,FALSE)-VLOOKUP($A18,'Emprego - WIOD-16'!$A:$R,L$1-1998,FALSE))/VLOOKUP($A18,'Emprego - WIOD-14'!$A:$R,L$1-1993,FALSE)</f>
        <v>9.9346946263632288E-2</v>
      </c>
      <c r="M18" s="6">
        <f>(VLOOKUP($A18,'Emprego - WIOD-14'!$A:$R,M$1-1993,FALSE)-VLOOKUP($A18,'Emprego - WIOD-16'!$A:$R,M$1-1998,FALSE))/VLOOKUP($A18,'Emprego - WIOD-14'!$A:$R,M$1-1993,FALSE)</f>
        <v>0.1546245959975561</v>
      </c>
      <c r="N18" s="5"/>
      <c r="O18" s="5"/>
    </row>
    <row r="19" spans="1:15" x14ac:dyDescent="0.25">
      <c r="A19" t="s">
        <v>17</v>
      </c>
      <c r="B19" s="6">
        <f>(VLOOKUP($A19,'Emprego - WIOD-14'!$A:$R,B$1-1993,FALSE)-VLOOKUP($A19,'Emprego - WIOD-16'!$A:$R,B$1-1998,FALSE))/VLOOKUP($A19,'Emprego - WIOD-14'!$A:$R,B$1-1993,FALSE)</f>
        <v>3.1307884707367623E-3</v>
      </c>
      <c r="C19" s="6">
        <f>(VLOOKUP($A19,'Emprego - WIOD-14'!$A:$R,C$1-1993,FALSE)-VLOOKUP($A19,'Emprego - WIOD-16'!$A:$R,C$1-1998,FALSE))/VLOOKUP($A19,'Emprego - WIOD-14'!$A:$R,C$1-1993,FALSE)</f>
        <v>3.0910016405038962E-4</v>
      </c>
      <c r="D19" s="6">
        <f>(VLOOKUP($A19,'Emprego - WIOD-14'!$A:$R,D$1-1993,FALSE)-VLOOKUP($A19,'Emprego - WIOD-16'!$A:$R,D$1-1998,FALSE))/VLOOKUP($A19,'Emprego - WIOD-14'!$A:$R,D$1-1993,FALSE)</f>
        <v>-7.7349371746500786E-4</v>
      </c>
      <c r="E19" s="6">
        <f>(VLOOKUP($A19,'Emprego - WIOD-14'!$A:$R,E$1-1993,FALSE)-VLOOKUP($A19,'Emprego - WIOD-16'!$A:$R,E$1-1998,FALSE))/VLOOKUP($A19,'Emprego - WIOD-14'!$A:$R,E$1-1993,FALSE)</f>
        <v>-4.992028133272484E-5</v>
      </c>
      <c r="F19" s="6">
        <f>(VLOOKUP($A19,'Emprego - WIOD-14'!$A:$R,F$1-1993,FALSE)-VLOOKUP($A19,'Emprego - WIOD-16'!$A:$R,F$1-1998,FALSE))/VLOOKUP($A19,'Emprego - WIOD-14'!$A:$R,F$1-1993,FALSE)</f>
        <v>-4.9049377269255335E-3</v>
      </c>
      <c r="G19" s="6">
        <f>(VLOOKUP($A19,'Emprego - WIOD-14'!$A:$R,G$1-1993,FALSE)-VLOOKUP($A19,'Emprego - WIOD-16'!$A:$R,G$1-1998,FALSE))/VLOOKUP($A19,'Emprego - WIOD-14'!$A:$R,G$1-1993,FALSE)</f>
        <v>-4.4089476395660562E-3</v>
      </c>
      <c r="H19" s="6">
        <f>(VLOOKUP($A19,'Emprego - WIOD-14'!$A:$R,H$1-1993,FALSE)-VLOOKUP($A19,'Emprego - WIOD-16'!$A:$R,H$1-1998,FALSE))/VLOOKUP($A19,'Emprego - WIOD-14'!$A:$R,H$1-1993,FALSE)</f>
        <v>-2.5428084054969747E-3</v>
      </c>
      <c r="I19" s="6">
        <f>(VLOOKUP($A19,'Emprego - WIOD-14'!$A:$R,I$1-1993,FALSE)-VLOOKUP($A19,'Emprego - WIOD-16'!$A:$R,I$1-1998,FALSE))/VLOOKUP($A19,'Emprego - WIOD-14'!$A:$R,I$1-1993,FALSE)</f>
        <v>-6.9603520425074962E-3</v>
      </c>
      <c r="J19" s="6">
        <f>(VLOOKUP($A19,'Emprego - WIOD-14'!$A:$R,J$1-1993,FALSE)-VLOOKUP($A19,'Emprego - WIOD-16'!$A:$R,J$1-1998,FALSE))/VLOOKUP($A19,'Emprego - WIOD-14'!$A:$R,J$1-1993,FALSE)</f>
        <v>-1.1509482431182119E-2</v>
      </c>
      <c r="K19" s="6">
        <f>(VLOOKUP($A19,'Emprego - WIOD-14'!$A:$R,K$1-1993,FALSE)-VLOOKUP($A19,'Emprego - WIOD-16'!$A:$R,K$1-1998,FALSE))/VLOOKUP($A19,'Emprego - WIOD-14'!$A:$R,K$1-1993,FALSE)</f>
        <v>-1.3907059117570054E-2</v>
      </c>
      <c r="L19" s="6">
        <f>(VLOOKUP($A19,'Emprego - WIOD-14'!$A:$R,L$1-1993,FALSE)-VLOOKUP($A19,'Emprego - WIOD-16'!$A:$R,L$1-1998,FALSE))/VLOOKUP($A19,'Emprego - WIOD-14'!$A:$R,L$1-1993,FALSE)</f>
        <v>2.1360603497843178E-3</v>
      </c>
      <c r="M19" s="6">
        <f>(VLOOKUP($A19,'Emprego - WIOD-14'!$A:$R,M$1-1993,FALSE)-VLOOKUP($A19,'Emprego - WIOD-16'!$A:$R,M$1-1998,FALSE))/VLOOKUP($A19,'Emprego - WIOD-14'!$A:$R,M$1-1993,FALSE)</f>
        <v>4.7554351829731953E-3</v>
      </c>
      <c r="N19" s="5"/>
      <c r="O19" s="5"/>
    </row>
    <row r="20" spans="1:15" x14ac:dyDescent="0.25">
      <c r="A20" t="s">
        <v>18</v>
      </c>
      <c r="B20" s="6">
        <f>(VLOOKUP($A20,'Emprego - WIOD-14'!$A:$R,B$1-1993,FALSE)-VLOOKUP($A20,'Emprego - WIOD-16'!$A:$R,B$1-1998,FALSE))/VLOOKUP($A20,'Emprego - WIOD-14'!$A:$R,B$1-1993,FALSE)</f>
        <v>-3.8079991276557132E-2</v>
      </c>
      <c r="C20" s="6">
        <f>(VLOOKUP($A20,'Emprego - WIOD-14'!$A:$R,C$1-1993,FALSE)-VLOOKUP($A20,'Emprego - WIOD-16'!$A:$R,C$1-1998,FALSE))/VLOOKUP($A20,'Emprego - WIOD-14'!$A:$R,C$1-1993,FALSE)</f>
        <v>-6.3614217256117503E-2</v>
      </c>
      <c r="D20" s="6">
        <f>(VLOOKUP($A20,'Emprego - WIOD-14'!$A:$R,D$1-1993,FALSE)-VLOOKUP($A20,'Emprego - WIOD-16'!$A:$R,D$1-1998,FALSE))/VLOOKUP($A20,'Emprego - WIOD-14'!$A:$R,D$1-1993,FALSE)</f>
        <v>-7.0200196854542804E-2</v>
      </c>
      <c r="E20" s="6">
        <f>(VLOOKUP($A20,'Emprego - WIOD-14'!$A:$R,E$1-1993,FALSE)-VLOOKUP($A20,'Emprego - WIOD-16'!$A:$R,E$1-1998,FALSE))/VLOOKUP($A20,'Emprego - WIOD-14'!$A:$R,E$1-1993,FALSE)</f>
        <v>-9.9786050928362097E-2</v>
      </c>
      <c r="F20" s="6">
        <f>(VLOOKUP($A20,'Emprego - WIOD-14'!$A:$R,F$1-1993,FALSE)-VLOOKUP($A20,'Emprego - WIOD-16'!$A:$R,F$1-1998,FALSE))/VLOOKUP($A20,'Emprego - WIOD-14'!$A:$R,F$1-1993,FALSE)</f>
        <v>-0.10530426856449822</v>
      </c>
      <c r="G20" s="6">
        <f>(VLOOKUP($A20,'Emprego - WIOD-14'!$A:$R,G$1-1993,FALSE)-VLOOKUP($A20,'Emprego - WIOD-16'!$A:$R,G$1-1998,FALSE))/VLOOKUP($A20,'Emprego - WIOD-14'!$A:$R,G$1-1993,FALSE)</f>
        <v>-0.11313973586567613</v>
      </c>
      <c r="H20" s="6">
        <f>(VLOOKUP($A20,'Emprego - WIOD-14'!$A:$R,H$1-1993,FALSE)-VLOOKUP($A20,'Emprego - WIOD-16'!$A:$R,H$1-1998,FALSE))/VLOOKUP($A20,'Emprego - WIOD-14'!$A:$R,H$1-1993,FALSE)</f>
        <v>-0.10963811208995712</v>
      </c>
      <c r="I20" s="6">
        <f>(VLOOKUP($A20,'Emprego - WIOD-14'!$A:$R,I$1-1993,FALSE)-VLOOKUP($A20,'Emprego - WIOD-16'!$A:$R,I$1-1998,FALSE))/VLOOKUP($A20,'Emprego - WIOD-14'!$A:$R,I$1-1993,FALSE)</f>
        <v>-9.7044561195556753E-2</v>
      </c>
      <c r="J20" s="6">
        <f>(VLOOKUP($A20,'Emprego - WIOD-14'!$A:$R,J$1-1993,FALSE)-VLOOKUP($A20,'Emprego - WIOD-16'!$A:$R,J$1-1998,FALSE))/VLOOKUP($A20,'Emprego - WIOD-14'!$A:$R,J$1-1993,FALSE)</f>
        <v>-8.9085839021741942E-2</v>
      </c>
      <c r="K20" s="6">
        <f>(VLOOKUP($A20,'Emprego - WIOD-14'!$A:$R,K$1-1993,FALSE)-VLOOKUP($A20,'Emprego - WIOD-16'!$A:$R,K$1-1998,FALSE))/VLOOKUP($A20,'Emprego - WIOD-14'!$A:$R,K$1-1993,FALSE)</f>
        <v>-8.298842728957613E-2</v>
      </c>
      <c r="L20" s="6">
        <f>(VLOOKUP($A20,'Emprego - WIOD-14'!$A:$R,L$1-1993,FALSE)-VLOOKUP($A20,'Emprego - WIOD-16'!$A:$R,L$1-1998,FALSE))/VLOOKUP($A20,'Emprego - WIOD-14'!$A:$R,L$1-1993,FALSE)</f>
        <v>-8.9825856666417875E-2</v>
      </c>
      <c r="M20" s="6">
        <f>(VLOOKUP($A20,'Emprego - WIOD-14'!$A:$R,M$1-1993,FALSE)-VLOOKUP($A20,'Emprego - WIOD-16'!$A:$R,M$1-1998,FALSE))/VLOOKUP($A20,'Emprego - WIOD-14'!$A:$R,M$1-1993,FALSE)</f>
        <v>-7.7927119696566807E-2</v>
      </c>
      <c r="N20" s="5"/>
      <c r="O20" s="5"/>
    </row>
    <row r="21" spans="1:15" x14ac:dyDescent="0.25">
      <c r="A21" t="s">
        <v>19</v>
      </c>
      <c r="B21" s="6">
        <f>(VLOOKUP($A21,'Emprego - WIOD-14'!$A:$R,B$1-1993,FALSE)-VLOOKUP($A21,'Emprego - WIOD-16'!$A:$R,B$1-1998,FALSE))/VLOOKUP($A21,'Emprego - WIOD-14'!$A:$R,B$1-1993,FALSE)</f>
        <v>1.63590527472544E-2</v>
      </c>
      <c r="C21" s="6">
        <f>(VLOOKUP($A21,'Emprego - WIOD-14'!$A:$R,C$1-1993,FALSE)-VLOOKUP($A21,'Emprego - WIOD-16'!$A:$R,C$1-1998,FALSE))/VLOOKUP($A21,'Emprego - WIOD-14'!$A:$R,C$1-1993,FALSE)</f>
        <v>2.6534499371751952E-2</v>
      </c>
      <c r="D21" s="6">
        <f>(VLOOKUP($A21,'Emprego - WIOD-14'!$A:$R,D$1-1993,FALSE)-VLOOKUP($A21,'Emprego - WIOD-16'!$A:$R,D$1-1998,FALSE))/VLOOKUP($A21,'Emprego - WIOD-14'!$A:$R,D$1-1993,FALSE)</f>
        <v>-1.8640698459839771E-2</v>
      </c>
      <c r="E21" s="6">
        <f>(VLOOKUP($A21,'Emprego - WIOD-14'!$A:$R,E$1-1993,FALSE)-VLOOKUP($A21,'Emprego - WIOD-16'!$A:$R,E$1-1998,FALSE))/VLOOKUP($A21,'Emprego - WIOD-14'!$A:$R,E$1-1993,FALSE)</f>
        <v>1.0491696676362431E-2</v>
      </c>
      <c r="F21" s="6">
        <f>(VLOOKUP($A21,'Emprego - WIOD-14'!$A:$R,F$1-1993,FALSE)-VLOOKUP($A21,'Emprego - WIOD-16'!$A:$R,F$1-1998,FALSE))/VLOOKUP($A21,'Emprego - WIOD-14'!$A:$R,F$1-1993,FALSE)</f>
        <v>-4.3101149171987913E-5</v>
      </c>
      <c r="G21" s="6">
        <f>(VLOOKUP($A21,'Emprego - WIOD-14'!$A:$R,G$1-1993,FALSE)-VLOOKUP($A21,'Emprego - WIOD-16'!$A:$R,G$1-1998,FALSE))/VLOOKUP($A21,'Emprego - WIOD-14'!$A:$R,G$1-1993,FALSE)</f>
        <v>2.0301241661247239E-2</v>
      </c>
      <c r="H21" s="6">
        <f>(VLOOKUP($A21,'Emprego - WIOD-14'!$A:$R,H$1-1993,FALSE)-VLOOKUP($A21,'Emprego - WIOD-16'!$A:$R,H$1-1998,FALSE))/VLOOKUP($A21,'Emprego - WIOD-14'!$A:$R,H$1-1993,FALSE)</f>
        <v>2.5855502496727686E-2</v>
      </c>
      <c r="I21" s="6">
        <f>(VLOOKUP($A21,'Emprego - WIOD-14'!$A:$R,I$1-1993,FALSE)-VLOOKUP($A21,'Emprego - WIOD-16'!$A:$R,I$1-1998,FALSE))/VLOOKUP($A21,'Emprego - WIOD-14'!$A:$R,I$1-1993,FALSE)</f>
        <v>7.9538694907740773E-4</v>
      </c>
      <c r="J21" s="6">
        <f>(VLOOKUP($A21,'Emprego - WIOD-14'!$A:$R,J$1-1993,FALSE)-VLOOKUP($A21,'Emprego - WIOD-16'!$A:$R,J$1-1998,FALSE))/VLOOKUP($A21,'Emprego - WIOD-14'!$A:$R,J$1-1993,FALSE)</f>
        <v>6.9066042225868884E-3</v>
      </c>
      <c r="K21" s="6">
        <f>(VLOOKUP($A21,'Emprego - WIOD-14'!$A:$R,K$1-1993,FALSE)-VLOOKUP($A21,'Emprego - WIOD-16'!$A:$R,K$1-1998,FALSE))/VLOOKUP($A21,'Emprego - WIOD-14'!$A:$R,K$1-1993,FALSE)</f>
        <v>9.0316854921247882E-3</v>
      </c>
      <c r="L21" s="6">
        <f>(VLOOKUP($A21,'Emprego - WIOD-14'!$A:$R,L$1-1993,FALSE)-VLOOKUP($A21,'Emprego - WIOD-16'!$A:$R,L$1-1998,FALSE))/VLOOKUP($A21,'Emprego - WIOD-14'!$A:$R,L$1-1993,FALSE)</f>
        <v>1.877057657911315E-2</v>
      </c>
      <c r="M21" s="6">
        <f>(VLOOKUP($A21,'Emprego - WIOD-14'!$A:$R,M$1-1993,FALSE)-VLOOKUP($A21,'Emprego - WIOD-16'!$A:$R,M$1-1998,FALSE))/VLOOKUP($A21,'Emprego - WIOD-14'!$A:$R,M$1-1993,FALSE)</f>
        <v>1.3592173227383347E-2</v>
      </c>
      <c r="N21" s="5"/>
      <c r="O21" s="5"/>
    </row>
    <row r="22" spans="1:15" x14ac:dyDescent="0.25">
      <c r="A22" t="s">
        <v>20</v>
      </c>
      <c r="B22" s="6">
        <f>(VLOOKUP($A22,'Emprego - WIOD-14'!$A:$R,B$1-1993,FALSE)-VLOOKUP($A22,'Emprego - WIOD-16'!$A:$R,B$1-1998,FALSE))/VLOOKUP($A22,'Emprego - WIOD-14'!$A:$R,B$1-1993,FALSE)</f>
        <v>-8.6597126549887646E-3</v>
      </c>
      <c r="C22" s="6">
        <f>(VLOOKUP($A22,'Emprego - WIOD-14'!$A:$R,C$1-1993,FALSE)-VLOOKUP($A22,'Emprego - WIOD-16'!$A:$R,C$1-1998,FALSE))/VLOOKUP($A22,'Emprego - WIOD-14'!$A:$R,C$1-1993,FALSE)</f>
        <v>-8.7571765599651682E-3</v>
      </c>
      <c r="D22" s="6">
        <f>(VLOOKUP($A22,'Emprego - WIOD-14'!$A:$R,D$1-1993,FALSE)-VLOOKUP($A22,'Emprego - WIOD-16'!$A:$R,D$1-1998,FALSE))/VLOOKUP($A22,'Emprego - WIOD-14'!$A:$R,D$1-1993,FALSE)</f>
        <v>-7.0171001419157223E-3</v>
      </c>
      <c r="E22" s="6">
        <f>(VLOOKUP($A22,'Emprego - WIOD-14'!$A:$R,E$1-1993,FALSE)-VLOOKUP($A22,'Emprego - WIOD-16'!$A:$R,E$1-1998,FALSE))/VLOOKUP($A22,'Emprego - WIOD-14'!$A:$R,E$1-1993,FALSE)</f>
        <v>-6.0843542813683177E-3</v>
      </c>
      <c r="F22" s="6">
        <f>(VLOOKUP($A22,'Emprego - WIOD-14'!$A:$R,F$1-1993,FALSE)-VLOOKUP($A22,'Emprego - WIOD-16'!$A:$R,F$1-1998,FALSE))/VLOOKUP($A22,'Emprego - WIOD-14'!$A:$R,F$1-1993,FALSE)</f>
        <v>-9.4963878016002482E-3</v>
      </c>
      <c r="G22" s="6">
        <f>(VLOOKUP($A22,'Emprego - WIOD-14'!$A:$R,G$1-1993,FALSE)-VLOOKUP($A22,'Emprego - WIOD-16'!$A:$R,G$1-1998,FALSE))/VLOOKUP($A22,'Emprego - WIOD-14'!$A:$R,G$1-1993,FALSE)</f>
        <v>-8.2374673546085752E-3</v>
      </c>
      <c r="H22" s="6">
        <f>(VLOOKUP($A22,'Emprego - WIOD-14'!$A:$R,H$1-1993,FALSE)-VLOOKUP($A22,'Emprego - WIOD-16'!$A:$R,H$1-1998,FALSE))/VLOOKUP($A22,'Emprego - WIOD-14'!$A:$R,H$1-1993,FALSE)</f>
        <v>-1.1495892021932236E-2</v>
      </c>
      <c r="I22" s="6">
        <f>(VLOOKUP($A22,'Emprego - WIOD-14'!$A:$R,I$1-1993,FALSE)-VLOOKUP($A22,'Emprego - WIOD-16'!$A:$R,I$1-1998,FALSE))/VLOOKUP($A22,'Emprego - WIOD-14'!$A:$R,I$1-1993,FALSE)</f>
        <v>-1.8821461308091314E-2</v>
      </c>
      <c r="J22" s="6">
        <f>(VLOOKUP($A22,'Emprego - WIOD-14'!$A:$R,J$1-1993,FALSE)-VLOOKUP($A22,'Emprego - WIOD-16'!$A:$R,J$1-1998,FALSE))/VLOOKUP($A22,'Emprego - WIOD-14'!$A:$R,J$1-1993,FALSE)</f>
        <v>1.3807270823401675E-2</v>
      </c>
      <c r="K22" s="6">
        <f>(VLOOKUP($A22,'Emprego - WIOD-14'!$A:$R,K$1-1993,FALSE)-VLOOKUP($A22,'Emprego - WIOD-16'!$A:$R,K$1-1998,FALSE))/VLOOKUP($A22,'Emprego - WIOD-14'!$A:$R,K$1-1993,FALSE)</f>
        <v>1.530382201349968E-2</v>
      </c>
      <c r="L22" s="6">
        <f>(VLOOKUP($A22,'Emprego - WIOD-14'!$A:$R,L$1-1993,FALSE)-VLOOKUP($A22,'Emprego - WIOD-16'!$A:$R,L$1-1998,FALSE))/VLOOKUP($A22,'Emprego - WIOD-14'!$A:$R,L$1-1993,FALSE)</f>
        <v>3.861000997225085E-2</v>
      </c>
      <c r="M22" s="6">
        <f>(VLOOKUP($A22,'Emprego - WIOD-14'!$A:$R,M$1-1993,FALSE)-VLOOKUP($A22,'Emprego - WIOD-16'!$A:$R,M$1-1998,FALSE))/VLOOKUP($A22,'Emprego - WIOD-14'!$A:$R,M$1-1993,FALSE)</f>
        <v>2.4138895642612606E-2</v>
      </c>
      <c r="N22" s="5"/>
      <c r="O22" s="5"/>
    </row>
    <row r="23" spans="1:15" x14ac:dyDescent="0.25">
      <c r="A23" t="s">
        <v>21</v>
      </c>
      <c r="B23" s="6">
        <f>(VLOOKUP($A23,'Emprego - WIOD-14'!$A:$R,B$1-1993,FALSE)-VLOOKUP($A23,'Emprego - WIOD-16'!$A:$R,B$1-1998,FALSE))/VLOOKUP($A23,'Emprego - WIOD-14'!$A:$R,B$1-1993,FALSE)</f>
        <v>-3.977304939794965E-3</v>
      </c>
      <c r="C23" s="6">
        <f>(VLOOKUP($A23,'Emprego - WIOD-14'!$A:$R,C$1-1993,FALSE)-VLOOKUP($A23,'Emprego - WIOD-16'!$A:$R,C$1-1998,FALSE))/VLOOKUP($A23,'Emprego - WIOD-14'!$A:$R,C$1-1993,FALSE)</f>
        <v>-3.4281219772298974E-3</v>
      </c>
      <c r="D23" s="6">
        <f>(VLOOKUP($A23,'Emprego - WIOD-14'!$A:$R,D$1-1993,FALSE)-VLOOKUP($A23,'Emprego - WIOD-16'!$A:$R,D$1-1998,FALSE))/VLOOKUP($A23,'Emprego - WIOD-14'!$A:$R,D$1-1993,FALSE)</f>
        <v>-3.1227540757611466E-3</v>
      </c>
      <c r="E23" s="6">
        <f>(VLOOKUP($A23,'Emprego - WIOD-14'!$A:$R,E$1-1993,FALSE)-VLOOKUP($A23,'Emprego - WIOD-16'!$A:$R,E$1-1998,FALSE))/VLOOKUP($A23,'Emprego - WIOD-14'!$A:$R,E$1-1993,FALSE)</f>
        <v>-2.828204193858284E-3</v>
      </c>
      <c r="F23" s="6">
        <f>(VLOOKUP($A23,'Emprego - WIOD-14'!$A:$R,F$1-1993,FALSE)-VLOOKUP($A23,'Emprego - WIOD-16'!$A:$R,F$1-1998,FALSE))/VLOOKUP($A23,'Emprego - WIOD-14'!$A:$R,F$1-1993,FALSE)</f>
        <v>-4.4731016115536907E-3</v>
      </c>
      <c r="G23" s="6">
        <f>(VLOOKUP($A23,'Emprego - WIOD-14'!$A:$R,G$1-1993,FALSE)-VLOOKUP($A23,'Emprego - WIOD-16'!$A:$R,G$1-1998,FALSE))/VLOOKUP($A23,'Emprego - WIOD-14'!$A:$R,G$1-1993,FALSE)</f>
        <v>-4.3245148755116647E-3</v>
      </c>
      <c r="H23" s="6">
        <f>(VLOOKUP($A23,'Emprego - WIOD-14'!$A:$R,H$1-1993,FALSE)-VLOOKUP($A23,'Emprego - WIOD-16'!$A:$R,H$1-1998,FALSE))/VLOOKUP($A23,'Emprego - WIOD-14'!$A:$R,H$1-1993,FALSE)</f>
        <v>-4.4102098166364321E-3</v>
      </c>
      <c r="I23" s="6">
        <f>(VLOOKUP($A23,'Emprego - WIOD-14'!$A:$R,I$1-1993,FALSE)-VLOOKUP($A23,'Emprego - WIOD-16'!$A:$R,I$1-1998,FALSE))/VLOOKUP($A23,'Emprego - WIOD-14'!$A:$R,I$1-1993,FALSE)</f>
        <v>-4.2480714946457948E-3</v>
      </c>
      <c r="J23" s="6">
        <f>(VLOOKUP($A23,'Emprego - WIOD-14'!$A:$R,J$1-1993,FALSE)-VLOOKUP($A23,'Emprego - WIOD-16'!$A:$R,J$1-1998,FALSE))/VLOOKUP($A23,'Emprego - WIOD-14'!$A:$R,J$1-1993,FALSE)</f>
        <v>-2.8271694960600355E-3</v>
      </c>
      <c r="K23" s="6">
        <f>(VLOOKUP($A23,'Emprego - WIOD-14'!$A:$R,K$1-1993,FALSE)-VLOOKUP($A23,'Emprego - WIOD-16'!$A:$R,K$1-1998,FALSE))/VLOOKUP($A23,'Emprego - WIOD-14'!$A:$R,K$1-1993,FALSE)</f>
        <v>6.1131094241448072E-3</v>
      </c>
      <c r="L23" s="6">
        <f>(VLOOKUP($A23,'Emprego - WIOD-14'!$A:$R,L$1-1993,FALSE)-VLOOKUP($A23,'Emprego - WIOD-16'!$A:$R,L$1-1998,FALSE))/VLOOKUP($A23,'Emprego - WIOD-14'!$A:$R,L$1-1993,FALSE)</f>
        <v>2.9182329313981225E-3</v>
      </c>
      <c r="M23" s="6">
        <f>(VLOOKUP($A23,'Emprego - WIOD-14'!$A:$R,M$1-1993,FALSE)-VLOOKUP($A23,'Emprego - WIOD-16'!$A:$R,M$1-1998,FALSE))/VLOOKUP($A23,'Emprego - WIOD-14'!$A:$R,M$1-1993,FALSE)</f>
        <v>1.0095193438492625E-2</v>
      </c>
      <c r="N23" s="5"/>
      <c r="O23" s="5"/>
    </row>
    <row r="24" spans="1:15" x14ac:dyDescent="0.25">
      <c r="A24" t="s">
        <v>22</v>
      </c>
      <c r="B24" s="6">
        <f>(VLOOKUP($A24,'Emprego - WIOD-14'!$A:$R,B$1-1993,FALSE)-VLOOKUP($A24,'Emprego - WIOD-16'!$A:$R,B$1-1998,FALSE))/VLOOKUP($A24,'Emprego - WIOD-14'!$A:$R,B$1-1993,FALSE)</f>
        <v>3.9504380401641146E-6</v>
      </c>
      <c r="C24" s="6">
        <f>(VLOOKUP($A24,'Emprego - WIOD-14'!$A:$R,C$1-1993,FALSE)-VLOOKUP($A24,'Emprego - WIOD-16'!$A:$R,C$1-1998,FALSE))/VLOOKUP($A24,'Emprego - WIOD-14'!$A:$R,C$1-1993,FALSE)</f>
        <v>-6.9189264838980857E-6</v>
      </c>
      <c r="D24" s="6">
        <f>(VLOOKUP($A24,'Emprego - WIOD-14'!$A:$R,D$1-1993,FALSE)-VLOOKUP($A24,'Emprego - WIOD-16'!$A:$R,D$1-1998,FALSE))/VLOOKUP($A24,'Emprego - WIOD-14'!$A:$R,D$1-1993,FALSE)</f>
        <v>1.2153220551712121E-6</v>
      </c>
      <c r="E24" s="6">
        <f>(VLOOKUP($A24,'Emprego - WIOD-14'!$A:$R,E$1-1993,FALSE)-VLOOKUP($A24,'Emprego - WIOD-16'!$A:$R,E$1-1998,FALSE))/VLOOKUP($A24,'Emprego - WIOD-14'!$A:$R,E$1-1993,FALSE)</f>
        <v>5.6762450720222922E-6</v>
      </c>
      <c r="F24" s="6">
        <f>(VLOOKUP($A24,'Emprego - WIOD-14'!$A:$R,F$1-1993,FALSE)-VLOOKUP($A24,'Emprego - WIOD-16'!$A:$R,F$1-1998,FALSE))/VLOOKUP($A24,'Emprego - WIOD-14'!$A:$R,F$1-1993,FALSE)</f>
        <v>7.7608104332099281E-6</v>
      </c>
      <c r="G24" s="6">
        <f>(VLOOKUP($A24,'Emprego - WIOD-14'!$A:$R,G$1-1993,FALSE)-VLOOKUP($A24,'Emprego - WIOD-16'!$A:$R,G$1-1998,FALSE))/VLOOKUP($A24,'Emprego - WIOD-14'!$A:$R,G$1-1993,FALSE)</f>
        <v>1.7729878016647713E-6</v>
      </c>
      <c r="H24" s="6">
        <f>(VLOOKUP($A24,'Emprego - WIOD-14'!$A:$R,H$1-1993,FALSE)-VLOOKUP($A24,'Emprego - WIOD-16'!$A:$R,H$1-1998,FALSE))/VLOOKUP($A24,'Emprego - WIOD-14'!$A:$R,H$1-1993,FALSE)</f>
        <v>-3.8311410752663525E-6</v>
      </c>
      <c r="I24" s="6">
        <f>(VLOOKUP($A24,'Emprego - WIOD-14'!$A:$R,I$1-1993,FALSE)-VLOOKUP($A24,'Emprego - WIOD-16'!$A:$R,I$1-1998,FALSE))/VLOOKUP($A24,'Emprego - WIOD-14'!$A:$R,I$1-1993,FALSE)</f>
        <v>8.4323288994905672E-6</v>
      </c>
      <c r="J24" s="6">
        <f>(VLOOKUP($A24,'Emprego - WIOD-14'!$A:$R,J$1-1993,FALSE)-VLOOKUP($A24,'Emprego - WIOD-16'!$A:$R,J$1-1998,FALSE))/VLOOKUP($A24,'Emprego - WIOD-14'!$A:$R,J$1-1993,FALSE)</f>
        <v>-1.8472359118957941E-2</v>
      </c>
      <c r="K24" s="6">
        <f>(VLOOKUP($A24,'Emprego - WIOD-14'!$A:$R,K$1-1993,FALSE)-VLOOKUP($A24,'Emprego - WIOD-16'!$A:$R,K$1-1998,FALSE))/VLOOKUP($A24,'Emprego - WIOD-14'!$A:$R,K$1-1993,FALSE)</f>
        <v>-8.8511346338578531E-2</v>
      </c>
      <c r="L24" s="6">
        <f>(VLOOKUP($A24,'Emprego - WIOD-14'!$A:$R,L$1-1993,FALSE)-VLOOKUP($A24,'Emprego - WIOD-16'!$A:$R,L$1-1998,FALSE))/VLOOKUP($A24,'Emprego - WIOD-14'!$A:$R,L$1-1993,FALSE)</f>
        <v>-9.0536497667529733E-2</v>
      </c>
      <c r="M24" s="6">
        <f>(VLOOKUP($A24,'Emprego - WIOD-14'!$A:$R,M$1-1993,FALSE)-VLOOKUP($A24,'Emprego - WIOD-16'!$A:$R,M$1-1998,FALSE))/VLOOKUP($A24,'Emprego - WIOD-14'!$A:$R,M$1-1993,FALSE)</f>
        <v>-8.7757274676809716E-2</v>
      </c>
      <c r="N24" s="5"/>
      <c r="O24" s="5"/>
    </row>
    <row r="25" spans="1:15" x14ac:dyDescent="0.25">
      <c r="A25" t="s">
        <v>23</v>
      </c>
      <c r="B25" s="6">
        <f>(VLOOKUP($A25,'Emprego - WIOD-14'!$A:$R,B$1-1993,FALSE)-VLOOKUP($A25,'Emprego - WIOD-16'!$A:$R,B$1-1998,FALSE))/VLOOKUP($A25,'Emprego - WIOD-14'!$A:$R,B$1-1993,FALSE)</f>
        <v>0.13854504163512477</v>
      </c>
      <c r="C25" s="6">
        <f>(VLOOKUP($A25,'Emprego - WIOD-14'!$A:$R,C$1-1993,FALSE)-VLOOKUP($A25,'Emprego - WIOD-16'!$A:$R,C$1-1998,FALSE))/VLOOKUP($A25,'Emprego - WIOD-14'!$A:$R,C$1-1993,FALSE)</f>
        <v>0.13492081458458988</v>
      </c>
      <c r="D25" s="6">
        <f>(VLOOKUP($A25,'Emprego - WIOD-14'!$A:$R,D$1-1993,FALSE)-VLOOKUP($A25,'Emprego - WIOD-16'!$A:$R,D$1-1998,FALSE))/VLOOKUP($A25,'Emprego - WIOD-14'!$A:$R,D$1-1993,FALSE)</f>
        <v>0.12836055435175153</v>
      </c>
      <c r="E25" s="6">
        <f>(VLOOKUP($A25,'Emprego - WIOD-14'!$A:$R,E$1-1993,FALSE)-VLOOKUP($A25,'Emprego - WIOD-16'!$A:$R,E$1-1998,FALSE))/VLOOKUP($A25,'Emprego - WIOD-14'!$A:$R,E$1-1993,FALSE)</f>
        <v>0.11620712574038053</v>
      </c>
      <c r="F25" s="6">
        <f>(VLOOKUP($A25,'Emprego - WIOD-14'!$A:$R,F$1-1993,FALSE)-VLOOKUP($A25,'Emprego - WIOD-16'!$A:$R,F$1-1998,FALSE))/VLOOKUP($A25,'Emprego - WIOD-14'!$A:$R,F$1-1993,FALSE)</f>
        <v>0.10951832786012214</v>
      </c>
      <c r="G25" s="6">
        <f>(VLOOKUP($A25,'Emprego - WIOD-14'!$A:$R,G$1-1993,FALSE)-VLOOKUP($A25,'Emprego - WIOD-16'!$A:$R,G$1-1998,FALSE))/VLOOKUP($A25,'Emprego - WIOD-14'!$A:$R,G$1-1993,FALSE)</f>
        <v>0.10446281208935609</v>
      </c>
      <c r="H25" s="6">
        <f>(VLOOKUP($A25,'Emprego - WIOD-14'!$A:$R,H$1-1993,FALSE)-VLOOKUP($A25,'Emprego - WIOD-16'!$A:$R,H$1-1998,FALSE))/VLOOKUP($A25,'Emprego - WIOD-14'!$A:$R,H$1-1993,FALSE)</f>
        <v>9.9057018112652453E-2</v>
      </c>
      <c r="I25" s="6">
        <f>(VLOOKUP($A25,'Emprego - WIOD-14'!$A:$R,I$1-1993,FALSE)-VLOOKUP($A25,'Emprego - WIOD-16'!$A:$R,I$1-1998,FALSE))/VLOOKUP($A25,'Emprego - WIOD-14'!$A:$R,I$1-1993,FALSE)</f>
        <v>9.6472884106243703E-2</v>
      </c>
      <c r="J25" s="6">
        <f>(VLOOKUP($A25,'Emprego - WIOD-14'!$A:$R,J$1-1993,FALSE)-VLOOKUP($A25,'Emprego - WIOD-16'!$A:$R,J$1-1998,FALSE))/VLOOKUP($A25,'Emprego - WIOD-14'!$A:$R,J$1-1993,FALSE)</f>
        <v>9.2860462965537238E-2</v>
      </c>
      <c r="K25" s="6">
        <f>(VLOOKUP($A25,'Emprego - WIOD-14'!$A:$R,K$1-1993,FALSE)-VLOOKUP($A25,'Emprego - WIOD-16'!$A:$R,K$1-1998,FALSE))/VLOOKUP($A25,'Emprego - WIOD-14'!$A:$R,K$1-1993,FALSE)</f>
        <v>7.8317625857362919E-2</v>
      </c>
      <c r="L25" s="6">
        <f>(VLOOKUP($A25,'Emprego - WIOD-14'!$A:$R,L$1-1993,FALSE)-VLOOKUP($A25,'Emprego - WIOD-16'!$A:$R,L$1-1998,FALSE))/VLOOKUP($A25,'Emprego - WIOD-14'!$A:$R,L$1-1993,FALSE)</f>
        <v>7.9263686499990271E-2</v>
      </c>
      <c r="M25" s="6">
        <f>(VLOOKUP($A25,'Emprego - WIOD-14'!$A:$R,M$1-1993,FALSE)-VLOOKUP($A25,'Emprego - WIOD-16'!$A:$R,M$1-1998,FALSE))/VLOOKUP($A25,'Emprego - WIOD-14'!$A:$R,M$1-1993,FALSE)</f>
        <v>5.6900322427637581E-2</v>
      </c>
      <c r="N25" s="5"/>
      <c r="O25" s="5"/>
    </row>
    <row r="26" spans="1:15" x14ac:dyDescent="0.25">
      <c r="A26" t="s">
        <v>24</v>
      </c>
      <c r="B26" s="6">
        <f>(VLOOKUP($A26,'Emprego - WIOD-14'!$A:$R,B$1-1993,FALSE)-VLOOKUP($A26,'Emprego - WIOD-16'!$A:$R,B$1-1998,FALSE))/VLOOKUP($A26,'Emprego - WIOD-14'!$A:$R,B$1-1993,FALSE)</f>
        <v>1.5008576329380967E-4</v>
      </c>
      <c r="C26" s="6">
        <f>(VLOOKUP($A26,'Emprego - WIOD-14'!$A:$R,C$1-1993,FALSE)-VLOOKUP($A26,'Emprego - WIOD-16'!$A:$R,C$1-1998,FALSE))/VLOOKUP($A26,'Emprego - WIOD-14'!$A:$R,C$1-1993,FALSE)</f>
        <v>-1.3373950516400388E-4</v>
      </c>
      <c r="D26" s="6">
        <f>(VLOOKUP($A26,'Emprego - WIOD-14'!$A:$R,D$1-1993,FALSE)-VLOOKUP($A26,'Emprego - WIOD-16'!$A:$R,D$1-1998,FALSE))/VLOOKUP($A26,'Emprego - WIOD-14'!$A:$R,D$1-1993,FALSE)</f>
        <v>-1.7420603627498513E-3</v>
      </c>
      <c r="E26" s="6">
        <f>(VLOOKUP($A26,'Emprego - WIOD-14'!$A:$R,E$1-1993,FALSE)-VLOOKUP($A26,'Emprego - WIOD-16'!$A:$R,E$1-1998,FALSE))/VLOOKUP($A26,'Emprego - WIOD-14'!$A:$R,E$1-1993,FALSE)</f>
        <v>-9.3274423171346721E-4</v>
      </c>
      <c r="F26" s="6">
        <f>(VLOOKUP($A26,'Emprego - WIOD-14'!$A:$R,F$1-1993,FALSE)-VLOOKUP($A26,'Emprego - WIOD-16'!$A:$R,F$1-1998,FALSE))/VLOOKUP($A26,'Emprego - WIOD-14'!$A:$R,F$1-1993,FALSE)</f>
        <v>1.0087688530340394E-2</v>
      </c>
      <c r="G26" s="6">
        <f>(VLOOKUP($A26,'Emprego - WIOD-14'!$A:$R,G$1-1993,FALSE)-VLOOKUP($A26,'Emprego - WIOD-16'!$A:$R,G$1-1998,FALSE))/VLOOKUP($A26,'Emprego - WIOD-14'!$A:$R,G$1-1993,FALSE)</f>
        <v>2.9376326418839655E-2</v>
      </c>
      <c r="H26" s="6">
        <f>(VLOOKUP($A26,'Emprego - WIOD-14'!$A:$R,H$1-1993,FALSE)-VLOOKUP($A26,'Emprego - WIOD-16'!$A:$R,H$1-1998,FALSE))/VLOOKUP($A26,'Emprego - WIOD-14'!$A:$R,H$1-1993,FALSE)</f>
        <v>4.8016940037644666E-2</v>
      </c>
      <c r="I26" s="6">
        <f>(VLOOKUP($A26,'Emprego - WIOD-14'!$A:$R,I$1-1993,FALSE)-VLOOKUP($A26,'Emprego - WIOD-16'!$A:$R,I$1-1998,FALSE))/VLOOKUP($A26,'Emprego - WIOD-14'!$A:$R,I$1-1993,FALSE)</f>
        <v>5.4516318922100723E-2</v>
      </c>
      <c r="J26" s="6">
        <f>(VLOOKUP($A26,'Emprego - WIOD-14'!$A:$R,J$1-1993,FALSE)-VLOOKUP($A26,'Emprego - WIOD-16'!$A:$R,J$1-1998,FALSE))/VLOOKUP($A26,'Emprego - WIOD-14'!$A:$R,J$1-1993,FALSE)</f>
        <v>6.9026951286324939E-2</v>
      </c>
      <c r="K26" s="6">
        <f>(VLOOKUP($A26,'Emprego - WIOD-14'!$A:$R,K$1-1993,FALSE)-VLOOKUP($A26,'Emprego - WIOD-16'!$A:$R,K$1-1998,FALSE))/VLOOKUP($A26,'Emprego - WIOD-14'!$A:$R,K$1-1993,FALSE)</f>
        <v>8.6730547759964735E-2</v>
      </c>
      <c r="L26" s="6">
        <f>(VLOOKUP($A26,'Emprego - WIOD-14'!$A:$R,L$1-1993,FALSE)-VLOOKUP($A26,'Emprego - WIOD-16'!$A:$R,L$1-1998,FALSE))/VLOOKUP($A26,'Emprego - WIOD-14'!$A:$R,L$1-1993,FALSE)</f>
        <v>0.10115002563514695</v>
      </c>
      <c r="M26" s="6">
        <f>(VLOOKUP($A26,'Emprego - WIOD-14'!$A:$R,M$1-1993,FALSE)-VLOOKUP($A26,'Emprego - WIOD-16'!$A:$R,M$1-1998,FALSE))/VLOOKUP($A26,'Emprego - WIOD-14'!$A:$R,M$1-1993,FALSE)</f>
        <v>0.11563488847179476</v>
      </c>
      <c r="N26" s="5"/>
      <c r="O26" s="5"/>
    </row>
    <row r="27" spans="1:15" x14ac:dyDescent="0.25">
      <c r="A27" t="s">
        <v>25</v>
      </c>
      <c r="B27" s="6">
        <f>(VLOOKUP($A27,'Emprego - WIOD-14'!$A:$R,B$1-1993,FALSE)-VLOOKUP($A27,'Emprego - WIOD-16'!$A:$R,B$1-1998,FALSE))/VLOOKUP($A27,'Emprego - WIOD-14'!$A:$R,B$1-1993,FALSE)</f>
        <v>4.0197193780807123E-3</v>
      </c>
      <c r="C27" s="6">
        <f>(VLOOKUP($A27,'Emprego - WIOD-14'!$A:$R,C$1-1993,FALSE)-VLOOKUP($A27,'Emprego - WIOD-16'!$A:$R,C$1-1998,FALSE))/VLOOKUP($A27,'Emprego - WIOD-14'!$A:$R,C$1-1993,FALSE)</f>
        <v>-3.883495145631279E-3</v>
      </c>
      <c r="D27" s="6">
        <f>(VLOOKUP($A27,'Emprego - WIOD-14'!$A:$R,D$1-1993,FALSE)-VLOOKUP($A27,'Emprego - WIOD-16'!$A:$R,D$1-1998,FALSE))/VLOOKUP($A27,'Emprego - WIOD-14'!$A:$R,D$1-1993,FALSE)</f>
        <v>1.3913043478240624E-4</v>
      </c>
      <c r="E27" s="6">
        <f>(VLOOKUP($A27,'Emprego - WIOD-14'!$A:$R,E$1-1993,FALSE)-VLOOKUP($A27,'Emprego - WIOD-16'!$A:$R,E$1-1998,FALSE))/VLOOKUP($A27,'Emprego - WIOD-14'!$A:$R,E$1-1993,FALSE)</f>
        <v>-6.8329347454771597E-4</v>
      </c>
      <c r="F27" s="6">
        <f>(VLOOKUP($A27,'Emprego - WIOD-14'!$A:$R,F$1-1993,FALSE)-VLOOKUP($A27,'Emprego - WIOD-16'!$A:$R,F$1-1998,FALSE))/VLOOKUP($A27,'Emprego - WIOD-14'!$A:$R,F$1-1993,FALSE)</f>
        <v>-1.1693952555965862E-3</v>
      </c>
      <c r="G27" s="6">
        <f>(VLOOKUP($A27,'Emprego - WIOD-14'!$A:$R,G$1-1993,FALSE)-VLOOKUP($A27,'Emprego - WIOD-16'!$A:$R,G$1-1998,FALSE))/VLOOKUP($A27,'Emprego - WIOD-14'!$A:$R,G$1-1993,FALSE)</f>
        <v>1.0061668289518279E-3</v>
      </c>
      <c r="H27" s="6">
        <f>(VLOOKUP($A27,'Emprego - WIOD-14'!$A:$R,H$1-1993,FALSE)-VLOOKUP($A27,'Emprego - WIOD-16'!$A:$R,H$1-1998,FALSE))/VLOOKUP($A27,'Emprego - WIOD-14'!$A:$R,H$1-1993,FALSE)</f>
        <v>-2.1636876763870346E-3</v>
      </c>
      <c r="I27" s="6">
        <f>(VLOOKUP($A27,'Emprego - WIOD-14'!$A:$R,I$1-1993,FALSE)-VLOOKUP($A27,'Emprego - WIOD-16'!$A:$R,I$1-1998,FALSE))/VLOOKUP($A27,'Emprego - WIOD-14'!$A:$R,I$1-1993,FALSE)</f>
        <v>-2.1021021021021022E-3</v>
      </c>
      <c r="J27" s="6">
        <f>(VLOOKUP($A27,'Emprego - WIOD-14'!$A:$R,J$1-1993,FALSE)-VLOOKUP($A27,'Emprego - WIOD-16'!$A:$R,J$1-1998,FALSE))/VLOOKUP($A27,'Emprego - WIOD-14'!$A:$R,J$1-1993,FALSE)</f>
        <v>5.689056112987325E-2</v>
      </c>
      <c r="K27" s="6">
        <f>(VLOOKUP($A27,'Emprego - WIOD-14'!$A:$R,K$1-1993,FALSE)-VLOOKUP($A27,'Emprego - WIOD-16'!$A:$R,K$1-1998,FALSE))/VLOOKUP($A27,'Emprego - WIOD-14'!$A:$R,K$1-1993,FALSE)</f>
        <v>7.0561678394775632E-2</v>
      </c>
      <c r="L27" s="6">
        <f>(VLOOKUP($A27,'Emprego - WIOD-14'!$A:$R,L$1-1993,FALSE)-VLOOKUP($A27,'Emprego - WIOD-16'!$A:$R,L$1-1998,FALSE))/VLOOKUP($A27,'Emprego - WIOD-14'!$A:$R,L$1-1993,FALSE)</f>
        <v>3.8037330610750583E-2</v>
      </c>
      <c r="M27" s="6">
        <f>(VLOOKUP($A27,'Emprego - WIOD-14'!$A:$R,M$1-1993,FALSE)-VLOOKUP($A27,'Emprego - WIOD-16'!$A:$R,M$1-1998,FALSE))/VLOOKUP($A27,'Emprego - WIOD-14'!$A:$R,M$1-1993,FALSE)</f>
        <v>1.1430814381498726E-2</v>
      </c>
      <c r="N27" s="5"/>
      <c r="O27" s="5"/>
    </row>
    <row r="28" spans="1:15" x14ac:dyDescent="0.25">
      <c r="A28" t="s">
        <v>26</v>
      </c>
      <c r="B28" s="6">
        <f>(VLOOKUP($A28,'Emprego - WIOD-14'!$A:$R,B$1-1993,FALSE)-VLOOKUP($A28,'Emprego - WIOD-16'!$A:$R,B$1-1998,FALSE))/VLOOKUP($A28,'Emprego - WIOD-14'!$A:$R,B$1-1993,FALSE)</f>
        <v>1.8217548332271086E-2</v>
      </c>
      <c r="C28" s="6">
        <f>(VLOOKUP($A28,'Emprego - WIOD-14'!$A:$R,C$1-1993,FALSE)-VLOOKUP($A28,'Emprego - WIOD-16'!$A:$R,C$1-1998,FALSE))/VLOOKUP($A28,'Emprego - WIOD-14'!$A:$R,C$1-1993,FALSE)</f>
        <v>1.1237016052880321E-2</v>
      </c>
      <c r="D28" s="6">
        <f>(VLOOKUP($A28,'Emprego - WIOD-14'!$A:$R,D$1-1993,FALSE)-VLOOKUP($A28,'Emprego - WIOD-16'!$A:$R,D$1-1998,FALSE))/VLOOKUP($A28,'Emprego - WIOD-14'!$A:$R,D$1-1993,FALSE)</f>
        <v>2.3942309591514301E-2</v>
      </c>
      <c r="E28" s="6">
        <f>(VLOOKUP($A28,'Emprego - WIOD-14'!$A:$R,E$1-1993,FALSE)-VLOOKUP($A28,'Emprego - WIOD-16'!$A:$R,E$1-1998,FALSE))/VLOOKUP($A28,'Emprego - WIOD-14'!$A:$R,E$1-1993,FALSE)</f>
        <v>3.3646635336466356E-2</v>
      </c>
      <c r="F28" s="6">
        <f>(VLOOKUP($A28,'Emprego - WIOD-14'!$A:$R,F$1-1993,FALSE)-VLOOKUP($A28,'Emprego - WIOD-16'!$A:$R,F$1-1998,FALSE))/VLOOKUP($A28,'Emprego - WIOD-14'!$A:$R,F$1-1993,FALSE)</f>
        <v>4.1648396233359197E-2</v>
      </c>
      <c r="G28" s="6">
        <f>(VLOOKUP($A28,'Emprego - WIOD-14'!$A:$R,G$1-1993,FALSE)-VLOOKUP($A28,'Emprego - WIOD-16'!$A:$R,G$1-1998,FALSE))/VLOOKUP($A28,'Emprego - WIOD-14'!$A:$R,G$1-1993,FALSE)</f>
        <v>5.3770879440765147E-2</v>
      </c>
      <c r="H28" s="6">
        <f>(VLOOKUP($A28,'Emprego - WIOD-14'!$A:$R,H$1-1993,FALSE)-VLOOKUP($A28,'Emprego - WIOD-16'!$A:$R,H$1-1998,FALSE))/VLOOKUP($A28,'Emprego - WIOD-14'!$A:$R,H$1-1993,FALSE)</f>
        <v>4.0980264986565478E-2</v>
      </c>
      <c r="I28" s="6">
        <f>(VLOOKUP($A28,'Emprego - WIOD-14'!$A:$R,I$1-1993,FALSE)-VLOOKUP($A28,'Emprego - WIOD-16'!$A:$R,I$1-1998,FALSE))/VLOOKUP($A28,'Emprego - WIOD-14'!$A:$R,I$1-1993,FALSE)</f>
        <v>4.3804240851749339E-2</v>
      </c>
      <c r="J28" s="6">
        <f>(VLOOKUP($A28,'Emprego - WIOD-14'!$A:$R,J$1-1993,FALSE)-VLOOKUP($A28,'Emprego - WIOD-16'!$A:$R,J$1-1998,FALSE))/VLOOKUP($A28,'Emprego - WIOD-14'!$A:$R,J$1-1993,FALSE)</f>
        <v>5.6916586334015924E-2</v>
      </c>
      <c r="K28" s="6">
        <f>(VLOOKUP($A28,'Emprego - WIOD-14'!$A:$R,K$1-1993,FALSE)-VLOOKUP($A28,'Emprego - WIOD-16'!$A:$R,K$1-1998,FALSE))/VLOOKUP($A28,'Emprego - WIOD-14'!$A:$R,K$1-1993,FALSE)</f>
        <v>5.7006093160606841E-2</v>
      </c>
      <c r="L28" s="6">
        <f>(VLOOKUP($A28,'Emprego - WIOD-14'!$A:$R,L$1-1993,FALSE)-VLOOKUP($A28,'Emprego - WIOD-16'!$A:$R,L$1-1998,FALSE))/VLOOKUP($A28,'Emprego - WIOD-14'!$A:$R,L$1-1993,FALSE)</f>
        <v>9.4371573826433935E-2</v>
      </c>
      <c r="M28" s="6">
        <f>(VLOOKUP($A28,'Emprego - WIOD-14'!$A:$R,M$1-1993,FALSE)-VLOOKUP($A28,'Emprego - WIOD-16'!$A:$R,M$1-1998,FALSE))/VLOOKUP($A28,'Emprego - WIOD-14'!$A:$R,M$1-1993,FALSE)</f>
        <v>1.0328259876286525E-2</v>
      </c>
      <c r="N28" s="5"/>
      <c r="O28" s="5"/>
    </row>
    <row r="29" spans="1:15" x14ac:dyDescent="0.25">
      <c r="A29" t="s">
        <v>27</v>
      </c>
      <c r="B29" s="6">
        <f>(VLOOKUP($A29,'Emprego - WIOD-14'!$A:$R,B$1-1993,FALSE)-VLOOKUP($A29,'Emprego - WIOD-16'!$A:$R,B$1-1998,FALSE))/VLOOKUP($A29,'Emprego - WIOD-14'!$A:$R,B$1-1993,FALSE)</f>
        <v>0.19062375539650134</v>
      </c>
      <c r="C29" s="6">
        <f>(VLOOKUP($A29,'Emprego - WIOD-14'!$A:$R,C$1-1993,FALSE)-VLOOKUP($A29,'Emprego - WIOD-16'!$A:$R,C$1-1998,FALSE))/VLOOKUP($A29,'Emprego - WIOD-14'!$A:$R,C$1-1993,FALSE)</f>
        <v>0.21582363207579075</v>
      </c>
      <c r="D29" s="6">
        <f>(VLOOKUP($A29,'Emprego - WIOD-14'!$A:$R,D$1-1993,FALSE)-VLOOKUP($A29,'Emprego - WIOD-16'!$A:$R,D$1-1998,FALSE))/VLOOKUP($A29,'Emprego - WIOD-14'!$A:$R,D$1-1993,FALSE)</f>
        <v>0.22826359978974711</v>
      </c>
      <c r="E29" s="6">
        <f>(VLOOKUP($A29,'Emprego - WIOD-14'!$A:$R,E$1-1993,FALSE)-VLOOKUP($A29,'Emprego - WIOD-16'!$A:$R,E$1-1998,FALSE))/VLOOKUP($A29,'Emprego - WIOD-14'!$A:$R,E$1-1993,FALSE)</f>
        <v>0.19656829152674413</v>
      </c>
      <c r="F29" s="6">
        <f>(VLOOKUP($A29,'Emprego - WIOD-14'!$A:$R,F$1-1993,FALSE)-VLOOKUP($A29,'Emprego - WIOD-16'!$A:$R,F$1-1998,FALSE))/VLOOKUP($A29,'Emprego - WIOD-14'!$A:$R,F$1-1993,FALSE)</f>
        <v>0.19063623604828206</v>
      </c>
      <c r="G29" s="6">
        <f>(VLOOKUP($A29,'Emprego - WIOD-14'!$A:$R,G$1-1993,FALSE)-VLOOKUP($A29,'Emprego - WIOD-16'!$A:$R,G$1-1998,FALSE))/VLOOKUP($A29,'Emprego - WIOD-14'!$A:$R,G$1-1993,FALSE)</f>
        <v>0.19446184715158948</v>
      </c>
      <c r="H29" s="6">
        <f>(VLOOKUP($A29,'Emprego - WIOD-14'!$A:$R,H$1-1993,FALSE)-VLOOKUP($A29,'Emprego - WIOD-16'!$A:$R,H$1-1998,FALSE))/VLOOKUP($A29,'Emprego - WIOD-14'!$A:$R,H$1-1993,FALSE)</f>
        <v>0.18965303911964926</v>
      </c>
      <c r="I29" s="6">
        <f>(VLOOKUP($A29,'Emprego - WIOD-14'!$A:$R,I$1-1993,FALSE)-VLOOKUP($A29,'Emprego - WIOD-16'!$A:$R,I$1-1998,FALSE))/VLOOKUP($A29,'Emprego - WIOD-14'!$A:$R,I$1-1993,FALSE)</f>
        <v>0.18799651129824196</v>
      </c>
      <c r="J29" s="6">
        <f>(VLOOKUP($A29,'Emprego - WIOD-14'!$A:$R,J$1-1993,FALSE)-VLOOKUP($A29,'Emprego - WIOD-16'!$A:$R,J$1-1998,FALSE))/VLOOKUP($A29,'Emprego - WIOD-14'!$A:$R,J$1-1993,FALSE)</f>
        <v>0.2356876444835562</v>
      </c>
      <c r="K29" s="6">
        <f>(VLOOKUP($A29,'Emprego - WIOD-14'!$A:$R,K$1-1993,FALSE)-VLOOKUP($A29,'Emprego - WIOD-16'!$A:$R,K$1-1998,FALSE))/VLOOKUP($A29,'Emprego - WIOD-14'!$A:$R,K$1-1993,FALSE)</f>
        <v>0.2532318190542347</v>
      </c>
      <c r="L29" s="6">
        <f>(VLOOKUP($A29,'Emprego - WIOD-14'!$A:$R,L$1-1993,FALSE)-VLOOKUP($A29,'Emprego - WIOD-16'!$A:$R,L$1-1998,FALSE))/VLOOKUP($A29,'Emprego - WIOD-14'!$A:$R,L$1-1993,FALSE)</f>
        <v>0.25622918833682101</v>
      </c>
      <c r="M29" s="6">
        <f>(VLOOKUP($A29,'Emprego - WIOD-14'!$A:$R,M$1-1993,FALSE)-VLOOKUP($A29,'Emprego - WIOD-16'!$A:$R,M$1-1998,FALSE))/VLOOKUP($A29,'Emprego - WIOD-14'!$A:$R,M$1-1993,FALSE)</f>
        <v>0.26454477945579308</v>
      </c>
      <c r="N29" s="5"/>
      <c r="O29" s="5"/>
    </row>
    <row r="30" spans="1:15" x14ac:dyDescent="0.25">
      <c r="A30" t="s">
        <v>28</v>
      </c>
      <c r="B30" s="6">
        <f>(VLOOKUP($A30,'Emprego - WIOD-14'!$A:$R,B$1-1993,FALSE)-VLOOKUP($A30,'Emprego - WIOD-16'!$A:$R,B$1-1998,FALSE))/VLOOKUP($A30,'Emprego - WIOD-14'!$A:$R,B$1-1993,FALSE)</f>
        <v>-3.7568447730514778E-2</v>
      </c>
      <c r="C30" s="6">
        <f>(VLOOKUP($A30,'Emprego - WIOD-14'!$A:$R,C$1-1993,FALSE)-VLOOKUP($A30,'Emprego - WIOD-16'!$A:$R,C$1-1998,FALSE))/VLOOKUP($A30,'Emprego - WIOD-14'!$A:$R,C$1-1993,FALSE)</f>
        <v>-1.4485045609354841E-2</v>
      </c>
      <c r="D30" s="6">
        <f>(VLOOKUP($A30,'Emprego - WIOD-14'!$A:$R,D$1-1993,FALSE)-VLOOKUP($A30,'Emprego - WIOD-16'!$A:$R,D$1-1998,FALSE))/VLOOKUP($A30,'Emprego - WIOD-14'!$A:$R,D$1-1993,FALSE)</f>
        <v>-7.4974419141448367E-3</v>
      </c>
      <c r="E30" s="6">
        <f>(VLOOKUP($A30,'Emprego - WIOD-14'!$A:$R,E$1-1993,FALSE)-VLOOKUP($A30,'Emprego - WIOD-16'!$A:$R,E$1-1998,FALSE))/VLOOKUP($A30,'Emprego - WIOD-14'!$A:$R,E$1-1993,FALSE)</f>
        <v>-1.4934558964400123E-2</v>
      </c>
      <c r="F30" s="6">
        <f>(VLOOKUP($A30,'Emprego - WIOD-14'!$A:$R,F$1-1993,FALSE)-VLOOKUP($A30,'Emprego - WIOD-16'!$A:$R,F$1-1998,FALSE))/VLOOKUP($A30,'Emprego - WIOD-14'!$A:$R,F$1-1993,FALSE)</f>
        <v>-1.4926695540398917E-2</v>
      </c>
      <c r="G30" s="6">
        <f>(VLOOKUP($A30,'Emprego - WIOD-14'!$A:$R,G$1-1993,FALSE)-VLOOKUP($A30,'Emprego - WIOD-16'!$A:$R,G$1-1998,FALSE))/VLOOKUP($A30,'Emprego - WIOD-14'!$A:$R,G$1-1993,FALSE)</f>
        <v>-2.180193654911728E-2</v>
      </c>
      <c r="H30" s="6">
        <f>(VLOOKUP($A30,'Emprego - WIOD-14'!$A:$R,H$1-1993,FALSE)-VLOOKUP($A30,'Emprego - WIOD-16'!$A:$R,H$1-1998,FALSE))/VLOOKUP($A30,'Emprego - WIOD-14'!$A:$R,H$1-1993,FALSE)</f>
        <v>2.084528434547954E-3</v>
      </c>
      <c r="I30" s="6">
        <f>(VLOOKUP($A30,'Emprego - WIOD-14'!$A:$R,I$1-1993,FALSE)-VLOOKUP($A30,'Emprego - WIOD-16'!$A:$R,I$1-1998,FALSE))/VLOOKUP($A30,'Emprego - WIOD-14'!$A:$R,I$1-1993,FALSE)</f>
        <v>2.7770477655254255E-3</v>
      </c>
      <c r="J30" s="6">
        <f>(VLOOKUP($A30,'Emprego - WIOD-14'!$A:$R,J$1-1993,FALSE)-VLOOKUP($A30,'Emprego - WIOD-16'!$A:$R,J$1-1998,FALSE))/VLOOKUP($A30,'Emprego - WIOD-14'!$A:$R,J$1-1993,FALSE)</f>
        <v>-2.3194554565658925E-2</v>
      </c>
      <c r="K30" s="6">
        <f>(VLOOKUP($A30,'Emprego - WIOD-14'!$A:$R,K$1-1993,FALSE)-VLOOKUP($A30,'Emprego - WIOD-16'!$A:$R,K$1-1998,FALSE))/VLOOKUP($A30,'Emprego - WIOD-14'!$A:$R,K$1-1993,FALSE)</f>
        <v>-3.282918381229246E-2</v>
      </c>
      <c r="L30" s="6">
        <f>(VLOOKUP($A30,'Emprego - WIOD-14'!$A:$R,L$1-1993,FALSE)-VLOOKUP($A30,'Emprego - WIOD-16'!$A:$R,L$1-1998,FALSE))/VLOOKUP($A30,'Emprego - WIOD-14'!$A:$R,L$1-1993,FALSE)</f>
        <v>-5.7061544944899151E-2</v>
      </c>
      <c r="M30" s="6">
        <f>(VLOOKUP($A30,'Emprego - WIOD-14'!$A:$R,M$1-1993,FALSE)-VLOOKUP($A30,'Emprego - WIOD-16'!$A:$R,M$1-1998,FALSE))/VLOOKUP($A30,'Emprego - WIOD-14'!$A:$R,M$1-1993,FALSE)</f>
        <v>-2.0779447274973616E-2</v>
      </c>
      <c r="N30" s="5"/>
      <c r="O30" s="5"/>
    </row>
    <row r="31" spans="1:15" x14ac:dyDescent="0.25">
      <c r="A31" t="s">
        <v>29</v>
      </c>
      <c r="B31" s="6">
        <f>(VLOOKUP($A31,'Emprego - WIOD-14'!$A:$R,B$1-1993,FALSE)-VLOOKUP($A31,'Emprego - WIOD-16'!$A:$R,B$1-1998,FALSE))/VLOOKUP($A31,'Emprego - WIOD-14'!$A:$R,B$1-1993,FALSE)</f>
        <v>-1.1276590370138076E-2</v>
      </c>
      <c r="C31" s="6">
        <f>(VLOOKUP($A31,'Emprego - WIOD-14'!$A:$R,C$1-1993,FALSE)-VLOOKUP($A31,'Emprego - WIOD-16'!$A:$R,C$1-1998,FALSE))/VLOOKUP($A31,'Emprego - WIOD-14'!$A:$R,C$1-1993,FALSE)</f>
        <v>-9.851850966440763E-3</v>
      </c>
      <c r="D31" s="6">
        <f>(VLOOKUP($A31,'Emprego - WIOD-14'!$A:$R,D$1-1993,FALSE)-VLOOKUP($A31,'Emprego - WIOD-16'!$A:$R,D$1-1998,FALSE))/VLOOKUP($A31,'Emprego - WIOD-14'!$A:$R,D$1-1993,FALSE)</f>
        <v>-1.2143560280146921E-2</v>
      </c>
      <c r="E31" s="6">
        <f>(VLOOKUP($A31,'Emprego - WIOD-14'!$A:$R,E$1-1993,FALSE)-VLOOKUP($A31,'Emprego - WIOD-16'!$A:$R,E$1-1998,FALSE))/VLOOKUP($A31,'Emprego - WIOD-14'!$A:$R,E$1-1993,FALSE)</f>
        <v>-1.1212677728837347E-2</v>
      </c>
      <c r="F31" s="6">
        <f>(VLOOKUP($A31,'Emprego - WIOD-14'!$A:$R,F$1-1993,FALSE)-VLOOKUP($A31,'Emprego - WIOD-16'!$A:$R,F$1-1998,FALSE))/VLOOKUP($A31,'Emprego - WIOD-14'!$A:$R,F$1-1993,FALSE)</f>
        <v>-7.5135447427110086E-3</v>
      </c>
      <c r="G31" s="6">
        <f>(VLOOKUP($A31,'Emprego - WIOD-14'!$A:$R,G$1-1993,FALSE)-VLOOKUP($A31,'Emprego - WIOD-16'!$A:$R,G$1-1998,FALSE))/VLOOKUP($A31,'Emprego - WIOD-14'!$A:$R,G$1-1993,FALSE)</f>
        <v>-9.2594219662987514E-3</v>
      </c>
      <c r="H31" s="6">
        <f>(VLOOKUP($A31,'Emprego - WIOD-14'!$A:$R,H$1-1993,FALSE)-VLOOKUP($A31,'Emprego - WIOD-16'!$A:$R,H$1-1998,FALSE))/VLOOKUP($A31,'Emprego - WIOD-14'!$A:$R,H$1-1993,FALSE)</f>
        <v>-1.4018961082166754E-2</v>
      </c>
      <c r="I31" s="6">
        <f>(VLOOKUP($A31,'Emprego - WIOD-14'!$A:$R,I$1-1993,FALSE)-VLOOKUP($A31,'Emprego - WIOD-16'!$A:$R,I$1-1998,FALSE))/VLOOKUP($A31,'Emprego - WIOD-14'!$A:$R,I$1-1993,FALSE)</f>
        <v>-1.7593279190275757E-2</v>
      </c>
      <c r="J31" s="6">
        <f>(VLOOKUP($A31,'Emprego - WIOD-14'!$A:$R,J$1-1993,FALSE)-VLOOKUP($A31,'Emprego - WIOD-16'!$A:$R,J$1-1998,FALSE))/VLOOKUP($A31,'Emprego - WIOD-14'!$A:$R,J$1-1993,FALSE)</f>
        <v>-1.939171974123529E-2</v>
      </c>
      <c r="K31" s="6">
        <f>(VLOOKUP($A31,'Emprego - WIOD-14'!$A:$R,K$1-1993,FALSE)-VLOOKUP($A31,'Emprego - WIOD-16'!$A:$R,K$1-1998,FALSE))/VLOOKUP($A31,'Emprego - WIOD-14'!$A:$R,K$1-1993,FALSE)</f>
        <v>-1.5009512379817838E-2</v>
      </c>
      <c r="L31" s="6">
        <f>(VLOOKUP($A31,'Emprego - WIOD-14'!$A:$R,L$1-1993,FALSE)-VLOOKUP($A31,'Emprego - WIOD-16'!$A:$R,L$1-1998,FALSE))/VLOOKUP($A31,'Emprego - WIOD-14'!$A:$R,L$1-1993,FALSE)</f>
        <v>-9.1189855588061832E-3</v>
      </c>
      <c r="M31" s="6">
        <f>(VLOOKUP($A31,'Emprego - WIOD-14'!$A:$R,M$1-1993,FALSE)-VLOOKUP($A31,'Emprego - WIOD-16'!$A:$R,M$1-1998,FALSE))/VLOOKUP($A31,'Emprego - WIOD-14'!$A:$R,M$1-1993,FALSE)</f>
        <v>-3.0400985160438558E-3</v>
      </c>
      <c r="N31" s="5"/>
      <c r="O31" s="5"/>
    </row>
    <row r="32" spans="1:15" x14ac:dyDescent="0.25">
      <c r="A32" t="s">
        <v>30</v>
      </c>
      <c r="B32" s="6">
        <f>(VLOOKUP($A32,'Emprego - WIOD-14'!$A:$R,B$1-1993,FALSE)-VLOOKUP($A32,'Emprego - WIOD-16'!$A:$R,B$1-1998,FALSE))/VLOOKUP($A32,'Emprego - WIOD-14'!$A:$R,B$1-1993,FALSE)</f>
        <v>1.6014649575495376E-2</v>
      </c>
      <c r="C32" s="6">
        <f>(VLOOKUP($A32,'Emprego - WIOD-14'!$A:$R,C$1-1993,FALSE)-VLOOKUP($A32,'Emprego - WIOD-16'!$A:$R,C$1-1998,FALSE))/VLOOKUP($A32,'Emprego - WIOD-14'!$A:$R,C$1-1993,FALSE)</f>
        <v>-3.4829655930341083E-2</v>
      </c>
      <c r="D32" s="6">
        <f>(VLOOKUP($A32,'Emprego - WIOD-14'!$A:$R,D$1-1993,FALSE)-VLOOKUP($A32,'Emprego - WIOD-16'!$A:$R,D$1-1998,FALSE))/VLOOKUP($A32,'Emprego - WIOD-14'!$A:$R,D$1-1993,FALSE)</f>
        <v>-8.6370339161574369E-3</v>
      </c>
      <c r="E32" s="6">
        <f>(VLOOKUP($A32,'Emprego - WIOD-14'!$A:$R,E$1-1993,FALSE)-VLOOKUP($A32,'Emprego - WIOD-16'!$A:$R,E$1-1998,FALSE))/VLOOKUP($A32,'Emprego - WIOD-14'!$A:$R,E$1-1993,FALSE)</f>
        <v>-2.7379559891974288E-16</v>
      </c>
      <c r="F32" s="6">
        <f>(VLOOKUP($A32,'Emprego - WIOD-14'!$A:$R,F$1-1993,FALSE)-VLOOKUP($A32,'Emprego - WIOD-16'!$A:$R,F$1-1998,FALSE))/VLOOKUP($A32,'Emprego - WIOD-14'!$A:$R,F$1-1993,FALSE)</f>
        <v>9.4385514001714475E-4</v>
      </c>
      <c r="G32" s="6">
        <f>(VLOOKUP($A32,'Emprego - WIOD-14'!$A:$R,G$1-1993,FALSE)-VLOOKUP($A32,'Emprego - WIOD-16'!$A:$R,G$1-1998,FALSE))/VLOOKUP($A32,'Emprego - WIOD-14'!$A:$R,G$1-1993,FALSE)</f>
        <v>1.2433834239230937E-3</v>
      </c>
      <c r="H32" s="6">
        <f>(VLOOKUP($A32,'Emprego - WIOD-14'!$A:$R,H$1-1993,FALSE)-VLOOKUP($A32,'Emprego - WIOD-16'!$A:$R,H$1-1998,FALSE))/VLOOKUP($A32,'Emprego - WIOD-14'!$A:$R,H$1-1993,FALSE)</f>
        <v>1.7894135541196923E-3</v>
      </c>
      <c r="I32" s="6">
        <f>(VLOOKUP($A32,'Emprego - WIOD-14'!$A:$R,I$1-1993,FALSE)-VLOOKUP($A32,'Emprego - WIOD-16'!$A:$R,I$1-1998,FALSE))/VLOOKUP($A32,'Emprego - WIOD-14'!$A:$R,I$1-1993,FALSE)</f>
        <v>1.2059943852063464E-3</v>
      </c>
      <c r="J32" s="6">
        <f>(VLOOKUP($A32,'Emprego - WIOD-14'!$A:$R,J$1-1993,FALSE)-VLOOKUP($A32,'Emprego - WIOD-16'!$A:$R,J$1-1998,FALSE))/VLOOKUP($A32,'Emprego - WIOD-14'!$A:$R,J$1-1993,FALSE)</f>
        <v>3.278449727965618E-3</v>
      </c>
      <c r="K32" s="6">
        <f>(VLOOKUP($A32,'Emprego - WIOD-14'!$A:$R,K$1-1993,FALSE)-VLOOKUP($A32,'Emprego - WIOD-16'!$A:$R,K$1-1998,FALSE))/VLOOKUP($A32,'Emprego - WIOD-14'!$A:$R,K$1-1993,FALSE)</f>
        <v>-2.0553635039684612E-4</v>
      </c>
      <c r="L32" s="6">
        <f>(VLOOKUP($A32,'Emprego - WIOD-14'!$A:$R,L$1-1993,FALSE)-VLOOKUP($A32,'Emprego - WIOD-16'!$A:$R,L$1-1998,FALSE))/VLOOKUP($A32,'Emprego - WIOD-14'!$A:$R,L$1-1993,FALSE)</f>
        <v>2.571322218321757E-2</v>
      </c>
      <c r="M32" s="6">
        <f>(VLOOKUP($A32,'Emprego - WIOD-14'!$A:$R,M$1-1993,FALSE)-VLOOKUP($A32,'Emprego - WIOD-16'!$A:$R,M$1-1998,FALSE))/VLOOKUP($A32,'Emprego - WIOD-14'!$A:$R,M$1-1993,FALSE)</f>
        <v>1.8455146623069824E-2</v>
      </c>
      <c r="N32" s="5"/>
      <c r="O32" s="5"/>
    </row>
    <row r="33" spans="1:15" x14ac:dyDescent="0.25">
      <c r="A33" t="s">
        <v>31</v>
      </c>
      <c r="B33" s="6">
        <f>(VLOOKUP($A33,'Emprego - WIOD-14'!$A:$R,B$1-1993,FALSE)-VLOOKUP($A33,'Emprego - WIOD-16'!$A:$R,B$1-1998,FALSE))/VLOOKUP($A33,'Emprego - WIOD-14'!$A:$R,B$1-1993,FALSE)</f>
        <v>-2.3658051689862685E-3</v>
      </c>
      <c r="C33" s="6">
        <f>(VLOOKUP($A33,'Emprego - WIOD-14'!$A:$R,C$1-1993,FALSE)-VLOOKUP($A33,'Emprego - WIOD-16'!$A:$R,C$1-1998,FALSE))/VLOOKUP($A33,'Emprego - WIOD-14'!$A:$R,C$1-1993,FALSE)</f>
        <v>-1.7476372725140719E-3</v>
      </c>
      <c r="D33" s="6">
        <f>(VLOOKUP($A33,'Emprego - WIOD-14'!$A:$R,D$1-1993,FALSE)-VLOOKUP($A33,'Emprego - WIOD-16'!$A:$R,D$1-1998,FALSE))/VLOOKUP($A33,'Emprego - WIOD-14'!$A:$R,D$1-1993,FALSE)</f>
        <v>2.5624599615612926E-4</v>
      </c>
      <c r="E33" s="6">
        <f>(VLOOKUP($A33,'Emprego - WIOD-14'!$A:$R,E$1-1993,FALSE)-VLOOKUP($A33,'Emprego - WIOD-16'!$A:$R,E$1-1998,FALSE))/VLOOKUP($A33,'Emprego - WIOD-14'!$A:$R,E$1-1993,FALSE)</f>
        <v>4.2541975790706755E-3</v>
      </c>
      <c r="F33" s="6">
        <f>(VLOOKUP($A33,'Emprego - WIOD-14'!$A:$R,F$1-1993,FALSE)-VLOOKUP($A33,'Emprego - WIOD-16'!$A:$R,F$1-1998,FALSE))/VLOOKUP($A33,'Emprego - WIOD-14'!$A:$R,F$1-1993,FALSE)</f>
        <v>1.0273999374609133E-2</v>
      </c>
      <c r="G33" s="6">
        <f>(VLOOKUP($A33,'Emprego - WIOD-14'!$A:$R,G$1-1993,FALSE)-VLOOKUP($A33,'Emprego - WIOD-16'!$A:$R,G$1-1998,FALSE))/VLOOKUP($A33,'Emprego - WIOD-14'!$A:$R,G$1-1993,FALSE)</f>
        <v>1.1580392156863106E-2</v>
      </c>
      <c r="H33" s="6">
        <f>(VLOOKUP($A33,'Emprego - WIOD-14'!$A:$R,H$1-1993,FALSE)-VLOOKUP($A33,'Emprego - WIOD-16'!$A:$R,H$1-1998,FALSE))/VLOOKUP($A33,'Emprego - WIOD-14'!$A:$R,H$1-1993,FALSE)</f>
        <v>2.6908804245419062E-2</v>
      </c>
      <c r="I33" s="6">
        <f>(VLOOKUP($A33,'Emprego - WIOD-14'!$A:$R,I$1-1993,FALSE)-VLOOKUP($A33,'Emprego - WIOD-16'!$A:$R,I$1-1998,FALSE))/VLOOKUP($A33,'Emprego - WIOD-14'!$A:$R,I$1-1993,FALSE)</f>
        <v>2.6207734834872189E-2</v>
      </c>
      <c r="J33" s="6">
        <f>(VLOOKUP($A33,'Emprego - WIOD-14'!$A:$R,J$1-1993,FALSE)-VLOOKUP($A33,'Emprego - WIOD-16'!$A:$R,J$1-1998,FALSE))/VLOOKUP($A33,'Emprego - WIOD-14'!$A:$R,J$1-1993,FALSE)</f>
        <v>2.6350399519160635E-2</v>
      </c>
      <c r="K33" s="6">
        <f>(VLOOKUP($A33,'Emprego - WIOD-14'!$A:$R,K$1-1993,FALSE)-VLOOKUP($A33,'Emprego - WIOD-16'!$A:$R,K$1-1998,FALSE))/VLOOKUP($A33,'Emprego - WIOD-14'!$A:$R,K$1-1993,FALSE)</f>
        <v>2.2070136885789529E-2</v>
      </c>
      <c r="L33" s="6">
        <f>(VLOOKUP($A33,'Emprego - WIOD-14'!$A:$R,L$1-1993,FALSE)-VLOOKUP($A33,'Emprego - WIOD-16'!$A:$R,L$1-1998,FALSE))/VLOOKUP($A33,'Emprego - WIOD-14'!$A:$R,L$1-1993,FALSE)</f>
        <v>3.1627250088827136E-2</v>
      </c>
      <c r="M33" s="6">
        <f>(VLOOKUP($A33,'Emprego - WIOD-14'!$A:$R,M$1-1993,FALSE)-VLOOKUP($A33,'Emprego - WIOD-16'!$A:$R,M$1-1998,FALSE))/VLOOKUP($A33,'Emprego - WIOD-14'!$A:$R,M$1-1993,FALSE)</f>
        <v>4.8714686300145672E-2</v>
      </c>
      <c r="N33" s="5"/>
      <c r="O33" s="5"/>
    </row>
    <row r="34" spans="1:15" x14ac:dyDescent="0.25">
      <c r="A34" t="s">
        <v>32</v>
      </c>
      <c r="B34" s="6">
        <f>(VLOOKUP($A34,'Emprego - WIOD-14'!$A:$R,B$1-1993,FALSE)-VLOOKUP($A34,'Emprego - WIOD-16'!$A:$R,B$1-1998,FALSE))/VLOOKUP($A34,'Emprego - WIOD-14'!$A:$R,B$1-1993,FALSE)</f>
        <v>6.0252149209946574E-3</v>
      </c>
      <c r="C34" s="6">
        <f>(VLOOKUP($A34,'Emprego - WIOD-14'!$A:$R,C$1-1993,FALSE)-VLOOKUP($A34,'Emprego - WIOD-16'!$A:$R,C$1-1998,FALSE))/VLOOKUP($A34,'Emprego - WIOD-14'!$A:$R,C$1-1993,FALSE)</f>
        <v>2.5428340871135285E-3</v>
      </c>
      <c r="D34" s="6">
        <f>(VLOOKUP($A34,'Emprego - WIOD-14'!$A:$R,D$1-1993,FALSE)-VLOOKUP($A34,'Emprego - WIOD-16'!$A:$R,D$1-1998,FALSE))/VLOOKUP($A34,'Emprego - WIOD-14'!$A:$R,D$1-1993,FALSE)</f>
        <v>5.8491748485481505E-4</v>
      </c>
      <c r="E34" s="6">
        <f>(VLOOKUP($A34,'Emprego - WIOD-14'!$A:$R,E$1-1993,FALSE)-VLOOKUP($A34,'Emprego - WIOD-16'!$A:$R,E$1-1998,FALSE))/VLOOKUP($A34,'Emprego - WIOD-14'!$A:$R,E$1-1993,FALSE)</f>
        <v>4.179946705660039E-5</v>
      </c>
      <c r="F34" s="6">
        <f>(VLOOKUP($A34,'Emprego - WIOD-14'!$A:$R,F$1-1993,FALSE)-VLOOKUP($A34,'Emprego - WIOD-16'!$A:$R,F$1-1998,FALSE))/VLOOKUP($A34,'Emprego - WIOD-14'!$A:$R,F$1-1993,FALSE)</f>
        <v>-7.4387366899549131E-5</v>
      </c>
      <c r="G34" s="6">
        <f>(VLOOKUP($A34,'Emprego - WIOD-14'!$A:$R,G$1-1993,FALSE)-VLOOKUP($A34,'Emprego - WIOD-16'!$A:$R,G$1-1998,FALSE))/VLOOKUP($A34,'Emprego - WIOD-14'!$A:$R,G$1-1993,FALSE)</f>
        <v>1.2948755300916799E-4</v>
      </c>
      <c r="H34" s="6">
        <f>(VLOOKUP($A34,'Emprego - WIOD-14'!$A:$R,H$1-1993,FALSE)-VLOOKUP($A34,'Emprego - WIOD-16'!$A:$R,H$1-1998,FALSE))/VLOOKUP($A34,'Emprego - WIOD-14'!$A:$R,H$1-1993,FALSE)</f>
        <v>1.2324509698855277E-3</v>
      </c>
      <c r="I34" s="6">
        <f>(VLOOKUP($A34,'Emprego - WIOD-14'!$A:$R,I$1-1993,FALSE)-VLOOKUP($A34,'Emprego - WIOD-16'!$A:$R,I$1-1998,FALSE))/VLOOKUP($A34,'Emprego - WIOD-14'!$A:$R,I$1-1993,FALSE)</f>
        <v>-1.2813804738972119E-4</v>
      </c>
      <c r="J34" s="6">
        <f>(VLOOKUP($A34,'Emprego - WIOD-14'!$A:$R,J$1-1993,FALSE)-VLOOKUP($A34,'Emprego - WIOD-16'!$A:$R,J$1-1998,FALSE))/VLOOKUP($A34,'Emprego - WIOD-14'!$A:$R,J$1-1993,FALSE)</f>
        <v>1.8684005423701845E-3</v>
      </c>
      <c r="K34" s="6">
        <f>(VLOOKUP($A34,'Emprego - WIOD-14'!$A:$R,K$1-1993,FALSE)-VLOOKUP($A34,'Emprego - WIOD-16'!$A:$R,K$1-1998,FALSE))/VLOOKUP($A34,'Emprego - WIOD-14'!$A:$R,K$1-1993,FALSE)</f>
        <v>2.8652476059286467E-3</v>
      </c>
      <c r="L34" s="6">
        <f>(VLOOKUP($A34,'Emprego - WIOD-14'!$A:$R,L$1-1993,FALSE)-VLOOKUP($A34,'Emprego - WIOD-16'!$A:$R,L$1-1998,FALSE))/VLOOKUP($A34,'Emprego - WIOD-14'!$A:$R,L$1-1993,FALSE)</f>
        <v>9.6338939312105729E-2</v>
      </c>
      <c r="M34" s="6">
        <f>(VLOOKUP($A34,'Emprego - WIOD-14'!$A:$R,M$1-1993,FALSE)-VLOOKUP($A34,'Emprego - WIOD-16'!$A:$R,M$1-1998,FALSE))/VLOOKUP($A34,'Emprego - WIOD-14'!$A:$R,M$1-1993,FALSE)</f>
        <v>0.14987559419667915</v>
      </c>
      <c r="N34" s="5"/>
      <c r="O34" s="5"/>
    </row>
    <row r="35" spans="1:15" x14ac:dyDescent="0.25">
      <c r="A35" t="s">
        <v>33</v>
      </c>
      <c r="B35" s="6">
        <f>(VLOOKUP($A35,'Emprego - WIOD-14'!$A:$R,B$1-1993,FALSE)-VLOOKUP($A35,'Emprego - WIOD-16'!$A:$R,B$1-1998,FALSE))/VLOOKUP($A35,'Emprego - WIOD-14'!$A:$R,B$1-1993,FALSE)</f>
        <v>-6.7656445807706004E-3</v>
      </c>
      <c r="C35" s="6">
        <f>(VLOOKUP($A35,'Emprego - WIOD-14'!$A:$R,C$1-1993,FALSE)-VLOOKUP($A35,'Emprego - WIOD-16'!$A:$R,C$1-1998,FALSE))/VLOOKUP($A35,'Emprego - WIOD-14'!$A:$R,C$1-1993,FALSE)</f>
        <v>3.3767860757317743E-3</v>
      </c>
      <c r="D35" s="6">
        <f>(VLOOKUP($A35,'Emprego - WIOD-14'!$A:$R,D$1-1993,FALSE)-VLOOKUP($A35,'Emprego - WIOD-16'!$A:$R,D$1-1998,FALSE))/VLOOKUP($A35,'Emprego - WIOD-14'!$A:$R,D$1-1993,FALSE)</f>
        <v>-4.5812320390198336E-3</v>
      </c>
      <c r="E35" s="6">
        <f>(VLOOKUP($A35,'Emprego - WIOD-14'!$A:$R,E$1-1993,FALSE)-VLOOKUP($A35,'Emprego - WIOD-16'!$A:$R,E$1-1998,FALSE))/VLOOKUP($A35,'Emprego - WIOD-14'!$A:$R,E$1-1993,FALSE)</f>
        <v>-8.9331852953184396E-3</v>
      </c>
      <c r="F35" s="6">
        <f>(VLOOKUP($A35,'Emprego - WIOD-14'!$A:$R,F$1-1993,FALSE)-VLOOKUP($A35,'Emprego - WIOD-16'!$A:$R,F$1-1998,FALSE))/VLOOKUP($A35,'Emprego - WIOD-14'!$A:$R,F$1-1993,FALSE)</f>
        <v>-6.2803302353338251E-3</v>
      </c>
      <c r="G35" s="6">
        <f>(VLOOKUP($A35,'Emprego - WIOD-14'!$A:$R,G$1-1993,FALSE)-VLOOKUP($A35,'Emprego - WIOD-16'!$A:$R,G$1-1998,FALSE))/VLOOKUP($A35,'Emprego - WIOD-14'!$A:$R,G$1-1993,FALSE)</f>
        <v>-5.5481663378291902E-3</v>
      </c>
      <c r="H35" s="6">
        <f>(VLOOKUP($A35,'Emprego - WIOD-14'!$A:$R,H$1-1993,FALSE)-VLOOKUP($A35,'Emprego - WIOD-16'!$A:$R,H$1-1998,FALSE))/VLOOKUP($A35,'Emprego - WIOD-14'!$A:$R,H$1-1993,FALSE)</f>
        <v>-5.5339982569144455E-3</v>
      </c>
      <c r="I35" s="6">
        <f>(VLOOKUP($A35,'Emprego - WIOD-14'!$A:$R,I$1-1993,FALSE)-VLOOKUP($A35,'Emprego - WIOD-16'!$A:$R,I$1-1998,FALSE))/VLOOKUP($A35,'Emprego - WIOD-14'!$A:$R,I$1-1993,FALSE)</f>
        <v>-3.5879060886563978E-3</v>
      </c>
      <c r="J35" s="6">
        <f>(VLOOKUP($A35,'Emprego - WIOD-14'!$A:$R,J$1-1993,FALSE)-VLOOKUP($A35,'Emprego - WIOD-16'!$A:$R,J$1-1998,FALSE))/VLOOKUP($A35,'Emprego - WIOD-14'!$A:$R,J$1-1993,FALSE)</f>
        <v>-3.9314565276426343E-3</v>
      </c>
      <c r="K35" s="6">
        <f>(VLOOKUP($A35,'Emprego - WIOD-14'!$A:$R,K$1-1993,FALSE)-VLOOKUP($A35,'Emprego - WIOD-16'!$A:$R,K$1-1998,FALSE))/VLOOKUP($A35,'Emprego - WIOD-14'!$A:$R,K$1-1993,FALSE)</f>
        <v>-7.5073893577400058E-3</v>
      </c>
      <c r="L35" s="6">
        <f>(VLOOKUP($A35,'Emprego - WIOD-14'!$A:$R,L$1-1993,FALSE)-VLOOKUP($A35,'Emprego - WIOD-16'!$A:$R,L$1-1998,FALSE))/VLOOKUP($A35,'Emprego - WIOD-14'!$A:$R,L$1-1993,FALSE)</f>
        <v>1.6371459497379962E-3</v>
      </c>
      <c r="M35" s="6">
        <f>(VLOOKUP($A35,'Emprego - WIOD-14'!$A:$R,M$1-1993,FALSE)-VLOOKUP($A35,'Emprego - WIOD-16'!$A:$R,M$1-1998,FALSE))/VLOOKUP($A35,'Emprego - WIOD-14'!$A:$R,M$1-1993,FALSE)</f>
        <v>4.8809200228296431E-3</v>
      </c>
      <c r="N35" s="5"/>
      <c r="O35" s="5"/>
    </row>
    <row r="36" spans="1:15" x14ac:dyDescent="0.25">
      <c r="A36" t="s">
        <v>34</v>
      </c>
      <c r="B36" s="6">
        <f>(VLOOKUP($A36,'Emprego - WIOD-14'!$A:$R,B$1-1993,FALSE)-VLOOKUP($A36,'Emprego - WIOD-16'!$A:$R,B$1-1998,FALSE))/VLOOKUP($A36,'Emprego - WIOD-14'!$A:$R,B$1-1993,FALSE)</f>
        <v>5.8241552554936524E-3</v>
      </c>
      <c r="C36" s="6">
        <f>(VLOOKUP($A36,'Emprego - WIOD-14'!$A:$R,C$1-1993,FALSE)-VLOOKUP($A36,'Emprego - WIOD-16'!$A:$R,C$1-1998,FALSE))/VLOOKUP($A36,'Emprego - WIOD-14'!$A:$R,C$1-1993,FALSE)</f>
        <v>2.0279762515656202E-4</v>
      </c>
      <c r="D36" s="6">
        <f>(VLOOKUP($A36,'Emprego - WIOD-14'!$A:$R,D$1-1993,FALSE)-VLOOKUP($A36,'Emprego - WIOD-16'!$A:$R,D$1-1998,FALSE))/VLOOKUP($A36,'Emprego - WIOD-14'!$A:$R,D$1-1993,FALSE)</f>
        <v>-8.4183095288753961E-4</v>
      </c>
      <c r="E36" s="6">
        <f>(VLOOKUP($A36,'Emprego - WIOD-14'!$A:$R,E$1-1993,FALSE)-VLOOKUP($A36,'Emprego - WIOD-16'!$A:$R,E$1-1998,FALSE))/VLOOKUP($A36,'Emprego - WIOD-14'!$A:$R,E$1-1993,FALSE)</f>
        <v>-4.9551825336841622E-4</v>
      </c>
      <c r="F36" s="6">
        <f>(VLOOKUP($A36,'Emprego - WIOD-14'!$A:$R,F$1-1993,FALSE)-VLOOKUP($A36,'Emprego - WIOD-16'!$A:$R,F$1-1998,FALSE))/VLOOKUP($A36,'Emprego - WIOD-14'!$A:$R,F$1-1993,FALSE)</f>
        <v>-1.0327246759906511E-3</v>
      </c>
      <c r="G36" s="6">
        <f>(VLOOKUP($A36,'Emprego - WIOD-14'!$A:$R,G$1-1993,FALSE)-VLOOKUP($A36,'Emprego - WIOD-16'!$A:$R,G$1-1998,FALSE))/VLOOKUP($A36,'Emprego - WIOD-14'!$A:$R,G$1-1993,FALSE)</f>
        <v>1.7631179469896545E-3</v>
      </c>
      <c r="H36" s="6">
        <f>(VLOOKUP($A36,'Emprego - WIOD-14'!$A:$R,H$1-1993,FALSE)-VLOOKUP($A36,'Emprego - WIOD-16'!$A:$R,H$1-1998,FALSE))/VLOOKUP($A36,'Emprego - WIOD-14'!$A:$R,H$1-1993,FALSE)</f>
        <v>6.8420911944302857E-4</v>
      </c>
      <c r="I36" s="6">
        <f>(VLOOKUP($A36,'Emprego - WIOD-14'!$A:$R,I$1-1993,FALSE)-VLOOKUP($A36,'Emprego - WIOD-16'!$A:$R,I$1-1998,FALSE))/VLOOKUP($A36,'Emprego - WIOD-14'!$A:$R,I$1-1993,FALSE)</f>
        <v>3.3578766092845003E-4</v>
      </c>
      <c r="J36" s="6">
        <f>(VLOOKUP($A36,'Emprego - WIOD-14'!$A:$R,J$1-1993,FALSE)-VLOOKUP($A36,'Emprego - WIOD-16'!$A:$R,J$1-1998,FALSE))/VLOOKUP($A36,'Emprego - WIOD-14'!$A:$R,J$1-1993,FALSE)</f>
        <v>6.2077858439318224E-3</v>
      </c>
      <c r="K36" s="6">
        <f>(VLOOKUP($A36,'Emprego - WIOD-14'!$A:$R,K$1-1993,FALSE)-VLOOKUP($A36,'Emprego - WIOD-16'!$A:$R,K$1-1998,FALSE))/VLOOKUP($A36,'Emprego - WIOD-14'!$A:$R,K$1-1993,FALSE)</f>
        <v>2.1327298321258421E-2</v>
      </c>
      <c r="L36" s="6">
        <f>(VLOOKUP($A36,'Emprego - WIOD-14'!$A:$R,L$1-1993,FALSE)-VLOOKUP($A36,'Emprego - WIOD-16'!$A:$R,L$1-1998,FALSE))/VLOOKUP($A36,'Emprego - WIOD-14'!$A:$R,L$1-1993,FALSE)</f>
        <v>8.1771042173883375E-3</v>
      </c>
      <c r="M36" s="6">
        <f>(VLOOKUP($A36,'Emprego - WIOD-14'!$A:$R,M$1-1993,FALSE)-VLOOKUP($A36,'Emprego - WIOD-16'!$A:$R,M$1-1998,FALSE))/VLOOKUP($A36,'Emprego - WIOD-14'!$A:$R,M$1-1993,FALSE)</f>
        <v>1.8731792910419764E-2</v>
      </c>
      <c r="N36" s="5"/>
      <c r="O36" s="5"/>
    </row>
    <row r="37" spans="1:15" x14ac:dyDescent="0.25">
      <c r="A37" t="s">
        <v>35</v>
      </c>
      <c r="B37" s="6">
        <f>(VLOOKUP($A37,'Emprego - WIOD-14'!$A:$R,B$1-1993,FALSE)-VLOOKUP($A37,'Emprego - WIOD-16'!$A:$R,B$1-1998,FALSE))/VLOOKUP($A37,'Emprego - WIOD-14'!$A:$R,B$1-1993,FALSE)</f>
        <v>-9.5611276603975893E-4</v>
      </c>
      <c r="C37" s="6">
        <f>(VLOOKUP($A37,'Emprego - WIOD-14'!$A:$R,C$1-1993,FALSE)-VLOOKUP($A37,'Emprego - WIOD-16'!$A:$R,C$1-1998,FALSE))/VLOOKUP($A37,'Emprego - WIOD-14'!$A:$R,C$1-1993,FALSE)</f>
        <v>-8.0877183524421942E-3</v>
      </c>
      <c r="D37" s="6">
        <f>(VLOOKUP($A37,'Emprego - WIOD-14'!$A:$R,D$1-1993,FALSE)-VLOOKUP($A37,'Emprego - WIOD-16'!$A:$R,D$1-1998,FALSE))/VLOOKUP($A37,'Emprego - WIOD-14'!$A:$R,D$1-1993,FALSE)</f>
        <v>-1.582089875708419E-2</v>
      </c>
      <c r="E37" s="6">
        <f>(VLOOKUP($A37,'Emprego - WIOD-14'!$A:$R,E$1-1993,FALSE)-VLOOKUP($A37,'Emprego - WIOD-16'!$A:$R,E$1-1998,FALSE))/VLOOKUP($A37,'Emprego - WIOD-14'!$A:$R,E$1-1993,FALSE)</f>
        <v>-1.3584151134695736E-2</v>
      </c>
      <c r="F37" s="6">
        <f>(VLOOKUP($A37,'Emprego - WIOD-14'!$A:$R,F$1-1993,FALSE)-VLOOKUP($A37,'Emprego - WIOD-16'!$A:$R,F$1-1998,FALSE))/VLOOKUP($A37,'Emprego - WIOD-14'!$A:$R,F$1-1993,FALSE)</f>
        <v>-1.2937999544512883E-2</v>
      </c>
      <c r="G37" s="6">
        <f>(VLOOKUP($A37,'Emprego - WIOD-14'!$A:$R,G$1-1993,FALSE)-VLOOKUP($A37,'Emprego - WIOD-16'!$A:$R,G$1-1998,FALSE))/VLOOKUP($A37,'Emprego - WIOD-14'!$A:$R,G$1-1993,FALSE)</f>
        <v>-9.1458014827560299E-3</v>
      </c>
      <c r="H37" s="6">
        <f>(VLOOKUP($A37,'Emprego - WIOD-14'!$A:$R,H$1-1993,FALSE)-VLOOKUP($A37,'Emprego - WIOD-16'!$A:$R,H$1-1998,FALSE))/VLOOKUP($A37,'Emprego - WIOD-14'!$A:$R,H$1-1993,FALSE)</f>
        <v>-1.0833261967971474E-2</v>
      </c>
      <c r="I37" s="6">
        <f>(VLOOKUP($A37,'Emprego - WIOD-14'!$A:$R,I$1-1993,FALSE)-VLOOKUP($A37,'Emprego - WIOD-16'!$A:$R,I$1-1998,FALSE))/VLOOKUP($A37,'Emprego - WIOD-14'!$A:$R,I$1-1993,FALSE)</f>
        <v>-1.4038810676105669E-2</v>
      </c>
      <c r="J37" s="6">
        <f>(VLOOKUP($A37,'Emprego - WIOD-14'!$A:$R,J$1-1993,FALSE)-VLOOKUP($A37,'Emprego - WIOD-16'!$A:$R,J$1-1998,FALSE))/VLOOKUP($A37,'Emprego - WIOD-14'!$A:$R,J$1-1993,FALSE)</f>
        <v>-6.6259981725331771E-3</v>
      </c>
      <c r="K37" s="6">
        <f>(VLOOKUP($A37,'Emprego - WIOD-14'!$A:$R,K$1-1993,FALSE)-VLOOKUP($A37,'Emprego - WIOD-16'!$A:$R,K$1-1998,FALSE))/VLOOKUP($A37,'Emprego - WIOD-14'!$A:$R,K$1-1993,FALSE)</f>
        <v>-9.3385885217440144E-3</v>
      </c>
      <c r="L37" s="6">
        <f>(VLOOKUP($A37,'Emprego - WIOD-14'!$A:$R,L$1-1993,FALSE)-VLOOKUP($A37,'Emprego - WIOD-16'!$A:$R,L$1-1998,FALSE))/VLOOKUP($A37,'Emprego - WIOD-14'!$A:$R,L$1-1993,FALSE)</f>
        <v>-3.9742205321088003E-3</v>
      </c>
      <c r="M37" s="6">
        <f>(VLOOKUP($A37,'Emprego - WIOD-14'!$A:$R,M$1-1993,FALSE)-VLOOKUP($A37,'Emprego - WIOD-16'!$A:$R,M$1-1998,FALSE))/VLOOKUP($A37,'Emprego - WIOD-14'!$A:$R,M$1-1993,FALSE)</f>
        <v>-1.3199417671778251E-2</v>
      </c>
      <c r="N37" s="5"/>
      <c r="O37" s="5"/>
    </row>
    <row r="38" spans="1:15" x14ac:dyDescent="0.25">
      <c r="A38" t="s">
        <v>36</v>
      </c>
      <c r="B38" s="6">
        <f>(VLOOKUP($A38,'Emprego - WIOD-14'!$A:$R,B$1-1993,FALSE)-VLOOKUP($A38,'Emprego - WIOD-16'!$A:$R,B$1-1998,FALSE))/VLOOKUP($A38,'Emprego - WIOD-14'!$A:$R,B$1-1993,FALSE)</f>
        <v>-6.975608498127816E-5</v>
      </c>
      <c r="C38" s="6">
        <f>(VLOOKUP($A38,'Emprego - WIOD-14'!$A:$R,C$1-1993,FALSE)-VLOOKUP($A38,'Emprego - WIOD-16'!$A:$R,C$1-1998,FALSE))/VLOOKUP($A38,'Emprego - WIOD-14'!$A:$R,C$1-1993,FALSE)</f>
        <v>-1.0930952814718227E-3</v>
      </c>
      <c r="D38" s="6">
        <f>(VLOOKUP($A38,'Emprego - WIOD-14'!$A:$R,D$1-1993,FALSE)-VLOOKUP($A38,'Emprego - WIOD-16'!$A:$R,D$1-1998,FALSE))/VLOOKUP($A38,'Emprego - WIOD-14'!$A:$R,D$1-1993,FALSE)</f>
        <v>7.5114378831769781E-4</v>
      </c>
      <c r="E38" s="6">
        <f>(VLOOKUP($A38,'Emprego - WIOD-14'!$A:$R,E$1-1993,FALSE)-VLOOKUP($A38,'Emprego - WIOD-16'!$A:$R,E$1-1998,FALSE))/VLOOKUP($A38,'Emprego - WIOD-14'!$A:$R,E$1-1993,FALSE)</f>
        <v>-1.85443805947917E-3</v>
      </c>
      <c r="F38" s="6">
        <f>(VLOOKUP($A38,'Emprego - WIOD-14'!$A:$R,F$1-1993,FALSE)-VLOOKUP($A38,'Emprego - WIOD-16'!$A:$R,F$1-1998,FALSE))/VLOOKUP($A38,'Emprego - WIOD-14'!$A:$R,F$1-1993,FALSE)</f>
        <v>-2.4438603771844885E-3</v>
      </c>
      <c r="G38" s="6">
        <f>(VLOOKUP($A38,'Emprego - WIOD-14'!$A:$R,G$1-1993,FALSE)-VLOOKUP($A38,'Emprego - WIOD-16'!$A:$R,G$1-1998,FALSE))/VLOOKUP($A38,'Emprego - WIOD-14'!$A:$R,G$1-1993,FALSE)</f>
        <v>-1.6325967486028805E-3</v>
      </c>
      <c r="H38" s="6">
        <f>(VLOOKUP($A38,'Emprego - WIOD-14'!$A:$R,H$1-1993,FALSE)-VLOOKUP($A38,'Emprego - WIOD-16'!$A:$R,H$1-1998,FALSE))/VLOOKUP($A38,'Emprego - WIOD-14'!$A:$R,H$1-1993,FALSE)</f>
        <v>-2.6003391746749578E-3</v>
      </c>
      <c r="I38" s="6">
        <f>(VLOOKUP($A38,'Emprego - WIOD-14'!$A:$R,I$1-1993,FALSE)-VLOOKUP($A38,'Emprego - WIOD-16'!$A:$R,I$1-1998,FALSE))/VLOOKUP($A38,'Emprego - WIOD-14'!$A:$R,I$1-1993,FALSE)</f>
        <v>-1.2598634042833294E-3</v>
      </c>
      <c r="J38" s="6">
        <f>(VLOOKUP($A38,'Emprego - WIOD-14'!$A:$R,J$1-1993,FALSE)-VLOOKUP($A38,'Emprego - WIOD-16'!$A:$R,J$1-1998,FALSE))/VLOOKUP($A38,'Emprego - WIOD-14'!$A:$R,J$1-1993,FALSE)</f>
        <v>-5.5824992027434404E-3</v>
      </c>
      <c r="K38" s="6">
        <f>(VLOOKUP($A38,'Emprego - WIOD-14'!$A:$R,K$1-1993,FALSE)-VLOOKUP($A38,'Emprego - WIOD-16'!$A:$R,K$1-1998,FALSE))/VLOOKUP($A38,'Emprego - WIOD-14'!$A:$R,K$1-1993,FALSE)</f>
        <v>-8.393193888806938E-3</v>
      </c>
      <c r="L38" s="6">
        <f>(VLOOKUP($A38,'Emprego - WIOD-14'!$A:$R,L$1-1993,FALSE)-VLOOKUP($A38,'Emprego - WIOD-16'!$A:$R,L$1-1998,FALSE))/VLOOKUP($A38,'Emprego - WIOD-14'!$A:$R,L$1-1993,FALSE)</f>
        <v>-7.4497788921949349E-3</v>
      </c>
      <c r="M38" s="6">
        <f>(VLOOKUP($A38,'Emprego - WIOD-14'!$A:$R,M$1-1993,FALSE)-VLOOKUP($A38,'Emprego - WIOD-16'!$A:$R,M$1-1998,FALSE))/VLOOKUP($A38,'Emprego - WIOD-14'!$A:$R,M$1-1993,FALSE)</f>
        <v>1.1551539116414799E-3</v>
      </c>
      <c r="N38" s="5"/>
      <c r="O38" s="5"/>
    </row>
    <row r="39" spans="1:15" x14ac:dyDescent="0.25">
      <c r="A39" t="s">
        <v>37</v>
      </c>
      <c r="B39" s="6">
        <f>(VLOOKUP($A39,'Emprego - WIOD-14'!$A:$R,B$1-1993,FALSE)-VLOOKUP($A39,'Emprego - WIOD-16'!$A:$R,B$1-1998,FALSE))/VLOOKUP($A39,'Emprego - WIOD-14'!$A:$R,B$1-1993,FALSE)</f>
        <v>-5.3827247451343825E-2</v>
      </c>
      <c r="C39" s="6">
        <f>(VLOOKUP($A39,'Emprego - WIOD-14'!$A:$R,C$1-1993,FALSE)-VLOOKUP($A39,'Emprego - WIOD-16'!$A:$R,C$1-1998,FALSE))/VLOOKUP($A39,'Emprego - WIOD-14'!$A:$R,C$1-1993,FALSE)</f>
        <v>-5.6248838505853757E-2</v>
      </c>
      <c r="D39" s="6">
        <f>(VLOOKUP($A39,'Emprego - WIOD-14'!$A:$R,D$1-1993,FALSE)-VLOOKUP($A39,'Emprego - WIOD-16'!$A:$R,D$1-1998,FALSE))/VLOOKUP($A39,'Emprego - WIOD-14'!$A:$R,D$1-1993,FALSE)</f>
        <v>-2.1764072304954574E-2</v>
      </c>
      <c r="E39" s="6">
        <f>(VLOOKUP($A39,'Emprego - WIOD-14'!$A:$R,E$1-1993,FALSE)-VLOOKUP($A39,'Emprego - WIOD-16'!$A:$R,E$1-1998,FALSE))/VLOOKUP($A39,'Emprego - WIOD-14'!$A:$R,E$1-1993,FALSE)</f>
        <v>-1.4859554546744043E-2</v>
      </c>
      <c r="F39" s="6">
        <f>(VLOOKUP($A39,'Emprego - WIOD-14'!$A:$R,F$1-1993,FALSE)-VLOOKUP($A39,'Emprego - WIOD-16'!$A:$R,F$1-1998,FALSE))/VLOOKUP($A39,'Emprego - WIOD-14'!$A:$R,F$1-1993,FALSE)</f>
        <v>-1.2997929320817054E-2</v>
      </c>
      <c r="G39" s="6">
        <f>(VLOOKUP($A39,'Emprego - WIOD-14'!$A:$R,G$1-1993,FALSE)-VLOOKUP($A39,'Emprego - WIOD-16'!$A:$R,G$1-1998,FALSE))/VLOOKUP($A39,'Emprego - WIOD-14'!$A:$R,G$1-1993,FALSE)</f>
        <v>-9.0139369648385981E-3</v>
      </c>
      <c r="H39" s="6">
        <f>(VLOOKUP($A39,'Emprego - WIOD-14'!$A:$R,H$1-1993,FALSE)-VLOOKUP($A39,'Emprego - WIOD-16'!$A:$R,H$1-1998,FALSE))/VLOOKUP($A39,'Emprego - WIOD-14'!$A:$R,H$1-1993,FALSE)</f>
        <v>-8.1677112567300654E-3</v>
      </c>
      <c r="I39" s="6">
        <f>(VLOOKUP($A39,'Emprego - WIOD-14'!$A:$R,I$1-1993,FALSE)-VLOOKUP($A39,'Emprego - WIOD-16'!$A:$R,I$1-1998,FALSE))/VLOOKUP($A39,'Emprego - WIOD-14'!$A:$R,I$1-1993,FALSE)</f>
        <v>-9.1042573467329801E-3</v>
      </c>
      <c r="J39" s="6">
        <f>(VLOOKUP($A39,'Emprego - WIOD-14'!$A:$R,J$1-1993,FALSE)-VLOOKUP($A39,'Emprego - WIOD-16'!$A:$R,J$1-1998,FALSE))/VLOOKUP($A39,'Emprego - WIOD-14'!$A:$R,J$1-1993,FALSE)</f>
        <v>-9.9672464796056945E-3</v>
      </c>
      <c r="K39" s="6">
        <f>(VLOOKUP($A39,'Emprego - WIOD-14'!$A:$R,K$1-1993,FALSE)-VLOOKUP($A39,'Emprego - WIOD-16'!$A:$R,K$1-1998,FALSE))/VLOOKUP($A39,'Emprego - WIOD-14'!$A:$R,K$1-1993,FALSE)</f>
        <v>-1.4960987074030553E-2</v>
      </c>
      <c r="L39" s="6">
        <f>(VLOOKUP($A39,'Emprego - WIOD-14'!$A:$R,L$1-1993,FALSE)-VLOOKUP($A39,'Emprego - WIOD-16'!$A:$R,L$1-1998,FALSE))/VLOOKUP($A39,'Emprego - WIOD-14'!$A:$R,L$1-1993,FALSE)</f>
        <v>-1.181673747565974E-2</v>
      </c>
      <c r="M39" s="6">
        <f>(VLOOKUP($A39,'Emprego - WIOD-14'!$A:$R,M$1-1993,FALSE)-VLOOKUP($A39,'Emprego - WIOD-16'!$A:$R,M$1-1998,FALSE))/VLOOKUP($A39,'Emprego - WIOD-14'!$A:$R,M$1-1993,FALSE)</f>
        <v>-7.8712513998921568E-3</v>
      </c>
      <c r="N39" s="5"/>
      <c r="O39" s="5"/>
    </row>
    <row r="40" spans="1:15" x14ac:dyDescent="0.25">
      <c r="A40" t="s">
        <v>38</v>
      </c>
      <c r="B40" s="6">
        <f>(VLOOKUP($A40,'Emprego - WIOD-14'!$A:$R,B$1-1993,FALSE)-VLOOKUP($A40,'Emprego - WIOD-16'!$A:$R,B$1-1998,FALSE))/VLOOKUP($A40,'Emprego - WIOD-14'!$A:$R,B$1-1993,FALSE)</f>
        <v>-0.76389142440345936</v>
      </c>
      <c r="C40" s="6">
        <f>(VLOOKUP($A40,'Emprego - WIOD-14'!$A:$R,C$1-1993,FALSE)-VLOOKUP($A40,'Emprego - WIOD-16'!$A:$R,C$1-1998,FALSE))/VLOOKUP($A40,'Emprego - WIOD-14'!$A:$R,C$1-1993,FALSE)</f>
        <v>-0.81811030587232225</v>
      </c>
      <c r="D40" s="6">
        <f>(VLOOKUP($A40,'Emprego - WIOD-14'!$A:$R,D$1-1993,FALSE)-VLOOKUP($A40,'Emprego - WIOD-16'!$A:$R,D$1-1998,FALSE))/VLOOKUP($A40,'Emprego - WIOD-14'!$A:$R,D$1-1993,FALSE)</f>
        <v>-0.91216321133911538</v>
      </c>
      <c r="E40" s="6">
        <f>(VLOOKUP($A40,'Emprego - WIOD-14'!$A:$R,E$1-1993,FALSE)-VLOOKUP($A40,'Emprego - WIOD-16'!$A:$R,E$1-1998,FALSE))/VLOOKUP($A40,'Emprego - WIOD-14'!$A:$R,E$1-1993,FALSE)</f>
        <v>-0.89215500313348617</v>
      </c>
      <c r="F40" s="6">
        <f>(VLOOKUP($A40,'Emprego - WIOD-14'!$A:$R,F$1-1993,FALSE)-VLOOKUP($A40,'Emprego - WIOD-16'!$A:$R,F$1-1998,FALSE))/VLOOKUP($A40,'Emprego - WIOD-14'!$A:$R,F$1-1993,FALSE)</f>
        <v>-0.87466588307440762</v>
      </c>
      <c r="G40" s="6">
        <f>(VLOOKUP($A40,'Emprego - WIOD-14'!$A:$R,G$1-1993,FALSE)-VLOOKUP($A40,'Emprego - WIOD-16'!$A:$R,G$1-1998,FALSE))/VLOOKUP($A40,'Emprego - WIOD-14'!$A:$R,G$1-1993,FALSE)</f>
        <v>-0.86709514231117402</v>
      </c>
      <c r="H40" s="6">
        <f>(VLOOKUP($A40,'Emprego - WIOD-14'!$A:$R,H$1-1993,FALSE)-VLOOKUP($A40,'Emprego - WIOD-16'!$A:$R,H$1-1998,FALSE))/VLOOKUP($A40,'Emprego - WIOD-14'!$A:$R,H$1-1993,FALSE)</f>
        <v>-0.87946801147038389</v>
      </c>
      <c r="I40" s="6">
        <f>(VLOOKUP($A40,'Emprego - WIOD-14'!$A:$R,I$1-1993,FALSE)-VLOOKUP($A40,'Emprego - WIOD-16'!$A:$R,I$1-1998,FALSE))/VLOOKUP($A40,'Emprego - WIOD-14'!$A:$R,I$1-1993,FALSE)</f>
        <v>-0.86905421686746986</v>
      </c>
      <c r="J40" s="6">
        <f>(VLOOKUP($A40,'Emprego - WIOD-14'!$A:$R,J$1-1993,FALSE)-VLOOKUP($A40,'Emprego - WIOD-16'!$A:$R,J$1-1998,FALSE))/VLOOKUP($A40,'Emprego - WIOD-14'!$A:$R,J$1-1993,FALSE)</f>
        <v>-0.82971318723567855</v>
      </c>
      <c r="K40" s="6">
        <f>(VLOOKUP($A40,'Emprego - WIOD-14'!$A:$R,K$1-1993,FALSE)-VLOOKUP($A40,'Emprego - WIOD-16'!$A:$R,K$1-1998,FALSE))/VLOOKUP($A40,'Emprego - WIOD-14'!$A:$R,K$1-1993,FALSE)</f>
        <v>-0.87471028310146903</v>
      </c>
      <c r="L40" s="6">
        <f>(VLOOKUP($A40,'Emprego - WIOD-14'!$A:$R,L$1-1993,FALSE)-VLOOKUP($A40,'Emprego - WIOD-16'!$A:$R,L$1-1998,FALSE))/VLOOKUP($A40,'Emprego - WIOD-14'!$A:$R,L$1-1993,FALSE)</f>
        <v>-0.88006133766273908</v>
      </c>
      <c r="M40" s="6">
        <f>(VLOOKUP($A40,'Emprego - WIOD-14'!$A:$R,M$1-1993,FALSE)-VLOOKUP($A40,'Emprego - WIOD-16'!$A:$R,M$1-1998,FALSE))/VLOOKUP($A40,'Emprego - WIOD-14'!$A:$R,M$1-1993,FALSE)</f>
        <v>-0.82860977101720812</v>
      </c>
      <c r="N40" s="5"/>
      <c r="O40" s="5"/>
    </row>
    <row r="41" spans="1:15" x14ac:dyDescent="0.25">
      <c r="A41" t="s">
        <v>39</v>
      </c>
      <c r="B41" s="6">
        <f>(VLOOKUP($A41,'Emprego - WIOD-14'!$A:$R,B$1-1993,FALSE)-VLOOKUP($A41,'Emprego - WIOD-16'!$A:$R,B$1-1998,FALSE))/VLOOKUP($A41,'Emprego - WIOD-14'!$A:$R,B$1-1993,FALSE)</f>
        <v>-1.8391105872364595E-2</v>
      </c>
      <c r="C41" s="6">
        <f>(VLOOKUP($A41,'Emprego - WIOD-14'!$A:$R,C$1-1993,FALSE)-VLOOKUP($A41,'Emprego - WIOD-16'!$A:$R,C$1-1998,FALSE))/VLOOKUP($A41,'Emprego - WIOD-14'!$A:$R,C$1-1993,FALSE)</f>
        <v>-2.4393022812356176E-2</v>
      </c>
      <c r="D41" s="6">
        <f>(VLOOKUP($A41,'Emprego - WIOD-14'!$A:$R,D$1-1993,FALSE)-VLOOKUP($A41,'Emprego - WIOD-16'!$A:$R,D$1-1998,FALSE))/VLOOKUP($A41,'Emprego - WIOD-14'!$A:$R,D$1-1993,FALSE)</f>
        <v>-2.6087594223917179E-2</v>
      </c>
      <c r="E41" s="6">
        <f>(VLOOKUP($A41,'Emprego - WIOD-14'!$A:$R,E$1-1993,FALSE)-VLOOKUP($A41,'Emprego - WIOD-16'!$A:$R,E$1-1998,FALSE))/VLOOKUP($A41,'Emprego - WIOD-14'!$A:$R,E$1-1993,FALSE)</f>
        <v>-2.3419336683030235E-2</v>
      </c>
      <c r="F41" s="6">
        <f>(VLOOKUP($A41,'Emprego - WIOD-14'!$A:$R,F$1-1993,FALSE)-VLOOKUP($A41,'Emprego - WIOD-16'!$A:$R,F$1-1998,FALSE))/VLOOKUP($A41,'Emprego - WIOD-14'!$A:$R,F$1-1993,FALSE)</f>
        <v>-2.1674289953145017E-2</v>
      </c>
      <c r="G41" s="6">
        <f>(VLOOKUP($A41,'Emprego - WIOD-14'!$A:$R,G$1-1993,FALSE)-VLOOKUP($A41,'Emprego - WIOD-16'!$A:$R,G$1-1998,FALSE))/VLOOKUP($A41,'Emprego - WIOD-14'!$A:$R,G$1-1993,FALSE)</f>
        <v>-2.0793971276354538E-2</v>
      </c>
      <c r="H41" s="6">
        <f>(VLOOKUP($A41,'Emprego - WIOD-14'!$A:$R,H$1-1993,FALSE)-VLOOKUP($A41,'Emprego - WIOD-16'!$A:$R,H$1-1998,FALSE))/VLOOKUP($A41,'Emprego - WIOD-14'!$A:$R,H$1-1993,FALSE)</f>
        <v>-2.4380585916545898E-2</v>
      </c>
      <c r="I41" s="6">
        <f>(VLOOKUP($A41,'Emprego - WIOD-14'!$A:$R,I$1-1993,FALSE)-VLOOKUP($A41,'Emprego - WIOD-16'!$A:$R,I$1-1998,FALSE))/VLOOKUP($A41,'Emprego - WIOD-14'!$A:$R,I$1-1993,FALSE)</f>
        <v>-1.9672350829624086E-2</v>
      </c>
      <c r="J41" s="6">
        <f>(VLOOKUP($A41,'Emprego - WIOD-14'!$A:$R,J$1-1993,FALSE)-VLOOKUP($A41,'Emprego - WIOD-16'!$A:$R,J$1-1998,FALSE))/VLOOKUP($A41,'Emprego - WIOD-14'!$A:$R,J$1-1993,FALSE)</f>
        <v>-1.9463101020276711E-2</v>
      </c>
      <c r="K41" s="6">
        <f>(VLOOKUP($A41,'Emprego - WIOD-14'!$A:$R,K$1-1993,FALSE)-VLOOKUP($A41,'Emprego - WIOD-16'!$A:$R,K$1-1998,FALSE))/VLOOKUP($A41,'Emprego - WIOD-14'!$A:$R,K$1-1993,FALSE)</f>
        <v>-1.7623298306141608E-2</v>
      </c>
      <c r="L41" s="6">
        <f>(VLOOKUP($A41,'Emprego - WIOD-14'!$A:$R,L$1-1993,FALSE)-VLOOKUP($A41,'Emprego - WIOD-16'!$A:$R,L$1-1998,FALSE))/VLOOKUP($A41,'Emprego - WIOD-14'!$A:$R,L$1-1993,FALSE)</f>
        <v>-1.3788857086048966E-2</v>
      </c>
      <c r="M41" s="6">
        <f>(VLOOKUP($A41,'Emprego - WIOD-14'!$A:$R,M$1-1993,FALSE)-VLOOKUP($A41,'Emprego - WIOD-16'!$A:$R,M$1-1998,FALSE))/VLOOKUP($A41,'Emprego - WIOD-14'!$A:$R,M$1-1993,FALSE)</f>
        <v>-1.614689239518264E-2</v>
      </c>
      <c r="N41" s="5"/>
      <c r="O41" s="5"/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U17"/>
  <sheetViews>
    <sheetView topLeftCell="L1" workbookViewId="0">
      <selection activeCell="B16" sqref="B16:U17"/>
    </sheetView>
  </sheetViews>
  <sheetFormatPr defaultRowHeight="15" x14ac:dyDescent="0.25"/>
  <cols>
    <col min="2" max="21" width="16.85546875" bestFit="1" customWidth="1"/>
  </cols>
  <sheetData>
    <row r="3" spans="1:21" x14ac:dyDescent="0.25">
      <c r="B3" s="1">
        <v>1995</v>
      </c>
      <c r="C3" s="1">
        <v>1996</v>
      </c>
      <c r="D3" s="1">
        <v>1997</v>
      </c>
      <c r="E3" s="1">
        <v>1998</v>
      </c>
      <c r="F3" s="1">
        <v>1999</v>
      </c>
      <c r="G3" s="1">
        <v>2000</v>
      </c>
      <c r="H3" s="1">
        <v>2001</v>
      </c>
      <c r="I3" s="1">
        <v>2002</v>
      </c>
      <c r="J3" s="1">
        <v>2003</v>
      </c>
      <c r="K3" s="1">
        <v>2004</v>
      </c>
      <c r="L3" s="1">
        <v>2005</v>
      </c>
      <c r="M3" s="1">
        <v>2006</v>
      </c>
      <c r="N3" s="1">
        <v>2007</v>
      </c>
      <c r="O3" s="1">
        <v>2008</v>
      </c>
      <c r="P3" s="1">
        <v>2009</v>
      </c>
      <c r="Q3" s="1">
        <v>2010</v>
      </c>
      <c r="R3" s="1">
        <v>2011</v>
      </c>
      <c r="S3" s="1">
        <v>2012</v>
      </c>
      <c r="T3" s="1">
        <v>2013</v>
      </c>
      <c r="U3" s="1">
        <v>2014</v>
      </c>
    </row>
    <row r="4" spans="1:21" x14ac:dyDescent="0.25">
      <c r="A4" t="s">
        <v>67</v>
      </c>
      <c r="B4" s="2">
        <v>2381919569.2864866</v>
      </c>
      <c r="C4" s="2">
        <v>2401515084.4403954</v>
      </c>
      <c r="D4" s="2">
        <v>2424251853.249989</v>
      </c>
      <c r="E4" s="2">
        <v>2443303163.8279934</v>
      </c>
      <c r="F4" s="2">
        <v>2469187782.3074079</v>
      </c>
      <c r="G4" s="2">
        <v>2491024188.6652503</v>
      </c>
      <c r="H4" s="2">
        <v>2497475553.4804158</v>
      </c>
      <c r="I4" s="2">
        <v>2501289179.946661</v>
      </c>
      <c r="J4" s="2">
        <v>2507388848.1645031</v>
      </c>
      <c r="K4" s="2">
        <v>2525430956.1848898</v>
      </c>
      <c r="L4" s="2">
        <v>2543912951.5469503</v>
      </c>
      <c r="M4" s="2">
        <v>2558307778.6343598</v>
      </c>
      <c r="N4" s="2">
        <v>2576388231.6066904</v>
      </c>
      <c r="O4" s="2">
        <v>2584170800.9868379</v>
      </c>
      <c r="P4" s="2">
        <v>2568274182.4612885</v>
      </c>
      <c r="Q4" s="2">
        <v>2572827972.1587954</v>
      </c>
      <c r="R4" s="2">
        <v>2579408278.0225191</v>
      </c>
      <c r="S4" s="2">
        <v>2590509268.8956733</v>
      </c>
      <c r="T4" s="2">
        <v>2598274848.3584418</v>
      </c>
      <c r="U4" s="2">
        <v>2611595507.4804149</v>
      </c>
    </row>
    <row r="5" spans="1:21" x14ac:dyDescent="0.25">
      <c r="A5" t="s">
        <v>68</v>
      </c>
      <c r="B5" s="2">
        <v>2391356971.2237015</v>
      </c>
      <c r="C5" s="2">
        <v>2411060319.6948023</v>
      </c>
      <c r="D5" s="2">
        <v>2433832589.14994</v>
      </c>
      <c r="E5" s="2">
        <v>2452990794.1637335</v>
      </c>
      <c r="F5" s="2">
        <v>2478866646.736887</v>
      </c>
      <c r="G5" s="2">
        <v>2500650746.8192186</v>
      </c>
      <c r="H5" s="2">
        <v>2507088586.3060937</v>
      </c>
      <c r="I5" s="2">
        <v>2510911762.0008564</v>
      </c>
      <c r="J5" s="2">
        <v>2516976691.0640545</v>
      </c>
      <c r="K5" s="2">
        <v>2535065635.9415607</v>
      </c>
      <c r="L5" s="2">
        <v>2553576974.288692</v>
      </c>
      <c r="M5" s="2">
        <v>2568128541.3241615</v>
      </c>
      <c r="N5" s="2">
        <v>2586426645.2488003</v>
      </c>
      <c r="O5" s="2">
        <v>2594448272.2492366</v>
      </c>
      <c r="P5" s="2">
        <v>2578534108.9277196</v>
      </c>
      <c r="Q5" s="2">
        <v>2582913332.40242</v>
      </c>
      <c r="R5" s="2">
        <v>2589550517.5168881</v>
      </c>
      <c r="S5" s="2">
        <v>2600681271.5381551</v>
      </c>
      <c r="T5" s="2">
        <v>2608453442.0070705</v>
      </c>
      <c r="U5" s="2">
        <v>2621928891.1708221</v>
      </c>
    </row>
    <row r="6" spans="1:21" x14ac:dyDescent="0.25">
      <c r="A6" t="s">
        <v>62</v>
      </c>
      <c r="B6" s="2">
        <v>1130605363.5984468</v>
      </c>
      <c r="C6" s="2">
        <v>1151351574.0750437</v>
      </c>
      <c r="D6" s="2">
        <v>1174083536.119947</v>
      </c>
      <c r="E6" s="2">
        <v>1192519063.6893449</v>
      </c>
      <c r="F6" s="2">
        <v>1211299986.4449816</v>
      </c>
      <c r="G6" s="2">
        <v>1235573819.5345073</v>
      </c>
      <c r="H6" s="2">
        <v>1257416993.501092</v>
      </c>
      <c r="I6" s="2">
        <v>1277157943.6299071</v>
      </c>
      <c r="J6" s="2">
        <v>1303455849.9461055</v>
      </c>
      <c r="K6" s="2">
        <v>1333531614.1391125</v>
      </c>
      <c r="L6" s="2">
        <v>1360366474.463273</v>
      </c>
      <c r="M6" s="2">
        <v>1390273051.2578344</v>
      </c>
      <c r="N6" s="2">
        <v>1420922533.5356703</v>
      </c>
      <c r="O6" s="2">
        <v>1447574340.8651938</v>
      </c>
      <c r="P6" s="2">
        <v>1467536289.7470531</v>
      </c>
      <c r="Q6" s="2">
        <v>1493487826.230638</v>
      </c>
      <c r="R6" s="2">
        <v>1523623015.6584911</v>
      </c>
      <c r="S6" s="2">
        <v>1548657713.6655979</v>
      </c>
      <c r="T6" s="2">
        <v>1573223049.6033893</v>
      </c>
      <c r="U6" s="2">
        <v>1599014399.037168</v>
      </c>
    </row>
    <row r="7" spans="1:21" x14ac:dyDescent="0.25">
      <c r="A7" t="s">
        <v>63</v>
      </c>
      <c r="B7" s="2">
        <v>1121167961.6612322</v>
      </c>
      <c r="C7" s="2">
        <v>1141806338.8206367</v>
      </c>
      <c r="D7" s="2">
        <v>1164502800.2199957</v>
      </c>
      <c r="E7" s="2">
        <v>1182831433.3536046</v>
      </c>
      <c r="F7" s="2">
        <v>1201621122.0155022</v>
      </c>
      <c r="G7" s="2">
        <v>1225947261.3805387</v>
      </c>
      <c r="H7" s="2">
        <v>1247803960.6754143</v>
      </c>
      <c r="I7" s="2">
        <v>1267535361.5757115</v>
      </c>
      <c r="J7" s="2">
        <v>1293868007.0465539</v>
      </c>
      <c r="K7" s="2">
        <v>1323896934.3824413</v>
      </c>
      <c r="L7" s="2">
        <v>1350702451.7215314</v>
      </c>
      <c r="M7" s="2">
        <v>1380452288.5680325</v>
      </c>
      <c r="N7" s="2">
        <v>1410884119.8935604</v>
      </c>
      <c r="O7" s="2">
        <v>1437296869.6027954</v>
      </c>
      <c r="P7" s="2">
        <v>1457276363.2806222</v>
      </c>
      <c r="Q7" s="2">
        <v>1483402465.9870131</v>
      </c>
      <c r="R7" s="2">
        <v>1513480776.1641221</v>
      </c>
      <c r="S7" s="2">
        <v>1538485711.0231159</v>
      </c>
      <c r="T7" s="2">
        <v>1563044455.9547608</v>
      </c>
      <c r="U7" s="2">
        <v>1588681015.3467607</v>
      </c>
    </row>
    <row r="8" spans="1:21" x14ac:dyDescent="0.25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spans="1:21" x14ac:dyDescent="0.25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1:21" x14ac:dyDescent="0.25">
      <c r="A10" t="s">
        <v>69</v>
      </c>
      <c r="B10" s="2">
        <v>1804246882.9876232</v>
      </c>
      <c r="C10" s="2">
        <v>1829453488.959672</v>
      </c>
      <c r="D10" s="2">
        <v>1851218056.2073882</v>
      </c>
      <c r="E10" s="2">
        <v>1867721511.5592172</v>
      </c>
      <c r="F10" s="2">
        <v>1887812690.6103604</v>
      </c>
      <c r="G10" s="2">
        <v>1925984927.5505214</v>
      </c>
      <c r="H10" s="2">
        <v>1953963305.2062886</v>
      </c>
      <c r="I10" s="2">
        <v>1955749777.8124156</v>
      </c>
      <c r="J10" s="2">
        <v>1991863736.3982739</v>
      </c>
      <c r="K10" s="2">
        <v>2019807511.9089746</v>
      </c>
      <c r="L10" s="2">
        <v>2048227219.2936368</v>
      </c>
      <c r="M10" s="2">
        <v>2069338864.4175882</v>
      </c>
      <c r="N10" s="2">
        <v>2078652931.566725</v>
      </c>
      <c r="O10" s="2">
        <v>2096402875.2401528</v>
      </c>
      <c r="P10" s="2">
        <v>2087693243.7903979</v>
      </c>
      <c r="Q10" s="2">
        <v>2129377881.6024184</v>
      </c>
      <c r="R10" s="2">
        <v>2157884155.1257577</v>
      </c>
      <c r="S10" s="2"/>
      <c r="T10" s="2"/>
      <c r="U10" s="2"/>
    </row>
    <row r="11" spans="1:21" x14ac:dyDescent="0.25">
      <c r="A11" t="s">
        <v>70</v>
      </c>
      <c r="B11" s="2"/>
      <c r="C11" s="2"/>
      <c r="D11" s="2"/>
      <c r="E11" s="2"/>
      <c r="F11" s="2"/>
      <c r="G11" s="2">
        <v>1932920426.7551</v>
      </c>
      <c r="H11" s="2">
        <v>1957887882.9653001</v>
      </c>
      <c r="I11" s="2">
        <v>1982383518.4753001</v>
      </c>
      <c r="J11" s="2">
        <v>2009539699.7753999</v>
      </c>
      <c r="K11" s="2">
        <v>2042935898.1939001</v>
      </c>
      <c r="L11" s="2">
        <v>2064180340.3276997</v>
      </c>
      <c r="M11" s="2">
        <v>2082675387.9437001</v>
      </c>
      <c r="N11" s="2">
        <v>2102940246.7542</v>
      </c>
      <c r="O11" s="2">
        <v>2116422630.8889</v>
      </c>
      <c r="P11" s="2">
        <v>2112280820.8792</v>
      </c>
      <c r="Q11" s="2">
        <v>2120914047.8942997</v>
      </c>
      <c r="R11" s="2">
        <v>2191790752.5183001</v>
      </c>
      <c r="S11" s="2">
        <v>2292869573.1091003</v>
      </c>
      <c r="T11" s="2">
        <v>2384650804.9362998</v>
      </c>
      <c r="U11" s="2">
        <v>2462281843.6915998</v>
      </c>
    </row>
    <row r="13" spans="1:21" x14ac:dyDescent="0.25">
      <c r="A13" t="s">
        <v>71</v>
      </c>
      <c r="B13" s="6">
        <f t="shared" ref="B13:R13" si="0">B10/B4</f>
        <v>0.75747598963977292</v>
      </c>
      <c r="C13" s="6">
        <f t="shared" si="0"/>
        <v>0.76179137945576303</v>
      </c>
      <c r="D13" s="6">
        <f t="shared" si="0"/>
        <v>0.76362447809439316</v>
      </c>
      <c r="E13" s="6">
        <f t="shared" si="0"/>
        <v>0.76442479149128761</v>
      </c>
      <c r="F13" s="6">
        <f t="shared" si="0"/>
        <v>0.7645480445582945</v>
      </c>
      <c r="G13" s="6">
        <f t="shared" si="0"/>
        <v>0.77316990188782941</v>
      </c>
      <c r="H13" s="6">
        <f t="shared" si="0"/>
        <v>0.78237534797219421</v>
      </c>
      <c r="I13" s="6">
        <f t="shared" si="0"/>
        <v>0.7818967089019756</v>
      </c>
      <c r="J13" s="6">
        <f t="shared" si="0"/>
        <v>0.79439762119720214</v>
      </c>
      <c r="K13" s="6">
        <f t="shared" si="0"/>
        <v>0.79978726282830204</v>
      </c>
      <c r="L13" s="6">
        <f t="shared" si="0"/>
        <v>0.80514831218894989</v>
      </c>
      <c r="M13" s="6">
        <f t="shared" si="0"/>
        <v>0.80887017648916892</v>
      </c>
      <c r="N13" s="6">
        <f t="shared" si="0"/>
        <v>0.80680889085975716</v>
      </c>
      <c r="O13" s="6">
        <f t="shared" si="0"/>
        <v>0.81124779927069168</v>
      </c>
      <c r="P13" s="6">
        <f t="shared" si="0"/>
        <v>0.81287786874439982</v>
      </c>
      <c r="Q13" s="6">
        <f t="shared" si="0"/>
        <v>0.82764098674491282</v>
      </c>
      <c r="R13" s="6">
        <f t="shared" si="0"/>
        <v>0.83658107695152506</v>
      </c>
      <c r="S13" s="6"/>
      <c r="T13" s="6"/>
      <c r="U13" s="6"/>
    </row>
    <row r="14" spans="1:21" x14ac:dyDescent="0.25">
      <c r="A14" t="s">
        <v>72</v>
      </c>
      <c r="B14" s="6"/>
      <c r="C14" s="6"/>
      <c r="D14" s="6"/>
      <c r="E14" s="6"/>
      <c r="F14" s="6"/>
      <c r="G14" s="6">
        <f t="shared" ref="G14:U14" si="1">G11/G5</f>
        <v>0.77296696838362533</v>
      </c>
      <c r="H14" s="6">
        <f t="shared" si="1"/>
        <v>0.78094084654983109</v>
      </c>
      <c r="I14" s="6">
        <f t="shared" si="1"/>
        <v>0.78950744047477361</v>
      </c>
      <c r="J14" s="6">
        <f t="shared" si="1"/>
        <v>0.79839424294623285</v>
      </c>
      <c r="K14" s="6">
        <f t="shared" si="1"/>
        <v>0.80587100753118113</v>
      </c>
      <c r="L14" s="6">
        <f t="shared" si="1"/>
        <v>0.80834858753481853</v>
      </c>
      <c r="M14" s="6">
        <f t="shared" si="1"/>
        <v>0.81097007195358095</v>
      </c>
      <c r="N14" s="6">
        <f t="shared" si="1"/>
        <v>0.81306780944947643</v>
      </c>
      <c r="O14" s="6">
        <f t="shared" si="1"/>
        <v>0.81575055996552359</v>
      </c>
      <c r="P14" s="6">
        <f t="shared" si="1"/>
        <v>0.81917893331943925</v>
      </c>
      <c r="Q14" s="6">
        <f t="shared" si="1"/>
        <v>0.82113248682703366</v>
      </c>
      <c r="R14" s="6">
        <f t="shared" si="1"/>
        <v>0.8463981442694547</v>
      </c>
      <c r="S14" s="6">
        <f t="shared" si="1"/>
        <v>0.88164189829882478</v>
      </c>
      <c r="T14" s="6">
        <f t="shared" si="1"/>
        <v>0.91420102292545957</v>
      </c>
      <c r="U14" s="6">
        <f t="shared" si="1"/>
        <v>0.93911084010827928</v>
      </c>
    </row>
    <row r="16" spans="1:21" x14ac:dyDescent="0.25">
      <c r="A16" t="s">
        <v>62</v>
      </c>
      <c r="B16" s="5">
        <f>B6*B13</f>
        <v>856406416.68376887</v>
      </c>
      <c r="C16" s="5">
        <f t="shared" ref="C16:R16" si="2">C6*C13</f>
        <v>877089703.85319161</v>
      </c>
      <c r="D16" s="5">
        <f t="shared" si="2"/>
        <v>896558927.5088141</v>
      </c>
      <c r="E16" s="5">
        <f t="shared" si="2"/>
        <v>911591136.61011302</v>
      </c>
      <c r="F16" s="5">
        <f t="shared" si="2"/>
        <v>926097036.00999928</v>
      </c>
      <c r="G16" s="5">
        <f t="shared" si="2"/>
        <v>955308488.82466567</v>
      </c>
      <c r="H16" s="5">
        <f t="shared" si="2"/>
        <v>983772057.83656704</v>
      </c>
      <c r="I16" s="5">
        <f t="shared" si="2"/>
        <v>998605592.87223923</v>
      </c>
      <c r="J16" s="5">
        <f t="shared" si="2"/>
        <v>1035462226.5327635</v>
      </c>
      <c r="K16" s="5">
        <f t="shared" si="2"/>
        <v>1066541599.5673282</v>
      </c>
      <c r="L16" s="5">
        <f t="shared" si="2"/>
        <v>1095296770.8725364</v>
      </c>
      <c r="M16" s="5">
        <f t="shared" si="2"/>
        <v>1124550408.3390598</v>
      </c>
      <c r="N16" s="5">
        <f t="shared" si="2"/>
        <v>1146412933.2795503</v>
      </c>
      <c r="O16" s="5">
        <f t="shared" si="2"/>
        <v>1174341498.3076105</v>
      </c>
      <c r="P16" s="5">
        <f t="shared" si="2"/>
        <v>1192927771.5146487</v>
      </c>
      <c r="Q16" s="5">
        <f t="shared" si="2"/>
        <v>1236071738.1930401</v>
      </c>
      <c r="R16" s="5">
        <f t="shared" si="2"/>
        <v>1274634183.3077109</v>
      </c>
      <c r="S16" s="5"/>
    </row>
    <row r="17" spans="1:21" x14ac:dyDescent="0.25">
      <c r="A17" t="s">
        <v>63</v>
      </c>
      <c r="G17" s="5">
        <f>G7*G14</f>
        <v>947616738.02752292</v>
      </c>
      <c r="H17" s="5">
        <f t="shared" ref="H17:U17" si="3">H7*H14</f>
        <v>974461081.37809026</v>
      </c>
      <c r="I17" s="5">
        <f t="shared" si="3"/>
        <v>1000728599.0289067</v>
      </c>
      <c r="J17" s="5">
        <f t="shared" si="3"/>
        <v>1033016767.9582844</v>
      </c>
      <c r="K17" s="5">
        <f t="shared" si="3"/>
        <v>1066890156.37822</v>
      </c>
      <c r="L17" s="5">
        <f t="shared" si="3"/>
        <v>1091838419.0289164</v>
      </c>
      <c r="M17" s="5">
        <f t="shared" si="3"/>
        <v>1119505491.7885029</v>
      </c>
      <c r="N17" s="5">
        <f t="shared" si="3"/>
        <v>1147144460.7489097</v>
      </c>
      <c r="O17" s="5">
        <f t="shared" si="3"/>
        <v>1172475726.2151744</v>
      </c>
      <c r="P17" s="5">
        <f t="shared" si="3"/>
        <v>1193770096.8238518</v>
      </c>
      <c r="Q17" s="5">
        <f t="shared" si="3"/>
        <v>1218069955.8612702</v>
      </c>
      <c r="R17" s="5">
        <f t="shared" si="3"/>
        <v>1281007320.3328068</v>
      </c>
      <c r="S17" s="5">
        <f t="shared" si="3"/>
        <v>1356393462.772037</v>
      </c>
      <c r="T17" s="5">
        <f t="shared" si="3"/>
        <v>1428936840.5118108</v>
      </c>
      <c r="U17" s="5">
        <f t="shared" si="3"/>
        <v>1491947562.9863706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"/>
  <sheetViews>
    <sheetView tabSelected="1" workbookViewId="0">
      <selection activeCell="G4" sqref="G4"/>
    </sheetView>
  </sheetViews>
  <sheetFormatPr defaultRowHeight="15" x14ac:dyDescent="0.25"/>
  <sheetData>
    <row r="1" spans="1:21" x14ac:dyDescent="0.25">
      <c r="A1" t="s">
        <v>75</v>
      </c>
      <c r="B1" s="1">
        <v>1995</v>
      </c>
      <c r="C1" s="1">
        <v>1996</v>
      </c>
      <c r="D1" s="1">
        <v>1997</v>
      </c>
      <c r="E1" s="1">
        <v>1998</v>
      </c>
      <c r="F1" s="1">
        <v>1999</v>
      </c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</row>
    <row r="2" spans="1:21" x14ac:dyDescent="0.25">
      <c r="A2" t="s">
        <v>73</v>
      </c>
      <c r="B2" s="5">
        <v>856406416.68376887</v>
      </c>
      <c r="C2" s="5">
        <v>877089703.85319161</v>
      </c>
      <c r="D2" s="5">
        <v>896558927.5088141</v>
      </c>
      <c r="E2" s="5">
        <v>911591136.61011302</v>
      </c>
      <c r="F2" s="5">
        <v>926097036.00999928</v>
      </c>
      <c r="G2" s="5">
        <v>955308488.82466567</v>
      </c>
      <c r="H2" s="5">
        <v>983772057.83656704</v>
      </c>
      <c r="I2" s="5">
        <v>998605592.87223923</v>
      </c>
      <c r="J2" s="5">
        <v>1035462226.5327635</v>
      </c>
      <c r="K2" s="5">
        <v>1066541599.5673282</v>
      </c>
      <c r="L2" s="5">
        <v>1095296770.8725364</v>
      </c>
      <c r="M2" s="5">
        <v>1124550408.3390598</v>
      </c>
      <c r="N2" s="5">
        <v>1146412933.2795503</v>
      </c>
      <c r="O2" s="5">
        <v>1174341498.3076105</v>
      </c>
      <c r="P2" s="5">
        <v>1192927771.5146487</v>
      </c>
      <c r="Q2" s="5">
        <v>1236071738.1930401</v>
      </c>
      <c r="R2" s="5">
        <v>1274634183.3077109</v>
      </c>
      <c r="S2" s="5"/>
    </row>
    <row r="3" spans="1:21" x14ac:dyDescent="0.25">
      <c r="A3" s="7" t="s">
        <v>74</v>
      </c>
      <c r="G3" s="5">
        <v>947616738.02752292</v>
      </c>
      <c r="H3" s="5">
        <v>974461081.37809026</v>
      </c>
      <c r="I3" s="5">
        <v>1000728599.0289067</v>
      </c>
      <c r="J3" s="5">
        <v>1033016767.9582844</v>
      </c>
      <c r="K3" s="5">
        <v>1066890156.37822</v>
      </c>
      <c r="L3" s="5">
        <v>1091838419.0289164</v>
      </c>
      <c r="M3" s="5">
        <v>1119505491.7885029</v>
      </c>
      <c r="N3" s="5">
        <v>1147144460.7489097</v>
      </c>
      <c r="O3" s="5">
        <v>1172475726.2151744</v>
      </c>
      <c r="P3" s="5">
        <v>1193770096.8238518</v>
      </c>
      <c r="Q3" s="5">
        <v>1218069955.8612702</v>
      </c>
      <c r="R3" s="5">
        <v>1281007320.3328068</v>
      </c>
      <c r="S3" s="5">
        <v>1356393462.772037</v>
      </c>
      <c r="T3" s="5">
        <v>1428936840.5118108</v>
      </c>
      <c r="U3" s="5">
        <v>1491947562.9863706</v>
      </c>
    </row>
    <row r="4" spans="1:21" x14ac:dyDescent="0.25">
      <c r="A4" t="s">
        <v>76</v>
      </c>
      <c r="B4">
        <v>43.268769499062195</v>
      </c>
      <c r="C4">
        <v>43.269145677063918</v>
      </c>
      <c r="D4">
        <v>43.52086458877308</v>
      </c>
      <c r="E4">
        <v>43.406634869877628</v>
      </c>
      <c r="F4">
        <v>43.206122958047381</v>
      </c>
      <c r="G4">
        <v>43.253489614925471</v>
      </c>
      <c r="H4">
        <v>43.34552426616353</v>
      </c>
      <c r="I4">
        <v>43.445336958652732</v>
      </c>
      <c r="J4">
        <v>43.532751314378736</v>
      </c>
      <c r="K4">
        <v>43.859930855142018</v>
      </c>
      <c r="L4">
        <v>44.103252185038194</v>
      </c>
      <c r="M4">
        <v>44.510540042696661</v>
      </c>
      <c r="N4">
        <v>44.898271315244003</v>
      </c>
      <c r="O4">
        <v>45.212982393399955</v>
      </c>
      <c r="P4">
        <v>45.320240468740955</v>
      </c>
      <c r="Q4">
        <v>45.498332341056994</v>
      </c>
      <c r="R4">
        <v>45.589613288890973</v>
      </c>
      <c r="S4">
        <v>45.956250840330419</v>
      </c>
      <c r="T4">
        <v>46.304752441087736</v>
      </c>
      <c r="U4">
        <v>46.606741230872984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U60"/>
  <sheetViews>
    <sheetView topLeftCell="A40" workbookViewId="0">
      <selection activeCell="B46" sqref="B46:U46"/>
    </sheetView>
  </sheetViews>
  <sheetFormatPr defaultRowHeight="15" x14ac:dyDescent="0.25"/>
  <cols>
    <col min="2" max="21" width="14.28515625" bestFit="1" customWidth="1"/>
  </cols>
  <sheetData>
    <row r="1" spans="1:21" x14ac:dyDescent="0.25">
      <c r="B1" s="1">
        <v>1995</v>
      </c>
      <c r="C1" s="1">
        <v>1996</v>
      </c>
      <c r="D1" s="1">
        <v>1997</v>
      </c>
      <c r="E1" s="1">
        <v>1998</v>
      </c>
      <c r="F1" s="1">
        <v>1999</v>
      </c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</row>
    <row r="2" spans="1:21" x14ac:dyDescent="0.25">
      <c r="A2" t="s">
        <v>0</v>
      </c>
      <c r="B2" s="3">
        <f>'Emprego - WorldBank'!B2*VLOOKUP($A2,[3]Data!$B$1:$BK$65536,B$1-1956,FALSE)/100</f>
        <v>8424912.0370307229</v>
      </c>
      <c r="C2" s="3">
        <f>'Emprego - WorldBank'!C2*VLOOKUP($A2,[3]Data!$B$1:$BK$65536,C$1-1956,FALSE)/100</f>
        <v>8541032.0339792687</v>
      </c>
      <c r="D2" s="3">
        <f>'Emprego - WorldBank'!D2*VLOOKUP($A2,[3]Data!$B$1:$BK$65536,D$1-1956,FALSE)/100</f>
        <v>8580387.1739115454</v>
      </c>
      <c r="E2" s="3">
        <f>'Emprego - WorldBank'!E2*VLOOKUP($A2,[3]Data!$B$1:$BK$65536,E$1-1956,FALSE)/100</f>
        <v>8746150.2857057489</v>
      </c>
      <c r="F2" s="3">
        <f>'Emprego - WorldBank'!F2*VLOOKUP($A2,[3]Data!$B$1:$BK$65536,F$1-1956,FALSE)/100</f>
        <v>8925981.0618453845</v>
      </c>
      <c r="G2" s="3">
        <f>'Emprego - WorldBank'!G2*VLOOKUP($A2,[3]Data!$B$1:$BK$65536,G$1-1956,FALSE)/100</f>
        <v>9102440.5431585144</v>
      </c>
      <c r="H2" s="3">
        <f>'Emprego - WorldBank'!H2*VLOOKUP($A2,[3]Data!$B$1:$BK$65536,H$1-1956,FALSE)/100</f>
        <v>9182244.765733961</v>
      </c>
      <c r="I2" s="3">
        <f>'Emprego - WorldBank'!I2*VLOOKUP($A2,[3]Data!$B$1:$BK$65536,I$1-1956,FALSE)/100</f>
        <v>9324488.2245315351</v>
      </c>
      <c r="J2" s="3">
        <f>'Emprego - WorldBank'!J2*VLOOKUP($A2,[3]Data!$B$1:$BK$65536,J$1-1956,FALSE)/100</f>
        <v>9568299.8823158927</v>
      </c>
      <c r="K2" s="3">
        <f>'Emprego - WorldBank'!K2*VLOOKUP($A2,[3]Data!$B$1:$BK$65536,K$1-1956,FALSE)/100</f>
        <v>9737018.2182542905</v>
      </c>
      <c r="L2" s="3">
        <f>'Emprego - WorldBank'!L2*VLOOKUP($A2,[3]Data!$B$1:$BK$65536,L$1-1956,FALSE)/100</f>
        <v>10046052.691547604</v>
      </c>
      <c r="M2" s="3">
        <f>'Emprego - WorldBank'!M2*VLOOKUP($A2,[3]Data!$B$1:$BK$65536,M$1-1956,FALSE)/100</f>
        <v>10367621.144726219</v>
      </c>
      <c r="N2" s="3">
        <f>'Emprego - WorldBank'!N2*VLOOKUP($A2,[3]Data!$B$1:$BK$65536,N$1-1956,FALSE)/100</f>
        <v>10636093.959326657</v>
      </c>
      <c r="O2" s="3">
        <f>'Emprego - WorldBank'!O2*VLOOKUP($A2,[3]Data!$B$1:$BK$65536,O$1-1956,FALSE)/100</f>
        <v>10931334.84908051</v>
      </c>
      <c r="P2" s="3">
        <f>'Emprego - WorldBank'!P2*VLOOKUP($A2,[3]Data!$B$1:$BK$65536,P$1-1956,FALSE)/100</f>
        <v>10985454.210733607</v>
      </c>
      <c r="Q2" s="3">
        <f>'Emprego - WorldBank'!Q2*VLOOKUP($A2,[3]Data!$B$1:$BK$65536,Q$1-1956,FALSE)/100</f>
        <v>11184040.414308818</v>
      </c>
      <c r="R2" s="3">
        <f>'Emprego - WorldBank'!R2*VLOOKUP($A2,[3]Data!$B$1:$BK$65536,R$1-1956,FALSE)/100</f>
        <v>11441027.984199526</v>
      </c>
      <c r="S2" s="3">
        <f>'Emprego - WorldBank'!S2*VLOOKUP($A2,[3]Data!$B$1:$BK$65536,S$1-1956,FALSE)/100</f>
        <v>11658723.124728112</v>
      </c>
      <c r="T2" s="3">
        <f>'Emprego - WorldBank'!T2*VLOOKUP($A2,[3]Data!$B$1:$BK$65536,T$1-1956,FALSE)/100</f>
        <v>11811577.571061986</v>
      </c>
      <c r="U2" s="3">
        <f>'Emprego - WorldBank'!U2*VLOOKUP($A2,[3]Data!$B$1:$BK$65536,U$1-1956,FALSE)/100</f>
        <v>11849014.767328875</v>
      </c>
    </row>
    <row r="3" spans="1:21" x14ac:dyDescent="0.25">
      <c r="A3" t="s">
        <v>1</v>
      </c>
      <c r="B3" s="3">
        <f>'Emprego - WorldBank'!B3*VLOOKUP($A3,[3]Data!$B$1:$BK$65536,B$1-1956,FALSE)/100</f>
        <v>3849729.2894931845</v>
      </c>
      <c r="C3" s="3">
        <f>'Emprego - WorldBank'!C3*VLOOKUP($A3,[3]Data!$B$1:$BK$65536,C$1-1956,FALSE)/100</f>
        <v>3775606.015481398</v>
      </c>
      <c r="D3" s="3">
        <f>'Emprego - WorldBank'!D3*VLOOKUP($A3,[3]Data!$B$1:$BK$65536,D$1-1956,FALSE)/100</f>
        <v>3789029.5567263882</v>
      </c>
      <c r="E3" s="3">
        <f>'Emprego - WorldBank'!E3*VLOOKUP($A3,[3]Data!$B$1:$BK$65536,E$1-1956,FALSE)/100</f>
        <v>3799349.0993335778</v>
      </c>
      <c r="F3" s="3">
        <f>'Emprego - WorldBank'!F3*VLOOKUP($A3,[3]Data!$B$1:$BK$65536,F$1-1956,FALSE)/100</f>
        <v>3854842.3720281054</v>
      </c>
      <c r="G3" s="3">
        <f>'Emprego - WorldBank'!G3*VLOOKUP($A3,[3]Data!$B$1:$BK$65536,G$1-1956,FALSE)/100</f>
        <v>3864465.8838959117</v>
      </c>
      <c r="H3" s="3">
        <f>'Emprego - WorldBank'!H3*VLOOKUP($A3,[3]Data!$B$1:$BK$65536,H$1-1956,FALSE)/100</f>
        <v>3873526.6688233293</v>
      </c>
      <c r="I3" s="3">
        <f>'Emprego - WorldBank'!I3*VLOOKUP($A3,[3]Data!$B$1:$BK$65536,I$1-1956,FALSE)/100</f>
        <v>3913711.6384964176</v>
      </c>
      <c r="J3" s="3">
        <f>'Emprego - WorldBank'!J3*VLOOKUP($A3,[3]Data!$B$1:$BK$65536,J$1-1956,FALSE)/100</f>
        <v>3951305.939218875</v>
      </c>
      <c r="K3" s="3">
        <f>'Emprego - WorldBank'!K3*VLOOKUP($A3,[3]Data!$B$1:$BK$65536,K$1-1956,FALSE)/100</f>
        <v>3823144.8692234238</v>
      </c>
      <c r="L3" s="3">
        <f>'Emprego - WorldBank'!L3*VLOOKUP($A3,[3]Data!$B$1:$BK$65536,L$1-1956,FALSE)/100</f>
        <v>3927325.4433352393</v>
      </c>
      <c r="M3" s="3">
        <f>'Emprego - WorldBank'!M3*VLOOKUP($A3,[3]Data!$B$1:$BK$65536,M$1-1956,FALSE)/100</f>
        <v>3985134.1821855456</v>
      </c>
      <c r="N3" s="3">
        <f>'Emprego - WorldBank'!N3*VLOOKUP($A3,[3]Data!$B$1:$BK$65536,N$1-1956,FALSE)/100</f>
        <v>4045257.1305169296</v>
      </c>
      <c r="O3" s="3">
        <f>'Emprego - WorldBank'!O3*VLOOKUP($A3,[3]Data!$B$1:$BK$65536,O$1-1956,FALSE)/100</f>
        <v>4114687.6059237905</v>
      </c>
      <c r="P3" s="3">
        <f>'Emprego - WorldBank'!P3*VLOOKUP($A3,[3]Data!$B$1:$BK$65536,P$1-1956,FALSE)/100</f>
        <v>4092510.1555218562</v>
      </c>
      <c r="Q3" s="3">
        <f>'Emprego - WorldBank'!Q3*VLOOKUP($A3,[3]Data!$B$1:$BK$65536,Q$1-1956,FALSE)/100</f>
        <v>4113556.6349210739</v>
      </c>
      <c r="R3" s="3">
        <f>'Emprego - WorldBank'!R3*VLOOKUP($A3,[3]Data!$B$1:$BK$65536,R$1-1956,FALSE)/100</f>
        <v>4168663.8225920969</v>
      </c>
      <c r="S3" s="3">
        <f>'Emprego - WorldBank'!S3*VLOOKUP($A3,[3]Data!$B$1:$BK$65536,S$1-1956,FALSE)/100</f>
        <v>4203378.7737398287</v>
      </c>
      <c r="T3" s="3">
        <f>'Emprego - WorldBank'!T3*VLOOKUP($A3,[3]Data!$B$1:$BK$65536,T$1-1956,FALSE)/100</f>
        <v>4210812.2795028677</v>
      </c>
      <c r="U3" s="3">
        <f>'Emprego - WorldBank'!U3*VLOOKUP($A3,[3]Data!$B$1:$BK$65536,U$1-1956,FALSE)/100</f>
        <v>4207656.3456113217</v>
      </c>
    </row>
    <row r="4" spans="1:21" x14ac:dyDescent="0.25">
      <c r="A4" t="s">
        <v>2</v>
      </c>
      <c r="B4" s="3">
        <f>'Emprego - WorldBank'!B4*VLOOKUP($A4,[3]Data!$B$1:$BK$65536,B$1-1956,FALSE)/100</f>
        <v>3800690.0216133916</v>
      </c>
      <c r="C4" s="3">
        <f>'Emprego - WorldBank'!C4*VLOOKUP($A4,[3]Data!$B$1:$BK$65536,C$1-1956,FALSE)/100</f>
        <v>3794068.1559660835</v>
      </c>
      <c r="D4" s="3">
        <f>'Emprego - WorldBank'!D4*VLOOKUP($A4,[3]Data!$B$1:$BK$65536,D$1-1956,FALSE)/100</f>
        <v>3868261.6375465314</v>
      </c>
      <c r="E4" s="3">
        <f>'Emprego - WorldBank'!E4*VLOOKUP($A4,[3]Data!$B$1:$BK$65536,E$1-1956,FALSE)/100</f>
        <v>3874892.4051806242</v>
      </c>
      <c r="F4" s="3">
        <f>'Emprego - WorldBank'!F4*VLOOKUP($A4,[3]Data!$B$1:$BK$65536,F$1-1956,FALSE)/100</f>
        <v>4006890.6362839942</v>
      </c>
      <c r="G4" s="3">
        <f>'Emprego - WorldBank'!G4*VLOOKUP($A4,[3]Data!$B$1:$BK$65536,G$1-1956,FALSE)/100</f>
        <v>4196720.9199806945</v>
      </c>
      <c r="H4" s="3">
        <f>'Emprego - WorldBank'!H4*VLOOKUP($A4,[3]Data!$B$1:$BK$65536,H$1-1956,FALSE)/100</f>
        <v>4150225.510454563</v>
      </c>
      <c r="I4" s="3">
        <f>'Emprego - WorldBank'!I4*VLOOKUP($A4,[3]Data!$B$1:$BK$65536,I$1-1956,FALSE)/100</f>
        <v>4143511.1708184467</v>
      </c>
      <c r="J4" s="3">
        <f>'Emprego - WorldBank'!J4*VLOOKUP($A4,[3]Data!$B$1:$BK$65536,J$1-1956,FALSE)/100</f>
        <v>4149463.8361831699</v>
      </c>
      <c r="K4" s="3">
        <f>'Emprego - WorldBank'!K4*VLOOKUP($A4,[3]Data!$B$1:$BK$65536,K$1-1956,FALSE)/100</f>
        <v>4262335.9967595823</v>
      </c>
      <c r="L4" s="3">
        <f>'Emprego - WorldBank'!L4*VLOOKUP($A4,[3]Data!$B$1:$BK$65536,L$1-1956,FALSE)/100</f>
        <v>4324427.4289348861</v>
      </c>
      <c r="M4" s="3">
        <f>'Emprego - WorldBank'!M4*VLOOKUP($A4,[3]Data!$B$1:$BK$65536,M$1-1956,FALSE)/100</f>
        <v>4356472.9153164318</v>
      </c>
      <c r="N4" s="3">
        <f>'Emprego - WorldBank'!N4*VLOOKUP($A4,[3]Data!$B$1:$BK$65536,N$1-1956,FALSE)/100</f>
        <v>4487027.2114751078</v>
      </c>
      <c r="O4" s="3">
        <f>'Emprego - WorldBank'!O4*VLOOKUP($A4,[3]Data!$B$1:$BK$65536,O$1-1956,FALSE)/100</f>
        <v>4580470.5511817969</v>
      </c>
      <c r="P4" s="3">
        <f>'Emprego - WorldBank'!P4*VLOOKUP($A4,[3]Data!$B$1:$BK$65536,P$1-1956,FALSE)/100</f>
        <v>4522274.4206241183</v>
      </c>
      <c r="Q4" s="3">
        <f>'Emprego - WorldBank'!Q4*VLOOKUP($A4,[3]Data!$B$1:$BK$65536,Q$1-1956,FALSE)/100</f>
        <v>4618127.9313908853</v>
      </c>
      <c r="R4" s="3">
        <f>'Emprego - WorldBank'!R4*VLOOKUP($A4,[3]Data!$B$1:$BK$65536,R$1-1956,FALSE)/100</f>
        <v>4662014.9670657003</v>
      </c>
      <c r="S4" s="3">
        <f>'Emprego - WorldBank'!S4*VLOOKUP($A4,[3]Data!$B$1:$BK$65536,S$1-1956,FALSE)/100</f>
        <v>4674093.1913172882</v>
      </c>
      <c r="T4" s="3">
        <f>'Emprego - WorldBank'!T4*VLOOKUP($A4,[3]Data!$B$1:$BK$65536,T$1-1956,FALSE)/100</f>
        <v>4642246.3495077174</v>
      </c>
      <c r="U4" s="3">
        <f>'Emprego - WorldBank'!U4*VLOOKUP($A4,[3]Data!$B$1:$BK$65536,U$1-1956,FALSE)/100</f>
        <v>4688488.0872538704</v>
      </c>
    </row>
    <row r="5" spans="1:21" x14ac:dyDescent="0.25">
      <c r="A5" t="s">
        <v>3</v>
      </c>
      <c r="B5" s="3">
        <f>'Emprego - WorldBank'!B5*VLOOKUP($A5,[3]Data!$B$1:$BK$65536,B$1-1956,FALSE)/100</f>
        <v>3301577.3285321258</v>
      </c>
      <c r="C5" s="3">
        <f>'Emprego - WorldBank'!C5*VLOOKUP($A5,[3]Data!$B$1:$BK$65536,C$1-1956,FALSE)/100</f>
        <v>3233799.9382439917</v>
      </c>
      <c r="D5" s="3">
        <f>'Emprego - WorldBank'!D5*VLOOKUP($A5,[3]Data!$B$1:$BK$65536,D$1-1956,FALSE)/100</f>
        <v>3163625.5909907278</v>
      </c>
      <c r="E5" s="3">
        <f>'Emprego - WorldBank'!E5*VLOOKUP($A5,[3]Data!$B$1:$BK$65536,E$1-1956,FALSE)/100</f>
        <v>3144582.0327907433</v>
      </c>
      <c r="F5" s="3">
        <f>'Emprego - WorldBank'!F5*VLOOKUP($A5,[3]Data!$B$1:$BK$65536,F$1-1956,FALSE)/100</f>
        <v>3002912.9371694801</v>
      </c>
      <c r="G5" s="3">
        <f>'Emprego - WorldBank'!G5*VLOOKUP($A5,[3]Data!$B$1:$BK$65536,G$1-1956,FALSE)/100</f>
        <v>2855698.5183888688</v>
      </c>
      <c r="H5" s="3">
        <f>'Emprego - WorldBank'!H5*VLOOKUP($A5,[3]Data!$B$1:$BK$65536,H$1-1956,FALSE)/100</f>
        <v>2810751.3329778682</v>
      </c>
      <c r="I5" s="3">
        <f>'Emprego - WorldBank'!I5*VLOOKUP($A5,[3]Data!$B$1:$BK$65536,I$1-1956,FALSE)/100</f>
        <v>2787261.8217242374</v>
      </c>
      <c r="J5" s="3">
        <f>'Emprego - WorldBank'!J5*VLOOKUP($A5,[3]Data!$B$1:$BK$65536,J$1-1956,FALSE)/100</f>
        <v>2837098.839824215</v>
      </c>
      <c r="K5" s="3">
        <f>'Emprego - WorldBank'!K5*VLOOKUP($A5,[3]Data!$B$1:$BK$65536,K$1-1956,FALSE)/100</f>
        <v>2917840.4224027358</v>
      </c>
      <c r="L5" s="3">
        <f>'Emprego - WorldBank'!L5*VLOOKUP($A5,[3]Data!$B$1:$BK$65536,L$1-1956,FALSE)/100</f>
        <v>2982269.914704816</v>
      </c>
      <c r="M5" s="3">
        <f>'Emprego - WorldBank'!M5*VLOOKUP($A5,[3]Data!$B$1:$BK$65536,M$1-1956,FALSE)/100</f>
        <v>3145257.5882329787</v>
      </c>
      <c r="N5" s="3">
        <f>'Emprego - WorldBank'!N5*VLOOKUP($A5,[3]Data!$B$1:$BK$65536,N$1-1956,FALSE)/100</f>
        <v>3310390.9403383378</v>
      </c>
      <c r="O5" s="3">
        <f>'Emprego - WorldBank'!O5*VLOOKUP($A5,[3]Data!$B$1:$BK$65536,O$1-1956,FALSE)/100</f>
        <v>3414955.8845634568</v>
      </c>
      <c r="P5" s="3">
        <f>'Emprego - WorldBank'!P5*VLOOKUP($A5,[3]Data!$B$1:$BK$65536,P$1-1956,FALSE)/100</f>
        <v>3298213.8795777694</v>
      </c>
      <c r="Q5" s="3">
        <f>'Emprego - WorldBank'!Q5*VLOOKUP($A5,[3]Data!$B$1:$BK$65536,Q$1-1956,FALSE)/100</f>
        <v>3098141.4439784335</v>
      </c>
      <c r="R5" s="3">
        <f>'Emprego - WorldBank'!R5*VLOOKUP($A5,[3]Data!$B$1:$BK$65536,R$1-1956,FALSE)/100</f>
        <v>3010638.6830406119</v>
      </c>
      <c r="S5" s="3">
        <f>'Emprego - WorldBank'!S5*VLOOKUP($A5,[3]Data!$B$1:$BK$65536,S$1-1956,FALSE)/100</f>
        <v>3007444.9246096229</v>
      </c>
      <c r="T5" s="3">
        <f>'Emprego - WorldBank'!T5*VLOOKUP($A5,[3]Data!$B$1:$BK$65536,T$1-1956,FALSE)/100</f>
        <v>2993117.7519412995</v>
      </c>
      <c r="U5" s="3">
        <f>'Emprego - WorldBank'!U5*VLOOKUP($A5,[3]Data!$B$1:$BK$65536,U$1-1956,FALSE)/100</f>
        <v>3032200.3614929891</v>
      </c>
    </row>
    <row r="6" spans="1:21" x14ac:dyDescent="0.25">
      <c r="A6" t="s">
        <v>4</v>
      </c>
      <c r="B6" s="3">
        <f>'Emprego - WorldBank'!B6*VLOOKUP($A6,[3]Data!$B$1:$BK$65536,B$1-1956,FALSE)/100</f>
        <v>60509717.711152121</v>
      </c>
      <c r="C6" s="3">
        <f>'Emprego - WorldBank'!C6*VLOOKUP($A6,[3]Data!$B$1:$BK$65536,C$1-1956,FALSE)/100</f>
        <v>60960645.950836398</v>
      </c>
      <c r="D6" s="3">
        <f>'Emprego - WorldBank'!D6*VLOOKUP($A6,[3]Data!$B$1:$BK$65536,D$1-1956,FALSE)/100</f>
        <v>61235783.528930098</v>
      </c>
      <c r="E6" s="3">
        <f>'Emprego - WorldBank'!E6*VLOOKUP($A6,[3]Data!$B$1:$BK$65536,E$1-1956,FALSE)/100</f>
        <v>61387981.731405362</v>
      </c>
      <c r="F6" s="3">
        <f>'Emprego - WorldBank'!F6*VLOOKUP($A6,[3]Data!$B$1:$BK$65536,F$1-1956,FALSE)/100</f>
        <v>61711491.6765301</v>
      </c>
      <c r="G6" s="3">
        <f>'Emprego - WorldBank'!G6*VLOOKUP($A6,[3]Data!$B$1:$BK$65536,G$1-1956,FALSE)/100</f>
        <v>63453054.638106197</v>
      </c>
      <c r="H6" s="3">
        <f>'Emprego - WorldBank'!H6*VLOOKUP($A6,[3]Data!$B$1:$BK$65536,H$1-1956,FALSE)/100</f>
        <v>65115633.79723683</v>
      </c>
      <c r="I6" s="3">
        <f>'Emprego - WorldBank'!I6*VLOOKUP($A6,[3]Data!$B$1:$BK$65536,I$1-1956,FALSE)/100</f>
        <v>66724064.839882538</v>
      </c>
      <c r="J6" s="3">
        <f>'Emprego - WorldBank'!J6*VLOOKUP($A6,[3]Data!$B$1:$BK$65536,J$1-1956,FALSE)/100</f>
        <v>67058730.212205879</v>
      </c>
      <c r="K6" s="3">
        <f>'Emprego - WorldBank'!K6*VLOOKUP($A6,[3]Data!$B$1:$BK$65536,K$1-1956,FALSE)/100</f>
        <v>69887060.097417086</v>
      </c>
      <c r="L6" s="3">
        <f>'Emprego - WorldBank'!L6*VLOOKUP($A6,[3]Data!$B$1:$BK$65536,L$1-1956,FALSE)/100</f>
        <v>70900877.094215244</v>
      </c>
      <c r="M6" s="3">
        <f>'Emprego - WorldBank'!M6*VLOOKUP($A6,[3]Data!$B$1:$BK$65536,M$1-1956,FALSE)/100</f>
        <v>72869102.405029386</v>
      </c>
      <c r="N6" s="3">
        <f>'Emprego - WorldBank'!N6*VLOOKUP($A6,[3]Data!$B$1:$BK$65536,N$1-1956,FALSE)/100</f>
        <v>74863445.715536669</v>
      </c>
      <c r="O6" s="3">
        <f>'Emprego - WorldBank'!O6*VLOOKUP($A6,[3]Data!$B$1:$BK$65536,O$1-1956,FALSE)/100</f>
        <v>77604078.470768556</v>
      </c>
      <c r="P6" s="3">
        <f>'Emprego - WorldBank'!P6*VLOOKUP($A6,[3]Data!$B$1:$BK$65536,P$1-1956,FALSE)/100</f>
        <v>78192243.726742238</v>
      </c>
      <c r="Q6" s="3">
        <f>'Emprego - WorldBank'!Q6*VLOOKUP($A6,[3]Data!$B$1:$BK$65536,Q$1-1956,FALSE)/100</f>
        <v>79255124.333020285</v>
      </c>
      <c r="R6" s="3">
        <f>'Emprego - WorldBank'!R6*VLOOKUP($A6,[3]Data!$B$1:$BK$65536,R$1-1956,FALSE)/100</f>
        <v>80091366.70723784</v>
      </c>
      <c r="S6" s="3">
        <f>'Emprego - WorldBank'!S6*VLOOKUP($A6,[3]Data!$B$1:$BK$65536,S$1-1956,FALSE)/100</f>
        <v>83382384.447123811</v>
      </c>
      <c r="T6" s="3">
        <f>'Emprego - WorldBank'!T6*VLOOKUP($A6,[3]Data!$B$1:$BK$65536,T$1-1956,FALSE)/100</f>
        <v>83845052.723300248</v>
      </c>
      <c r="U6" s="3">
        <f>'Emprego - WorldBank'!U6*VLOOKUP($A6,[3]Data!$B$1:$BK$65536,U$1-1956,FALSE)/100</f>
        <v>84636708.895183712</v>
      </c>
    </row>
    <row r="7" spans="1:21" x14ac:dyDescent="0.25">
      <c r="A7" t="s">
        <v>5</v>
      </c>
      <c r="B7" s="3">
        <f>'Emprego - WorldBank'!B7*VLOOKUP($A7,[3]Data!$B$1:$BK$65536,B$1-1956,FALSE)/100</f>
        <v>14405408.235388197</v>
      </c>
      <c r="C7" s="3">
        <f>'Emprego - WorldBank'!C7*VLOOKUP($A7,[3]Data!$B$1:$BK$65536,C$1-1956,FALSE)/100</f>
        <v>14402172.44809881</v>
      </c>
      <c r="D7" s="3">
        <f>'Emprego - WorldBank'!D7*VLOOKUP($A7,[3]Data!$B$1:$BK$65536,D$1-1956,FALSE)/100</f>
        <v>14517251.292843187</v>
      </c>
      <c r="E7" s="3">
        <f>'Emprego - WorldBank'!E7*VLOOKUP($A7,[3]Data!$B$1:$BK$65536,E$1-1956,FALSE)/100</f>
        <v>14815095.142005425</v>
      </c>
      <c r="F7" s="3">
        <f>'Emprego - WorldBank'!F7*VLOOKUP($A7,[3]Data!$B$1:$BK$65536,F$1-1956,FALSE)/100</f>
        <v>15183873.719033405</v>
      </c>
      <c r="G7" s="3">
        <f>'Emprego - WorldBank'!G7*VLOOKUP($A7,[3]Data!$B$1:$BK$65536,G$1-1956,FALSE)/100</f>
        <v>15650207.222088998</v>
      </c>
      <c r="H7" s="3">
        <f>'Emprego - WorldBank'!H7*VLOOKUP($A7,[3]Data!$B$1:$BK$65536,H$1-1956,FALSE)/100</f>
        <v>15944338.012153907</v>
      </c>
      <c r="I7" s="3">
        <f>'Emprego - WorldBank'!I7*VLOOKUP($A7,[3]Data!$B$1:$BK$65536,I$1-1956,FALSE)/100</f>
        <v>16286106.355246015</v>
      </c>
      <c r="J7" s="3">
        <f>'Emprego - WorldBank'!J7*VLOOKUP($A7,[3]Data!$B$1:$BK$65536,J$1-1956,FALSE)/100</f>
        <v>16592178.931311345</v>
      </c>
      <c r="K7" s="3">
        <f>'Emprego - WorldBank'!K7*VLOOKUP($A7,[3]Data!$B$1:$BK$65536,K$1-1956,FALSE)/100</f>
        <v>16798624.196131729</v>
      </c>
      <c r="L7" s="3">
        <f>'Emprego - WorldBank'!L7*VLOOKUP($A7,[3]Data!$B$1:$BK$65536,L$1-1956,FALSE)/100</f>
        <v>16914592.509469427</v>
      </c>
      <c r="M7" s="3">
        <f>'Emprego - WorldBank'!M7*VLOOKUP($A7,[3]Data!$B$1:$BK$65536,M$1-1956,FALSE)/100</f>
        <v>17212944.005534481</v>
      </c>
      <c r="N7" s="3">
        <f>'Emprego - WorldBank'!N7*VLOOKUP($A7,[3]Data!$B$1:$BK$65536,N$1-1956,FALSE)/100</f>
        <v>17512358.427454401</v>
      </c>
      <c r="O7" s="3">
        <f>'Emprego - WorldBank'!O7*VLOOKUP($A7,[3]Data!$B$1:$BK$65536,O$1-1956,FALSE)/100</f>
        <v>17711675.117163524</v>
      </c>
      <c r="P7" s="3">
        <f>'Emprego - WorldBank'!P7*VLOOKUP($A7,[3]Data!$B$1:$BK$65536,P$1-1956,FALSE)/100</f>
        <v>17268695.662168644</v>
      </c>
      <c r="Q7" s="3">
        <f>'Emprego - WorldBank'!Q7*VLOOKUP($A7,[3]Data!$B$1:$BK$65536,Q$1-1956,FALSE)/100</f>
        <v>17535141.304976668</v>
      </c>
      <c r="R7" s="3">
        <f>'Emprego - WorldBank'!R7*VLOOKUP($A7,[3]Data!$B$1:$BK$65536,R$1-1956,FALSE)/100</f>
        <v>17831674.72858334</v>
      </c>
      <c r="S7" s="3">
        <f>'Emprego - WorldBank'!S7*VLOOKUP($A7,[3]Data!$B$1:$BK$65536,S$1-1956,FALSE)/100</f>
        <v>18047135.19372119</v>
      </c>
      <c r="T7" s="3">
        <f>'Emprego - WorldBank'!T7*VLOOKUP($A7,[3]Data!$B$1:$BK$65536,T$1-1956,FALSE)/100</f>
        <v>18257248.100614846</v>
      </c>
      <c r="U7" s="3">
        <f>'Emprego - WorldBank'!U7*VLOOKUP($A7,[3]Data!$B$1:$BK$65536,U$1-1956,FALSE)/100</f>
        <v>18372340.924703147</v>
      </c>
    </row>
    <row r="8" spans="1:21" x14ac:dyDescent="0.25">
      <c r="A8" t="s">
        <v>6</v>
      </c>
      <c r="B8" s="3">
        <f>'Emprego - WorldBank'!B8*VLOOKUP($A8,[3]Data!$B$1:$BK$65536,B$1-1956,FALSE)/100</f>
        <v>312230611.62453288</v>
      </c>
      <c r="C8" s="3">
        <f>'Emprego - WorldBank'!C8*VLOOKUP($A8,[3]Data!$B$1:$BK$65536,C$1-1956,FALSE)/100</f>
        <v>321453653.04980564</v>
      </c>
      <c r="D8" s="3">
        <f>'Emprego - WorldBank'!D8*VLOOKUP($A8,[3]Data!$B$1:$BK$65536,D$1-1956,FALSE)/100</f>
        <v>330594649.84686375</v>
      </c>
      <c r="E8" s="3">
        <f>'Emprego - WorldBank'!E8*VLOOKUP($A8,[3]Data!$B$1:$BK$65536,E$1-1956,FALSE)/100</f>
        <v>339843365.73626512</v>
      </c>
      <c r="F8" s="3">
        <f>'Emprego - WorldBank'!F8*VLOOKUP($A8,[3]Data!$B$1:$BK$65536,F$1-1956,FALSE)/100</f>
        <v>348662031.98874533</v>
      </c>
      <c r="G8" s="3">
        <f>'Emprego - WorldBank'!G8*VLOOKUP($A8,[3]Data!$B$1:$BK$65536,G$1-1956,FALSE)/100</f>
        <v>357083274.18351191</v>
      </c>
      <c r="H8" s="3">
        <f>'Emprego - WorldBank'!H8*VLOOKUP($A8,[3]Data!$B$1:$BK$65536,H$1-1956,FALSE)/100</f>
        <v>362024593.82992423</v>
      </c>
      <c r="I8" s="3">
        <f>'Emprego - WorldBank'!I8*VLOOKUP($A8,[3]Data!$B$1:$BK$65536,I$1-1956,FALSE)/100</f>
        <v>366752036.66049749</v>
      </c>
      <c r="J8" s="3">
        <f>'Emprego - WorldBank'!J8*VLOOKUP($A8,[3]Data!$B$1:$BK$65536,J$1-1956,FALSE)/100</f>
        <v>371440601.69684464</v>
      </c>
      <c r="K8" s="3">
        <f>'Emprego - WorldBank'!K8*VLOOKUP($A8,[3]Data!$B$1:$BK$65536,K$1-1956,FALSE)/100</f>
        <v>377886677.41614157</v>
      </c>
      <c r="L8" s="3">
        <f>'Emprego - WorldBank'!L8*VLOOKUP($A8,[3]Data!$B$1:$BK$65536,L$1-1956,FALSE)/100</f>
        <v>384419395.54245597</v>
      </c>
      <c r="M8" s="3">
        <f>'Emprego - WorldBank'!M8*VLOOKUP($A8,[3]Data!$B$1:$BK$65536,M$1-1956,FALSE)/100</f>
        <v>391734787.32587028</v>
      </c>
      <c r="N8" s="3">
        <f>'Emprego - WorldBank'!N8*VLOOKUP($A8,[3]Data!$B$1:$BK$65536,N$1-1956,FALSE)/100</f>
        <v>399549684.85121268</v>
      </c>
      <c r="O8" s="3">
        <f>'Emprego - WorldBank'!O8*VLOOKUP($A8,[3]Data!$B$1:$BK$65536,O$1-1956,FALSE)/100</f>
        <v>406315128.0259971</v>
      </c>
      <c r="P8" s="3">
        <f>'Emprego - WorldBank'!P8*VLOOKUP($A8,[3]Data!$B$1:$BK$65536,P$1-1956,FALSE)/100</f>
        <v>413311127.43101156</v>
      </c>
      <c r="Q8" s="3">
        <f>'Emprego - WorldBank'!Q8*VLOOKUP($A8,[3]Data!$B$1:$BK$65536,Q$1-1956,FALSE)/100</f>
        <v>421179197.61168498</v>
      </c>
      <c r="R8" s="3">
        <f>'Emprego - WorldBank'!R8*VLOOKUP($A8,[3]Data!$B$1:$BK$65536,R$1-1956,FALSE)/100</f>
        <v>429462837.41590148</v>
      </c>
      <c r="S8" s="3">
        <f>'Emprego - WorldBank'!S8*VLOOKUP($A8,[3]Data!$B$1:$BK$65536,S$1-1956,FALSE)/100</f>
        <v>437687911.76017416</v>
      </c>
      <c r="T8" s="3">
        <f>'Emprego - WorldBank'!T8*VLOOKUP($A8,[3]Data!$B$1:$BK$65536,T$1-1956,FALSE)/100</f>
        <v>445707306.62694097</v>
      </c>
      <c r="U8" s="3">
        <f>'Emprego - WorldBank'!U8*VLOOKUP($A8,[3]Data!$B$1:$BK$65536,U$1-1956,FALSE)/100</f>
        <v>453575943.19089639</v>
      </c>
    </row>
    <row r="9" spans="1:21" x14ac:dyDescent="0.25">
      <c r="A9" t="s">
        <v>7</v>
      </c>
      <c r="B9" s="3">
        <f>'Emprego - WorldBank'!B9*VLOOKUP($A9,[3]Data!$B$1:$BK$65536,B$1-1956,FALSE)/100</f>
        <v>367711.475445071</v>
      </c>
      <c r="C9" s="3">
        <f>'Emprego - WorldBank'!C9*VLOOKUP($A9,[3]Data!$B$1:$BK$65536,C$1-1956,FALSE)/100</f>
        <v>376666.04756322398</v>
      </c>
      <c r="D9" s="3">
        <f>'Emprego - WorldBank'!D9*VLOOKUP($A9,[3]Data!$B$1:$BK$65536,D$1-1956,FALSE)/100</f>
        <v>386519.3998010403</v>
      </c>
      <c r="E9" s="3">
        <f>'Emprego - WorldBank'!E9*VLOOKUP($A9,[3]Data!$B$1:$BK$65536,E$1-1956,FALSE)/100</f>
        <v>391342.91753408953</v>
      </c>
      <c r="F9" s="3">
        <f>'Emprego - WorldBank'!F9*VLOOKUP($A9,[3]Data!$B$1:$BK$65536,F$1-1956,FALSE)/100</f>
        <v>398559.37120689289</v>
      </c>
      <c r="G9" s="3">
        <f>'Emprego - WorldBank'!G9*VLOOKUP($A9,[3]Data!$B$1:$BK$65536,G$1-1956,FALSE)/100</f>
        <v>413022.13137268892</v>
      </c>
      <c r="H9" s="3">
        <f>'Emprego - WorldBank'!H9*VLOOKUP($A9,[3]Data!$B$1:$BK$65536,H$1-1956,FALSE)/100</f>
        <v>437194.27679816505</v>
      </c>
      <c r="I9" s="3">
        <f>'Emprego - WorldBank'!I9*VLOOKUP($A9,[3]Data!$B$1:$BK$65536,I$1-1956,FALSE)/100</f>
        <v>450943.30647048308</v>
      </c>
      <c r="J9" s="3">
        <f>'Emprego - WorldBank'!J9*VLOOKUP($A9,[3]Data!$B$1:$BK$65536,J$1-1956,FALSE)/100</f>
        <v>458312.00310445821</v>
      </c>
      <c r="K9" s="3">
        <f>'Emprego - WorldBank'!K9*VLOOKUP($A9,[3]Data!$B$1:$BK$65536,K$1-1956,FALSE)/100</f>
        <v>467854.47776174056</v>
      </c>
      <c r="L9" s="3">
        <f>'Emprego - WorldBank'!L9*VLOOKUP($A9,[3]Data!$B$1:$BK$65536,L$1-1956,FALSE)/100</f>
        <v>470851.05422797007</v>
      </c>
      <c r="M9" s="3">
        <f>'Emprego - WorldBank'!M9*VLOOKUP($A9,[3]Data!$B$1:$BK$65536,M$1-1956,FALSE)/100</f>
        <v>495375.73095254926</v>
      </c>
      <c r="N9" s="3">
        <f>'Emprego - WorldBank'!N9*VLOOKUP($A9,[3]Data!$B$1:$BK$65536,N$1-1956,FALSE)/100</f>
        <v>517537.70163725759</v>
      </c>
      <c r="O9" s="3">
        <f>'Emprego - WorldBank'!O9*VLOOKUP($A9,[3]Data!$B$1:$BK$65536,O$1-1956,FALSE)/100</f>
        <v>528981.56978960836</v>
      </c>
      <c r="P9" s="3">
        <f>'Emprego - WorldBank'!P9*VLOOKUP($A9,[3]Data!$B$1:$BK$65536,P$1-1956,FALSE)/100</f>
        <v>530200.79220563755</v>
      </c>
      <c r="Q9" s="3">
        <f>'Emprego - WorldBank'!Q9*VLOOKUP($A9,[3]Data!$B$1:$BK$65536,Q$1-1956,FALSE)/100</f>
        <v>544209.47586900403</v>
      </c>
      <c r="R9" s="3">
        <f>'Emprego - WorldBank'!R9*VLOOKUP($A9,[3]Data!$B$1:$BK$65536,R$1-1956,FALSE)/100</f>
        <v>537418.03204370441</v>
      </c>
      <c r="S9" s="3">
        <f>'Emprego - WorldBank'!S9*VLOOKUP($A9,[3]Data!$B$1:$BK$65536,S$1-1956,FALSE)/100</f>
        <v>524593.10994238255</v>
      </c>
      <c r="T9" s="3">
        <f>'Emprego - WorldBank'!T9*VLOOKUP($A9,[3]Data!$B$1:$BK$65536,T$1-1956,FALSE)/100</f>
        <v>497370.79056059028</v>
      </c>
      <c r="U9" s="3">
        <f>'Emprego - WorldBank'!U9*VLOOKUP($A9,[3]Data!$B$1:$BK$65536,U$1-1956,FALSE)/100</f>
        <v>502138.82292915031</v>
      </c>
    </row>
    <row r="10" spans="1:21" x14ac:dyDescent="0.25">
      <c r="A10" t="s">
        <v>8</v>
      </c>
      <c r="B10" s="3">
        <f>'Emprego - WorldBank'!B10*VLOOKUP($A10,[3]Data!$B$1:$BK$65536,B$1-1956,FALSE)/100</f>
        <v>5337226.7377176974</v>
      </c>
      <c r="C10" s="3">
        <f>'Emprego - WorldBank'!C10*VLOOKUP($A10,[3]Data!$B$1:$BK$65536,C$1-1956,FALSE)/100</f>
        <v>5310949.2888805065</v>
      </c>
      <c r="D10" s="3">
        <f>'Emprego - WorldBank'!D10*VLOOKUP($A10,[3]Data!$B$1:$BK$65536,D$1-1956,FALSE)/100</f>
        <v>5241197.2500590524</v>
      </c>
      <c r="E10" s="3">
        <f>'Emprego - WorldBank'!E10*VLOOKUP($A10,[3]Data!$B$1:$BK$65536,E$1-1956,FALSE)/100</f>
        <v>5072264.5876090853</v>
      </c>
      <c r="F10" s="3">
        <f>'Emprego - WorldBank'!F10*VLOOKUP($A10,[3]Data!$B$1:$BK$65536,F$1-1956,FALSE)/100</f>
        <v>4876081.8777022157</v>
      </c>
      <c r="G10" s="3">
        <f>'Emprego - WorldBank'!G10*VLOOKUP($A10,[3]Data!$B$1:$BK$65536,G$1-1956,FALSE)/100</f>
        <v>4781608.1118703224</v>
      </c>
      <c r="H10" s="3">
        <f>'Emprego - WorldBank'!H10*VLOOKUP($A10,[3]Data!$B$1:$BK$65536,H$1-1956,FALSE)/100</f>
        <v>4756804.8416559948</v>
      </c>
      <c r="I10" s="3">
        <f>'Emprego - WorldBank'!I10*VLOOKUP($A10,[3]Data!$B$1:$BK$65536,I$1-1956,FALSE)/100</f>
        <v>4755187.6752392789</v>
      </c>
      <c r="J10" s="3">
        <f>'Emprego - WorldBank'!J10*VLOOKUP($A10,[3]Data!$B$1:$BK$65536,J$1-1956,FALSE)/100</f>
        <v>4621647.7173018036</v>
      </c>
      <c r="K10" s="3">
        <f>'Emprego - WorldBank'!K10*VLOOKUP($A10,[3]Data!$B$1:$BK$65536,K$1-1956,FALSE)/100</f>
        <v>4597187.2502914863</v>
      </c>
      <c r="L10" s="3">
        <f>'Emprego - WorldBank'!L10*VLOOKUP($A10,[3]Data!$B$1:$BK$65536,L$1-1956,FALSE)/100</f>
        <v>4697764.5476076724</v>
      </c>
      <c r="M10" s="3">
        <f>'Emprego - WorldBank'!M10*VLOOKUP($A10,[3]Data!$B$1:$BK$65536,M$1-1956,FALSE)/100</f>
        <v>4729386.0053130742</v>
      </c>
      <c r="N10" s="3">
        <f>'Emprego - WorldBank'!N10*VLOOKUP($A10,[3]Data!$B$1:$BK$65536,N$1-1956,FALSE)/100</f>
        <v>4810907.3172485158</v>
      </c>
      <c r="O10" s="3">
        <f>'Emprego - WorldBank'!O10*VLOOKUP($A10,[3]Data!$B$1:$BK$65536,O$1-1956,FALSE)/100</f>
        <v>4870505.6929024598</v>
      </c>
      <c r="P10" s="3">
        <f>'Emprego - WorldBank'!P10*VLOOKUP($A10,[3]Data!$B$1:$BK$65536,P$1-1956,FALSE)/100</f>
        <v>4754701.4757896094</v>
      </c>
      <c r="Q10" s="3">
        <f>'Emprego - WorldBank'!Q10*VLOOKUP($A10,[3]Data!$B$1:$BK$65536,Q$1-1956,FALSE)/100</f>
        <v>4662327.4822608475</v>
      </c>
      <c r="R10" s="3">
        <f>'Emprego - WorldBank'!R10*VLOOKUP($A10,[3]Data!$B$1:$BK$65536,R$1-1956,FALSE)/100</f>
        <v>4672100.6590013644</v>
      </c>
      <c r="S10" s="3">
        <f>'Emprego - WorldBank'!S10*VLOOKUP($A10,[3]Data!$B$1:$BK$65536,S$1-1956,FALSE)/100</f>
        <v>4679299.8339003632</v>
      </c>
      <c r="T10" s="3">
        <f>'Emprego - WorldBank'!T10*VLOOKUP($A10,[3]Data!$B$1:$BK$65536,T$1-1956,FALSE)/100</f>
        <v>4769376.9895859035</v>
      </c>
      <c r="U10" s="3">
        <f>'Emprego - WorldBank'!U10*VLOOKUP($A10,[3]Data!$B$1:$BK$65536,U$1-1956,FALSE)/100</f>
        <v>4817165.7892621197</v>
      </c>
    </row>
    <row r="11" spans="1:21" x14ac:dyDescent="0.25">
      <c r="A11" t="s">
        <v>9</v>
      </c>
      <c r="B11" s="3">
        <f>'Emprego - WorldBank'!B11*VLOOKUP($A11,[3]Data!$B$1:$BK$65536,B$1-1956,FALSE)/100</f>
        <v>38970919.571898296</v>
      </c>
      <c r="C11" s="3">
        <f>'Emprego - WorldBank'!C11*VLOOKUP($A11,[3]Data!$B$1:$BK$65536,C$1-1956,FALSE)/100</f>
        <v>38684689.276093416</v>
      </c>
      <c r="D11" s="3">
        <f>'Emprego - WorldBank'!D11*VLOOKUP($A11,[3]Data!$B$1:$BK$65536,D$1-1956,FALSE)/100</f>
        <v>38304761.361399859</v>
      </c>
      <c r="E11" s="3">
        <f>'Emprego - WorldBank'!E11*VLOOKUP($A11,[3]Data!$B$1:$BK$65536,E$1-1956,FALSE)/100</f>
        <v>38302507.403158642</v>
      </c>
      <c r="F11" s="3">
        <f>'Emprego - WorldBank'!F11*VLOOKUP($A11,[3]Data!$B$1:$BK$65536,F$1-1956,FALSE)/100</f>
        <v>38930730.936013065</v>
      </c>
      <c r="G11" s="3">
        <f>'Emprego - WorldBank'!G11*VLOOKUP($A11,[3]Data!$B$1:$BK$65536,G$1-1956,FALSE)/100</f>
        <v>39173318.410506055</v>
      </c>
      <c r="H11" s="3">
        <f>'Emprego - WorldBank'!H11*VLOOKUP($A11,[3]Data!$B$1:$BK$65536,H$1-1956,FALSE)/100</f>
        <v>39118654.548373014</v>
      </c>
      <c r="I11" s="3">
        <f>'Emprego - WorldBank'!I11*VLOOKUP($A11,[3]Data!$B$1:$BK$65536,I$1-1956,FALSE)/100</f>
        <v>38828234.35285797</v>
      </c>
      <c r="J11" s="3">
        <f>'Emprego - WorldBank'!J11*VLOOKUP($A11,[3]Data!$B$1:$BK$65536,J$1-1956,FALSE)/100</f>
        <v>38214877.092815049</v>
      </c>
      <c r="K11" s="3">
        <f>'Emprego - WorldBank'!K11*VLOOKUP($A11,[3]Data!$B$1:$BK$65536,K$1-1956,FALSE)/100</f>
        <v>37301321.046341769</v>
      </c>
      <c r="L11" s="3">
        <f>'Emprego - WorldBank'!L11*VLOOKUP($A11,[3]Data!$B$1:$BK$65536,L$1-1956,FALSE)/100</f>
        <v>37528721.496746242</v>
      </c>
      <c r="M11" s="3">
        <f>'Emprego - WorldBank'!M11*VLOOKUP($A11,[3]Data!$B$1:$BK$65536,M$1-1956,FALSE)/100</f>
        <v>38223621.90589755</v>
      </c>
      <c r="N11" s="3">
        <f>'Emprego - WorldBank'!N11*VLOOKUP($A11,[3]Data!$B$1:$BK$65536,N$1-1956,FALSE)/100</f>
        <v>39141424.132201388</v>
      </c>
      <c r="O11" s="3">
        <f>'Emprego - WorldBank'!O11*VLOOKUP($A11,[3]Data!$B$1:$BK$65536,O$1-1956,FALSE)/100</f>
        <v>39716465.996028297</v>
      </c>
      <c r="P11" s="3">
        <f>'Emprego - WorldBank'!P11*VLOOKUP($A11,[3]Data!$B$1:$BK$65536,P$1-1956,FALSE)/100</f>
        <v>39648276.684563383</v>
      </c>
      <c r="Q11" s="3">
        <f>'Emprego - WorldBank'!Q11*VLOOKUP($A11,[3]Data!$B$1:$BK$65536,Q$1-1956,FALSE)/100</f>
        <v>39984145.442865908</v>
      </c>
      <c r="R11" s="3">
        <f>'Emprego - WorldBank'!R11*VLOOKUP($A11,[3]Data!$B$1:$BK$65536,R$1-1956,FALSE)/100</f>
        <v>40069171.987506196</v>
      </c>
      <c r="S11" s="3">
        <f>'Emprego - WorldBank'!S11*VLOOKUP($A11,[3]Data!$B$1:$BK$65536,S$1-1956,FALSE)/100</f>
        <v>40336787.893000528</v>
      </c>
      <c r="T11" s="3">
        <f>'Emprego - WorldBank'!T11*VLOOKUP($A11,[3]Data!$B$1:$BK$65536,T$1-1956,FALSE)/100</f>
        <v>40881576.157072194</v>
      </c>
      <c r="U11" s="3">
        <f>'Emprego - WorldBank'!U11*VLOOKUP($A11,[3]Data!$B$1:$BK$65536,U$1-1956,FALSE)/100</f>
        <v>41275797.414721474</v>
      </c>
    </row>
    <row r="12" spans="1:21" x14ac:dyDescent="0.25">
      <c r="A12" t="s">
        <v>10</v>
      </c>
      <c r="B12" s="3">
        <f>'Emprego - WorldBank'!B12*VLOOKUP($A12,[3]Data!$B$1:$BK$65536,B$1-1956,FALSE)/100</f>
        <v>2877343.4350678083</v>
      </c>
      <c r="C12" s="3">
        <f>'Emprego - WorldBank'!C12*VLOOKUP($A12,[3]Data!$B$1:$BK$65536,C$1-1956,FALSE)/100</f>
        <v>2907263.3042652695</v>
      </c>
      <c r="D12" s="3">
        <f>'Emprego - WorldBank'!D12*VLOOKUP($A12,[3]Data!$B$1:$BK$65536,D$1-1956,FALSE)/100</f>
        <v>2978355.6207647999</v>
      </c>
      <c r="E12" s="3">
        <f>'Emprego - WorldBank'!E12*VLOOKUP($A12,[3]Data!$B$1:$BK$65536,E$1-1956,FALSE)/100</f>
        <v>2977574.2092345404</v>
      </c>
      <c r="F12" s="3">
        <f>'Emprego - WorldBank'!F12*VLOOKUP($A12,[3]Data!$B$1:$BK$65536,F$1-1956,FALSE)/100</f>
        <v>3031022.9979973547</v>
      </c>
      <c r="G12" s="3">
        <f>'Emprego - WorldBank'!G12*VLOOKUP($A12,[3]Data!$B$1:$BK$65536,G$1-1956,FALSE)/100</f>
        <v>3048605.8672821443</v>
      </c>
      <c r="H12" s="3">
        <f>'Emprego - WorldBank'!H12*VLOOKUP($A12,[3]Data!$B$1:$BK$65536,H$1-1956,FALSE)/100</f>
        <v>3060796.2664166945</v>
      </c>
      <c r="I12" s="3">
        <f>'Emprego - WorldBank'!I12*VLOOKUP($A12,[3]Data!$B$1:$BK$65536,I$1-1956,FALSE)/100</f>
        <v>3099613.535049601</v>
      </c>
      <c r="J12" s="3">
        <f>'Emprego - WorldBank'!J12*VLOOKUP($A12,[3]Data!$B$1:$BK$65536,J$1-1956,FALSE)/100</f>
        <v>3035937.0024025626</v>
      </c>
      <c r="K12" s="3">
        <f>'Emprego - WorldBank'!K12*VLOOKUP($A12,[3]Data!$B$1:$BK$65536,K$1-1956,FALSE)/100</f>
        <v>3085252.612470868</v>
      </c>
      <c r="L12" s="3">
        <f>'Emprego - WorldBank'!L12*VLOOKUP($A12,[3]Data!$B$1:$BK$65536,L$1-1956,FALSE)/100</f>
        <v>3095119.3074341621</v>
      </c>
      <c r="M12" s="3">
        <f>'Emprego - WorldBank'!M12*VLOOKUP($A12,[3]Data!$B$1:$BK$65536,M$1-1956,FALSE)/100</f>
        <v>3148632.8098404165</v>
      </c>
      <c r="N12" s="3">
        <f>'Emprego - WorldBank'!N12*VLOOKUP($A12,[3]Data!$B$1:$BK$65536,N$1-1956,FALSE)/100</f>
        <v>3147773.4690165054</v>
      </c>
      <c r="O12" s="3">
        <f>'Emprego - WorldBank'!O12*VLOOKUP($A12,[3]Data!$B$1:$BK$65536,O$1-1956,FALSE)/100</f>
        <v>3194067.8158508618</v>
      </c>
      <c r="P12" s="3">
        <f>'Emprego - WorldBank'!P12*VLOOKUP($A12,[3]Data!$B$1:$BK$65536,P$1-1956,FALSE)/100</f>
        <v>3074106.5037983861</v>
      </c>
      <c r="Q12" s="3">
        <f>'Emprego - WorldBank'!Q12*VLOOKUP($A12,[3]Data!$B$1:$BK$65536,Q$1-1956,FALSE)/100</f>
        <v>3003537.01510796</v>
      </c>
      <c r="R12" s="3">
        <f>'Emprego - WorldBank'!R12*VLOOKUP($A12,[3]Data!$B$1:$BK$65536,R$1-1956,FALSE)/100</f>
        <v>2992897.8956532329</v>
      </c>
      <c r="S12" s="3">
        <f>'Emprego - WorldBank'!S12*VLOOKUP($A12,[3]Data!$B$1:$BK$65536,S$1-1956,FALSE)/100</f>
        <v>2968519.3512888658</v>
      </c>
      <c r="T12" s="3">
        <f>'Emprego - WorldBank'!T12*VLOOKUP($A12,[3]Data!$B$1:$BK$65536,T$1-1956,FALSE)/100</f>
        <v>2961591.5796853309</v>
      </c>
      <c r="U12" s="3">
        <f>'Emprego - WorldBank'!U12*VLOOKUP($A12,[3]Data!$B$1:$BK$65536,U$1-1956,FALSE)/100</f>
        <v>2982395.0159084415</v>
      </c>
    </row>
    <row r="13" spans="1:21" x14ac:dyDescent="0.25">
      <c r="A13" t="s">
        <v>11</v>
      </c>
      <c r="B13" s="3">
        <f>'Emprego - WorldBank'!B13*VLOOKUP($A13,[3]Data!$B$1:$BK$65536,B$1-1956,FALSE)/100</f>
        <v>11503859.079235548</v>
      </c>
      <c r="C13" s="3">
        <f>'Emprego - WorldBank'!C13*VLOOKUP($A13,[3]Data!$B$1:$BK$65536,C$1-1956,FALSE)/100</f>
        <v>11771198.485575048</v>
      </c>
      <c r="D13" s="3">
        <f>'Emprego - WorldBank'!D13*VLOOKUP($A13,[3]Data!$B$1:$BK$65536,D$1-1956,FALSE)/100</f>
        <v>12331327.704812862</v>
      </c>
      <c r="E13" s="3">
        <f>'Emprego - WorldBank'!E13*VLOOKUP($A13,[3]Data!$B$1:$BK$65536,E$1-1956,FALSE)/100</f>
        <v>12948083.389148353</v>
      </c>
      <c r="F13" s="3">
        <f>'Emprego - WorldBank'!F13*VLOOKUP($A13,[3]Data!$B$1:$BK$65536,F$1-1956,FALSE)/100</f>
        <v>13880699.862725593</v>
      </c>
      <c r="G13" s="3">
        <f>'Emprego - WorldBank'!G13*VLOOKUP($A13,[3]Data!$B$1:$BK$65536,G$1-1956,FALSE)/100</f>
        <v>14768889.420085004</v>
      </c>
      <c r="H13" s="3">
        <f>'Emprego - WorldBank'!H13*VLOOKUP($A13,[3]Data!$B$1:$BK$65536,H$1-1956,FALSE)/100</f>
        <v>15293523.362544937</v>
      </c>
      <c r="I13" s="3">
        <f>'Emprego - WorldBank'!I13*VLOOKUP($A13,[3]Data!$B$1:$BK$65536,I$1-1956,FALSE)/100</f>
        <v>16052962.12095849</v>
      </c>
      <c r="J13" s="3">
        <f>'Emprego - WorldBank'!J13*VLOOKUP($A13,[3]Data!$B$1:$BK$65536,J$1-1956,FALSE)/100</f>
        <v>16818040.391843785</v>
      </c>
      <c r="K13" s="3">
        <f>'Emprego - WorldBank'!K13*VLOOKUP($A13,[3]Data!$B$1:$BK$65536,K$1-1956,FALSE)/100</f>
        <v>17431774.095939726</v>
      </c>
      <c r="L13" s="3">
        <f>'Emprego - WorldBank'!L13*VLOOKUP($A13,[3]Data!$B$1:$BK$65536,L$1-1956,FALSE)/100</f>
        <v>18490250.837803498</v>
      </c>
      <c r="M13" s="3">
        <f>'Emprego - WorldBank'!M13*VLOOKUP($A13,[3]Data!$B$1:$BK$65536,M$1-1956,FALSE)/100</f>
        <v>19276361.872190036</v>
      </c>
      <c r="N13" s="3">
        <f>'Emprego - WorldBank'!N13*VLOOKUP($A13,[3]Data!$B$1:$BK$65536,N$1-1956,FALSE)/100</f>
        <v>19894622.261306811</v>
      </c>
      <c r="O13" s="3">
        <f>'Emprego - WorldBank'!O13*VLOOKUP($A13,[3]Data!$B$1:$BK$65536,O$1-1956,FALSE)/100</f>
        <v>19781299.239734747</v>
      </c>
      <c r="P13" s="3">
        <f>'Emprego - WorldBank'!P13*VLOOKUP($A13,[3]Data!$B$1:$BK$65536,P$1-1956,FALSE)/100</f>
        <v>18703235.417259995</v>
      </c>
      <c r="Q13" s="3">
        <f>'Emprego - WorldBank'!Q13*VLOOKUP($A13,[3]Data!$B$1:$BK$65536,Q$1-1956,FALSE)/100</f>
        <v>18441888.075435206</v>
      </c>
      <c r="R13" s="3">
        <f>'Emprego - WorldBank'!R13*VLOOKUP($A13,[3]Data!$B$1:$BK$65536,R$1-1956,FALSE)/100</f>
        <v>18213747.443988927</v>
      </c>
      <c r="S13" s="3">
        <f>'Emprego - WorldBank'!S13*VLOOKUP($A13,[3]Data!$B$1:$BK$65536,S$1-1956,FALSE)/100</f>
        <v>17250645.370574452</v>
      </c>
      <c r="T13" s="3">
        <f>'Emprego - WorldBank'!T13*VLOOKUP($A13,[3]Data!$B$1:$BK$65536,T$1-1956,FALSE)/100</f>
        <v>16690896.646709206</v>
      </c>
      <c r="U13" s="3">
        <f>'Emprego - WorldBank'!U13*VLOOKUP($A13,[3]Data!$B$1:$BK$65536,U$1-1956,FALSE)/100</f>
        <v>16961938.980278168</v>
      </c>
    </row>
    <row r="14" spans="1:21" x14ac:dyDescent="0.25">
      <c r="A14" t="s">
        <v>12</v>
      </c>
      <c r="B14" s="3">
        <f>'Emprego - WorldBank'!B14*VLOOKUP($A14,[3]Data!$B$1:$BK$65536,B$1-1956,FALSE)/100</f>
        <v>737337.34830973239</v>
      </c>
      <c r="C14" s="3">
        <f>'Emprego - WorldBank'!C14*VLOOKUP($A14,[3]Data!$B$1:$BK$65536,C$1-1956,FALSE)/100</f>
        <v>718568.99648744753</v>
      </c>
      <c r="D14" s="3">
        <f>'Emprego - WorldBank'!D14*VLOOKUP($A14,[3]Data!$B$1:$BK$65536,D$1-1956,FALSE)/100</f>
        <v>711676.71643657552</v>
      </c>
      <c r="E14" s="3">
        <f>'Emprego - WorldBank'!E14*VLOOKUP($A14,[3]Data!$B$1:$BK$65536,E$1-1956,FALSE)/100</f>
        <v>691129.22840970161</v>
      </c>
      <c r="F14" s="3">
        <f>'Emprego - WorldBank'!F14*VLOOKUP($A14,[3]Data!$B$1:$BK$65536,F$1-1956,FALSE)/100</f>
        <v>663550.79309386341</v>
      </c>
      <c r="G14" s="3">
        <f>'Emprego - WorldBank'!G14*VLOOKUP($A14,[3]Data!$B$1:$BK$65536,G$1-1956,FALSE)/100</f>
        <v>654968.15343535994</v>
      </c>
      <c r="H14" s="3">
        <f>'Emprego - WorldBank'!H14*VLOOKUP($A14,[3]Data!$B$1:$BK$65536,H$1-1956,FALSE)/100</f>
        <v>648735.07562374894</v>
      </c>
      <c r="I14" s="3">
        <f>'Emprego - WorldBank'!I14*VLOOKUP($A14,[3]Data!$B$1:$BK$65536,I$1-1956,FALSE)/100</f>
        <v>656842.43483895343</v>
      </c>
      <c r="J14" s="3">
        <f>'Emprego - WorldBank'!J14*VLOOKUP($A14,[3]Data!$B$1:$BK$65536,J$1-1956,FALSE)/100</f>
        <v>654357.12702420168</v>
      </c>
      <c r="K14" s="3">
        <f>'Emprego - WorldBank'!K14*VLOOKUP($A14,[3]Data!$B$1:$BK$65536,K$1-1956,FALSE)/100</f>
        <v>650780.97387305263</v>
      </c>
      <c r="L14" s="3">
        <f>'Emprego - WorldBank'!L14*VLOOKUP($A14,[3]Data!$B$1:$BK$65536,L$1-1956,FALSE)/100</f>
        <v>672070.09117742057</v>
      </c>
      <c r="M14" s="3">
        <f>'Emprego - WorldBank'!M14*VLOOKUP($A14,[3]Data!$B$1:$BK$65536,M$1-1956,FALSE)/100</f>
        <v>704534.76951305522</v>
      </c>
      <c r="N14" s="3">
        <f>'Emprego - WorldBank'!N14*VLOOKUP($A14,[3]Data!$B$1:$BK$65536,N$1-1956,FALSE)/100</f>
        <v>705044.8948106179</v>
      </c>
      <c r="O14" s="3">
        <f>'Emprego - WorldBank'!O14*VLOOKUP($A14,[3]Data!$B$1:$BK$65536,O$1-1956,FALSE)/100</f>
        <v>713981.17111488862</v>
      </c>
      <c r="P14" s="3">
        <f>'Emprego - WorldBank'!P14*VLOOKUP($A14,[3]Data!$B$1:$BK$65536,P$1-1956,FALSE)/100</f>
        <v>643267.92010258546</v>
      </c>
      <c r="Q14" s="3">
        <f>'Emprego - WorldBank'!Q14*VLOOKUP($A14,[3]Data!$B$1:$BK$65536,Q$1-1956,FALSE)/100</f>
        <v>613956.13575645385</v>
      </c>
      <c r="R14" s="3">
        <f>'Emprego - WorldBank'!R14*VLOOKUP($A14,[3]Data!$B$1:$BK$65536,R$1-1956,FALSE)/100</f>
        <v>650113.90691258688</v>
      </c>
      <c r="S14" s="3">
        <f>'Emprego - WorldBank'!S14*VLOOKUP($A14,[3]Data!$B$1:$BK$65536,S$1-1956,FALSE)/100</f>
        <v>664638.42272181774</v>
      </c>
      <c r="T14" s="3">
        <f>'Emprego - WorldBank'!T14*VLOOKUP($A14,[3]Data!$B$1:$BK$65536,T$1-1956,FALSE)/100</f>
        <v>670524.95277824474</v>
      </c>
      <c r="U14" s="3">
        <f>'Emprego - WorldBank'!U14*VLOOKUP($A14,[3]Data!$B$1:$BK$65536,U$1-1956,FALSE)/100</f>
        <v>676860.46198031947</v>
      </c>
    </row>
    <row r="15" spans="1:21" x14ac:dyDescent="0.25">
      <c r="A15" t="s">
        <v>13</v>
      </c>
      <c r="B15" s="3">
        <f>'Emprego - WorldBank'!B15*VLOOKUP($A15,[3]Data!$B$1:$BK$65536,B$1-1956,FALSE)/100</f>
        <v>2121644.6767652603</v>
      </c>
      <c r="C15" s="3">
        <f>'Emprego - WorldBank'!C15*VLOOKUP($A15,[3]Data!$B$1:$BK$65536,C$1-1956,FALSE)/100</f>
        <v>2135049.6033452414</v>
      </c>
      <c r="D15" s="3">
        <f>'Emprego - WorldBank'!D15*VLOOKUP($A15,[3]Data!$B$1:$BK$65536,D$1-1956,FALSE)/100</f>
        <v>2215710.6828019754</v>
      </c>
      <c r="E15" s="3">
        <f>'Emprego - WorldBank'!E15*VLOOKUP($A15,[3]Data!$B$1:$BK$65536,E$1-1956,FALSE)/100</f>
        <v>2295076.2557052062</v>
      </c>
      <c r="F15" s="3">
        <f>'Emprego - WorldBank'!F15*VLOOKUP($A15,[3]Data!$B$1:$BK$65536,F$1-1956,FALSE)/100</f>
        <v>2392026.8957566954</v>
      </c>
      <c r="G15" s="3">
        <f>'Emprego - WorldBank'!G15*VLOOKUP($A15,[3]Data!$B$1:$BK$65536,G$1-1956,FALSE)/100</f>
        <v>2427537.844633936</v>
      </c>
      <c r="H15" s="3">
        <f>'Emprego - WorldBank'!H15*VLOOKUP($A15,[3]Data!$B$1:$BK$65536,H$1-1956,FALSE)/100</f>
        <v>2479420.6469182801</v>
      </c>
      <c r="I15" s="3">
        <f>'Emprego - WorldBank'!I15*VLOOKUP($A15,[3]Data!$B$1:$BK$65536,I$1-1956,FALSE)/100</f>
        <v>2488927.2742429404</v>
      </c>
      <c r="J15" s="3">
        <f>'Emprego - WorldBank'!J15*VLOOKUP($A15,[3]Data!$B$1:$BK$65536,J$1-1956,FALSE)/100</f>
        <v>2485141.0898218821</v>
      </c>
      <c r="K15" s="3">
        <f>'Emprego - WorldBank'!K15*VLOOKUP($A15,[3]Data!$B$1:$BK$65536,K$1-1956,FALSE)/100</f>
        <v>2484261.9694370935</v>
      </c>
      <c r="L15" s="3">
        <f>'Emprego - WorldBank'!L15*VLOOKUP($A15,[3]Data!$B$1:$BK$65536,L$1-1956,FALSE)/100</f>
        <v>2544167.7749109175</v>
      </c>
      <c r="M15" s="3">
        <f>'Emprego - WorldBank'!M15*VLOOKUP($A15,[3]Data!$B$1:$BK$65536,M$1-1956,FALSE)/100</f>
        <v>2583940.71098225</v>
      </c>
      <c r="N15" s="3">
        <f>'Emprego - WorldBank'!N15*VLOOKUP($A15,[3]Data!$B$1:$BK$65536,N$1-1956,FALSE)/100</f>
        <v>2640069.3354177754</v>
      </c>
      <c r="O15" s="3">
        <f>'Emprego - WorldBank'!O15*VLOOKUP($A15,[3]Data!$B$1:$BK$65536,O$1-1956,FALSE)/100</f>
        <v>2668479.5224051247</v>
      </c>
      <c r="P15" s="3">
        <f>'Emprego - WorldBank'!P15*VLOOKUP($A15,[3]Data!$B$1:$BK$65536,P$1-1956,FALSE)/100</f>
        <v>2557529.4454958308</v>
      </c>
      <c r="Q15" s="3">
        <f>'Emprego - WorldBank'!Q15*VLOOKUP($A15,[3]Data!$B$1:$BK$65536,Q$1-1956,FALSE)/100</f>
        <v>2546123.610398096</v>
      </c>
      <c r="R15" s="3">
        <f>'Emprego - WorldBank'!R15*VLOOKUP($A15,[3]Data!$B$1:$BK$65536,R$1-1956,FALSE)/100</f>
        <v>2575317.8617499964</v>
      </c>
      <c r="S15" s="3">
        <f>'Emprego - WorldBank'!S15*VLOOKUP($A15,[3]Data!$B$1:$BK$65536,S$1-1956,FALSE)/100</f>
        <v>2577100.0594423302</v>
      </c>
      <c r="T15" s="3">
        <f>'Emprego - WorldBank'!T15*VLOOKUP($A15,[3]Data!$B$1:$BK$65536,T$1-1956,FALSE)/100</f>
        <v>2552675.4696097607</v>
      </c>
      <c r="U15" s="3">
        <f>'Emprego - WorldBank'!U15*VLOOKUP($A15,[3]Data!$B$1:$BK$65536,U$1-1956,FALSE)/100</f>
        <v>2526057.6433685026</v>
      </c>
    </row>
    <row r="16" spans="1:21" x14ac:dyDescent="0.25">
      <c r="A16" t="s">
        <v>14</v>
      </c>
      <c r="B16" s="3">
        <f>'Emprego - WorldBank'!B16*VLOOKUP($A16,[3]Data!$B$1:$BK$65536,B$1-1956,FALSE)/100</f>
        <v>24977644.352201499</v>
      </c>
      <c r="C16" s="3">
        <f>'Emprego - WorldBank'!C16*VLOOKUP($A16,[3]Data!$B$1:$BK$65536,C$1-1956,FALSE)/100</f>
        <v>25223694.125631608</v>
      </c>
      <c r="D16" s="3">
        <f>'Emprego - WorldBank'!D16*VLOOKUP($A16,[3]Data!$B$1:$BK$65536,D$1-1956,FALSE)/100</f>
        <v>25171771.123676416</v>
      </c>
      <c r="E16" s="3">
        <f>'Emprego - WorldBank'!E16*VLOOKUP($A16,[3]Data!$B$1:$BK$65536,E$1-1956,FALSE)/100</f>
        <v>25568582.931224365</v>
      </c>
      <c r="F16" s="3">
        <f>'Emprego - WorldBank'!F16*VLOOKUP($A16,[3]Data!$B$1:$BK$65536,F$1-1956,FALSE)/100</f>
        <v>25930760.472644344</v>
      </c>
      <c r="G16" s="3">
        <f>'Emprego - WorldBank'!G16*VLOOKUP($A16,[3]Data!$B$1:$BK$65536,G$1-1956,FALSE)/100</f>
        <v>26835965.210056249</v>
      </c>
      <c r="H16" s="3">
        <f>'Emprego - WorldBank'!H16*VLOOKUP($A16,[3]Data!$B$1:$BK$65536,H$1-1956,FALSE)/100</f>
        <v>27520373.178679541</v>
      </c>
      <c r="I16" s="3">
        <f>'Emprego - WorldBank'!I16*VLOOKUP($A16,[3]Data!$B$1:$BK$65536,I$1-1956,FALSE)/100</f>
        <v>27835751.105064463</v>
      </c>
      <c r="J16" s="3">
        <f>'Emprego - WorldBank'!J16*VLOOKUP($A16,[3]Data!$B$1:$BK$65536,J$1-1956,FALSE)/100</f>
        <v>28252039.457119793</v>
      </c>
      <c r="K16" s="3">
        <f>'Emprego - WorldBank'!K16*VLOOKUP($A16,[3]Data!$B$1:$BK$65536,K$1-1956,FALSE)/100</f>
        <v>28360664.045536179</v>
      </c>
      <c r="L16" s="3">
        <f>'Emprego - WorldBank'!L16*VLOOKUP($A16,[3]Data!$B$1:$BK$65536,L$1-1956,FALSE)/100</f>
        <v>28798782.474569149</v>
      </c>
      <c r="M16" s="3">
        <f>'Emprego - WorldBank'!M16*VLOOKUP($A16,[3]Data!$B$1:$BK$65536,M$1-1956,FALSE)/100</f>
        <v>28807332.054084245</v>
      </c>
      <c r="N16" s="3">
        <f>'Emprego - WorldBank'!N16*VLOOKUP($A16,[3]Data!$B$1:$BK$65536,N$1-1956,FALSE)/100</f>
        <v>29432589.176039204</v>
      </c>
      <c r="O16" s="3">
        <f>'Emprego - WorldBank'!O16*VLOOKUP($A16,[3]Data!$B$1:$BK$65536,O$1-1956,FALSE)/100</f>
        <v>29981730.612666119</v>
      </c>
      <c r="P16" s="3">
        <f>'Emprego - WorldBank'!P16*VLOOKUP($A16,[3]Data!$B$1:$BK$65536,P$1-1956,FALSE)/100</f>
        <v>29557097.037678167</v>
      </c>
      <c r="Q16" s="3">
        <f>'Emprego - WorldBank'!Q16*VLOOKUP($A16,[3]Data!$B$1:$BK$65536,Q$1-1956,FALSE)/100</f>
        <v>29427065.777370885</v>
      </c>
      <c r="R16" s="3">
        <f>'Emprego - WorldBank'!R16*VLOOKUP($A16,[3]Data!$B$1:$BK$65536,R$1-1956,FALSE)/100</f>
        <v>29406744.101056121</v>
      </c>
      <c r="S16" s="3">
        <f>'Emprego - WorldBank'!S16*VLOOKUP($A16,[3]Data!$B$1:$BK$65536,S$1-1956,FALSE)/100</f>
        <v>29513013.082378078</v>
      </c>
      <c r="T16" s="3">
        <f>'Emprego - WorldBank'!T16*VLOOKUP($A16,[3]Data!$B$1:$BK$65536,T$1-1956,FALSE)/100</f>
        <v>29533217.491904587</v>
      </c>
      <c r="U16" s="3">
        <f>'Emprego - WorldBank'!U16*VLOOKUP($A16,[3]Data!$B$1:$BK$65536,U$1-1956,FALSE)/100</f>
        <v>29226902.877701391</v>
      </c>
    </row>
    <row r="17" spans="1:21" x14ac:dyDescent="0.25">
      <c r="A17" t="s">
        <v>15</v>
      </c>
      <c r="B17" s="3">
        <f>'Emprego - WorldBank'!B17*VLOOKUP($A17,[3]Data!$B$1:$BK$65536,B$1-1956,FALSE)/100</f>
        <v>27879788.145239756</v>
      </c>
      <c r="C17" s="3">
        <f>'Emprego - WorldBank'!C17*VLOOKUP($A17,[3]Data!$B$1:$BK$65536,C$1-1956,FALSE)/100</f>
        <v>28266582.914744854</v>
      </c>
      <c r="D17" s="3">
        <f>'Emprego - WorldBank'!D17*VLOOKUP($A17,[3]Data!$B$1:$BK$65536,D$1-1956,FALSE)/100</f>
        <v>28791124.161804657</v>
      </c>
      <c r="E17" s="3">
        <f>'Emprego - WorldBank'!E17*VLOOKUP($A17,[3]Data!$B$1:$BK$65536,E$1-1956,FALSE)/100</f>
        <v>29252656.999009371</v>
      </c>
      <c r="F17" s="3">
        <f>'Emprego - WorldBank'!F17*VLOOKUP($A17,[3]Data!$B$1:$BK$65536,F$1-1956,FALSE)/100</f>
        <v>29513314.759069644</v>
      </c>
      <c r="G17" s="3">
        <f>'Emprego - WorldBank'!G17*VLOOKUP($A17,[3]Data!$B$1:$BK$65536,G$1-1956,FALSE)/100</f>
        <v>29979087.861567143</v>
      </c>
      <c r="H17" s="3">
        <f>'Emprego - WorldBank'!H17*VLOOKUP($A17,[3]Data!$B$1:$BK$65536,H$1-1956,FALSE)/100</f>
        <v>30173055.107989196</v>
      </c>
      <c r="I17" s="3">
        <f>'Emprego - WorldBank'!I17*VLOOKUP($A17,[3]Data!$B$1:$BK$65536,I$1-1956,FALSE)/100</f>
        <v>30280639.911499888</v>
      </c>
      <c r="J17" s="3">
        <f>'Emprego - WorldBank'!J17*VLOOKUP($A17,[3]Data!$B$1:$BK$65536,J$1-1956,FALSE)/100</f>
        <v>30377625.51135771</v>
      </c>
      <c r="K17" s="3">
        <f>'Emprego - WorldBank'!K17*VLOOKUP($A17,[3]Data!$B$1:$BK$65536,K$1-1956,FALSE)/100</f>
        <v>30548270.186723515</v>
      </c>
      <c r="L17" s="3">
        <f>'Emprego - WorldBank'!L17*VLOOKUP($A17,[3]Data!$B$1:$BK$65536,L$1-1956,FALSE)/100</f>
        <v>30913228.947189558</v>
      </c>
      <c r="M17" s="3">
        <f>'Emprego - WorldBank'!M17*VLOOKUP($A17,[3]Data!$B$1:$BK$65536,M$1-1956,FALSE)/100</f>
        <v>31030085.501830105</v>
      </c>
      <c r="N17" s="3">
        <f>'Emprego - WorldBank'!N17*VLOOKUP($A17,[3]Data!$B$1:$BK$65536,N$1-1956,FALSE)/100</f>
        <v>31168073.007764407</v>
      </c>
      <c r="O17" s="3">
        <f>'Emprego - WorldBank'!O17*VLOOKUP($A17,[3]Data!$B$1:$BK$65536,O$1-1956,FALSE)/100</f>
        <v>31450310.702826567</v>
      </c>
      <c r="P17" s="3">
        <f>'Emprego - WorldBank'!P17*VLOOKUP($A17,[3]Data!$B$1:$BK$65536,P$1-1956,FALSE)/100</f>
        <v>30870693.985693011</v>
      </c>
      <c r="Q17" s="3">
        <f>'Emprego - WorldBank'!Q17*VLOOKUP($A17,[3]Data!$B$1:$BK$65536,Q$1-1956,FALSE)/100</f>
        <v>30800079.846027017</v>
      </c>
      <c r="R17" s="3">
        <f>'Emprego - WorldBank'!R17*VLOOKUP($A17,[3]Data!$B$1:$BK$65536,R$1-1956,FALSE)/100</f>
        <v>30849024.941369735</v>
      </c>
      <c r="S17" s="3">
        <f>'Emprego - WorldBank'!S17*VLOOKUP($A17,[3]Data!$B$1:$BK$65536,S$1-1956,FALSE)/100</f>
        <v>31080854.141493343</v>
      </c>
      <c r="T17" s="3">
        <f>'Emprego - WorldBank'!T17*VLOOKUP($A17,[3]Data!$B$1:$BK$65536,T$1-1956,FALSE)/100</f>
        <v>31508841.735643283</v>
      </c>
      <c r="U17" s="3">
        <f>'Emprego - WorldBank'!U17*VLOOKUP($A17,[3]Data!$B$1:$BK$65536,U$1-1956,FALSE)/100</f>
        <v>32035435.872345828</v>
      </c>
    </row>
    <row r="18" spans="1:21" x14ac:dyDescent="0.25">
      <c r="A18" t="s">
        <v>16</v>
      </c>
      <c r="B18" s="3">
        <f>'Emprego - WorldBank'!B18*VLOOKUP($A18,[3]Data!$B$1:$BK$65536,B$1-1956,FALSE)/100</f>
        <v>2672553.3626417685</v>
      </c>
      <c r="C18" s="3">
        <f>'Emprego - WorldBank'!C18*VLOOKUP($A18,[3]Data!$B$1:$BK$65536,C$1-1956,FALSE)/100</f>
        <v>2720855.9804044808</v>
      </c>
      <c r="D18" s="3">
        <f>'Emprego - WorldBank'!D18*VLOOKUP($A18,[3]Data!$B$1:$BK$65536,D$1-1956,FALSE)/100</f>
        <v>2751054.3054684778</v>
      </c>
      <c r="E18" s="3">
        <f>'Emprego - WorldBank'!E18*VLOOKUP($A18,[3]Data!$B$1:$BK$65536,E$1-1956,FALSE)/100</f>
        <v>2858964.0806129603</v>
      </c>
      <c r="F18" s="3">
        <f>'Emprego - WorldBank'!F18*VLOOKUP($A18,[3]Data!$B$1:$BK$65536,F$1-1956,FALSE)/100</f>
        <v>2929838.0812305515</v>
      </c>
      <c r="G18" s="3">
        <f>'Emprego - WorldBank'!G18*VLOOKUP($A18,[3]Data!$B$1:$BK$65536,G$1-1956,FALSE)/100</f>
        <v>2971007.5372831579</v>
      </c>
      <c r="H18" s="3">
        <f>'Emprego - WorldBank'!H18*VLOOKUP($A18,[3]Data!$B$1:$BK$65536,H$1-1956,FALSE)/100</f>
        <v>3076391.4816894545</v>
      </c>
      <c r="I18" s="3">
        <f>'Emprego - WorldBank'!I18*VLOOKUP($A18,[3]Data!$B$1:$BK$65536,I$1-1956,FALSE)/100</f>
        <v>3159253.1157397418</v>
      </c>
      <c r="J18" s="3">
        <f>'Emprego - WorldBank'!J18*VLOOKUP($A18,[3]Data!$B$1:$BK$65536,J$1-1956,FALSE)/100</f>
        <v>3227004.5644072695</v>
      </c>
      <c r="K18" s="3">
        <f>'Emprego - WorldBank'!K18*VLOOKUP($A18,[3]Data!$B$1:$BK$65536,K$1-1956,FALSE)/100</f>
        <v>3378279.7079068446</v>
      </c>
      <c r="L18" s="3">
        <f>'Emprego - WorldBank'!L18*VLOOKUP($A18,[3]Data!$B$1:$BK$65536,L$1-1956,FALSE)/100</f>
        <v>3400494.2906269585</v>
      </c>
      <c r="M18" s="3">
        <f>'Emprego - WorldBank'!M18*VLOOKUP($A18,[3]Data!$B$1:$BK$65536,M$1-1956,FALSE)/100</f>
        <v>3448223.9749223595</v>
      </c>
      <c r="N18" s="3">
        <f>'Emprego - WorldBank'!N18*VLOOKUP($A18,[3]Data!$B$1:$BK$65536,N$1-1956,FALSE)/100</f>
        <v>3497496.9677535715</v>
      </c>
      <c r="O18" s="3">
        <f>'Emprego - WorldBank'!O18*VLOOKUP($A18,[3]Data!$B$1:$BK$65536,O$1-1956,FALSE)/100</f>
        <v>3533795.7213523155</v>
      </c>
      <c r="P18" s="3">
        <f>'Emprego - WorldBank'!P18*VLOOKUP($A18,[3]Data!$B$1:$BK$65536,P$1-1956,FALSE)/100</f>
        <v>3473552.6590102576</v>
      </c>
      <c r="Q18" s="3">
        <f>'Emprego - WorldBank'!Q18*VLOOKUP($A18,[3]Data!$B$1:$BK$65536,Q$1-1956,FALSE)/100</f>
        <v>3338386.3800614234</v>
      </c>
      <c r="R18" s="3">
        <f>'Emprego - WorldBank'!R18*VLOOKUP($A18,[3]Data!$B$1:$BK$65536,R$1-1956,FALSE)/100</f>
        <v>3074568.5686615421</v>
      </c>
      <c r="S18" s="3">
        <f>'Emprego - WorldBank'!S18*VLOOKUP($A18,[3]Data!$B$1:$BK$65536,S$1-1956,FALSE)/100</f>
        <v>2783466.0332292803</v>
      </c>
      <c r="T18" s="3">
        <f>'Emprego - WorldBank'!T18*VLOOKUP($A18,[3]Data!$B$1:$BK$65536,T$1-1956,FALSE)/100</f>
        <v>2626151.6833617045</v>
      </c>
      <c r="U18" s="3">
        <f>'Emprego - WorldBank'!U18*VLOOKUP($A18,[3]Data!$B$1:$BK$65536,U$1-1956,FALSE)/100</f>
        <v>2669790.3959798752</v>
      </c>
    </row>
    <row r="19" spans="1:21" x14ac:dyDescent="0.25">
      <c r="A19" t="s">
        <v>17</v>
      </c>
      <c r="B19" s="3">
        <f>'Emprego - WorldBank'!B19*VLOOKUP($A19,[3]Data!$B$1:$BK$65536,B$1-1956,FALSE)/100</f>
        <v>3762563.3827348589</v>
      </c>
      <c r="C19" s="3">
        <f>'Emprego - WorldBank'!C19*VLOOKUP($A19,[3]Data!$B$1:$BK$65536,C$1-1956,FALSE)/100</f>
        <v>3665915.0311448509</v>
      </c>
      <c r="D19" s="3">
        <f>'Emprego - WorldBank'!D19*VLOOKUP($A19,[3]Data!$B$1:$BK$65536,D$1-1956,FALSE)/100</f>
        <v>3650301.0849618632</v>
      </c>
      <c r="E19" s="3">
        <f>'Emprego - WorldBank'!E19*VLOOKUP($A19,[3]Data!$B$1:$BK$65536,E$1-1956,FALSE)/100</f>
        <v>3758440.0402249517</v>
      </c>
      <c r="F19" s="3">
        <f>'Emprego - WorldBank'!F19*VLOOKUP($A19,[3]Data!$B$1:$BK$65536,F$1-1956,FALSE)/100</f>
        <v>3915186.9774435083</v>
      </c>
      <c r="G19" s="3">
        <f>'Emprego - WorldBank'!G19*VLOOKUP($A19,[3]Data!$B$1:$BK$65536,G$1-1956,FALSE)/100</f>
        <v>3962264.4462092649</v>
      </c>
      <c r="H19" s="3">
        <f>'Emprego - WorldBank'!H19*VLOOKUP($A19,[3]Data!$B$1:$BK$65536,H$1-1956,FALSE)/100</f>
        <v>3998828.3191338656</v>
      </c>
      <c r="I19" s="3">
        <f>'Emprego - WorldBank'!I19*VLOOKUP($A19,[3]Data!$B$1:$BK$65536,I$1-1956,FALSE)/100</f>
        <v>4031822.8892745827</v>
      </c>
      <c r="J19" s="3">
        <f>'Emprego - WorldBank'!J19*VLOOKUP($A19,[3]Data!$B$1:$BK$65536,J$1-1956,FALSE)/100</f>
        <v>4104362.914062425</v>
      </c>
      <c r="K19" s="3">
        <f>'Emprego - WorldBank'!K19*VLOOKUP($A19,[3]Data!$B$1:$BK$65536,K$1-1956,FALSE)/100</f>
        <v>4019792.3036536197</v>
      </c>
      <c r="L19" s="3">
        <f>'Emprego - WorldBank'!L19*VLOOKUP($A19,[3]Data!$B$1:$BK$65536,L$1-1956,FALSE)/100</f>
        <v>4051826.5626600231</v>
      </c>
      <c r="M19" s="3">
        <f>'Emprego - WorldBank'!M19*VLOOKUP($A19,[3]Data!$B$1:$BK$65536,M$1-1956,FALSE)/100</f>
        <v>4111455.1766549814</v>
      </c>
      <c r="N19" s="3">
        <f>'Emprego - WorldBank'!N19*VLOOKUP($A19,[3]Data!$B$1:$BK$65536,N$1-1956,FALSE)/100</f>
        <v>4104301.8508752151</v>
      </c>
      <c r="O19" s="3">
        <f>'Emprego - WorldBank'!O19*VLOOKUP($A19,[3]Data!$B$1:$BK$65536,O$1-1956,FALSE)/100</f>
        <v>4062263.5677847434</v>
      </c>
      <c r="P19" s="3">
        <f>'Emprego - WorldBank'!P19*VLOOKUP($A19,[3]Data!$B$1:$BK$65536,P$1-1956,FALSE)/100</f>
        <v>3938336.3684355142</v>
      </c>
      <c r="Q19" s="3">
        <f>'Emprego - WorldBank'!Q19*VLOOKUP($A19,[3]Data!$B$1:$BK$65536,Q$1-1956,FALSE)/100</f>
        <v>3933380.7852026946</v>
      </c>
      <c r="R19" s="3">
        <f>'Emprego - WorldBank'!R19*VLOOKUP($A19,[3]Data!$B$1:$BK$65536,R$1-1956,FALSE)/100</f>
        <v>3956271.98324341</v>
      </c>
      <c r="S19" s="3">
        <f>'Emprego - WorldBank'!S19*VLOOKUP($A19,[3]Data!$B$1:$BK$65536,S$1-1956,FALSE)/100</f>
        <v>4019669.9564235602</v>
      </c>
      <c r="T19" s="3">
        <f>'Emprego - WorldBank'!T19*VLOOKUP($A19,[3]Data!$B$1:$BK$65536,T$1-1956,FALSE)/100</f>
        <v>4104991.0357285761</v>
      </c>
      <c r="U19" s="3">
        <f>'Emprego - WorldBank'!U19*VLOOKUP($A19,[3]Data!$B$1:$BK$65536,U$1-1956,FALSE)/100</f>
        <v>4349827.2390798647</v>
      </c>
    </row>
    <row r="20" spans="1:21" x14ac:dyDescent="0.25">
      <c r="A20" t="s">
        <v>18</v>
      </c>
      <c r="B20" s="3">
        <f>'Emprego - WorldBank'!B20*VLOOKUP($A20,[3]Data!$B$1:$BK$65536,B$1-1956,FALSE)/100</f>
        <v>42820779.751587808</v>
      </c>
      <c r="C20" s="3">
        <f>'Emprego - WorldBank'!C20*VLOOKUP($A20,[3]Data!$B$1:$BK$65536,C$1-1956,FALSE)/100</f>
        <v>44118108.441075832</v>
      </c>
      <c r="D20" s="3">
        <f>'Emprego - WorldBank'!D20*VLOOKUP($A20,[3]Data!$B$1:$BK$65536,D$1-1956,FALSE)/100</f>
        <v>45310147.636806212</v>
      </c>
      <c r="E20" s="3">
        <f>'Emprego - WorldBank'!E20*VLOOKUP($A20,[3]Data!$B$1:$BK$65536,E$1-1956,FALSE)/100</f>
        <v>42809267.959548809</v>
      </c>
      <c r="F20" s="3">
        <f>'Emprego - WorldBank'!F20*VLOOKUP($A20,[3]Data!$B$1:$BK$65536,F$1-1956,FALSE)/100</f>
        <v>43838373.296161473</v>
      </c>
      <c r="G20" s="3">
        <f>'Emprego - WorldBank'!G20*VLOOKUP($A20,[3]Data!$B$1:$BK$65536,G$1-1956,FALSE)/100</f>
        <v>43860807.361677781</v>
      </c>
      <c r="H20" s="3">
        <f>'Emprego - WorldBank'!H20*VLOOKUP($A20,[3]Data!$B$1:$BK$65536,H$1-1956,FALSE)/100</f>
        <v>48056135.222640075</v>
      </c>
      <c r="I20" s="3">
        <f>'Emprego - WorldBank'!I20*VLOOKUP($A20,[3]Data!$B$1:$BK$65536,I$1-1956,FALSE)/100</f>
        <v>47821847.584894717</v>
      </c>
      <c r="J20" s="3">
        <f>'Emprego - WorldBank'!J20*VLOOKUP($A20,[3]Data!$B$1:$BK$65536,J$1-1956,FALSE)/100</f>
        <v>45977103.911057211</v>
      </c>
      <c r="K20" s="3">
        <f>'Emprego - WorldBank'!K20*VLOOKUP($A20,[3]Data!$B$1:$BK$65536,K$1-1956,FALSE)/100</f>
        <v>48322012.114894867</v>
      </c>
      <c r="L20" s="3">
        <f>'Emprego - WorldBank'!L20*VLOOKUP($A20,[3]Data!$B$1:$BK$65536,L$1-1956,FALSE)/100</f>
        <v>50848843.768066972</v>
      </c>
      <c r="M20" s="3">
        <f>'Emprego - WorldBank'!M20*VLOOKUP($A20,[3]Data!$B$1:$BK$65536,M$1-1956,FALSE)/100</f>
        <v>52601388.050494604</v>
      </c>
      <c r="N20" s="3">
        <f>'Emprego - WorldBank'!N20*VLOOKUP($A20,[3]Data!$B$1:$BK$65536,N$1-1956,FALSE)/100</f>
        <v>54438847.836838342</v>
      </c>
      <c r="O20" s="3">
        <f>'Emprego - WorldBank'!O20*VLOOKUP($A20,[3]Data!$B$1:$BK$65536,O$1-1956,FALSE)/100</f>
        <v>56161149.631205432</v>
      </c>
      <c r="P20" s="3">
        <f>'Emprego - WorldBank'!P20*VLOOKUP($A20,[3]Data!$B$1:$BK$65536,P$1-1956,FALSE)/100</f>
        <v>57835523.912151434</v>
      </c>
      <c r="Q20" s="3">
        <f>'Emprego - WorldBank'!Q20*VLOOKUP($A20,[3]Data!$B$1:$BK$65536,Q$1-1956,FALSE)/100</f>
        <v>61028707.833774865</v>
      </c>
      <c r="R20" s="3">
        <f>'Emprego - WorldBank'!R20*VLOOKUP($A20,[3]Data!$B$1:$BK$65536,R$1-1956,FALSE)/100</f>
        <v>66494531.467441969</v>
      </c>
      <c r="S20" s="3">
        <f>'Emprego - WorldBank'!S20*VLOOKUP($A20,[3]Data!$B$1:$BK$65536,S$1-1956,FALSE)/100</f>
        <v>72590719.05877623</v>
      </c>
      <c r="T20" s="3">
        <f>'Emprego - WorldBank'!T20*VLOOKUP($A20,[3]Data!$B$1:$BK$65536,T$1-1956,FALSE)/100</f>
        <v>74857453.814155042</v>
      </c>
      <c r="U20" s="3">
        <f>'Emprego - WorldBank'!U20*VLOOKUP($A20,[3]Data!$B$1:$BK$65536,U$1-1956,FALSE)/100</f>
        <v>76384906.229222208</v>
      </c>
    </row>
    <row r="21" spans="1:21" x14ac:dyDescent="0.25">
      <c r="A21" t="s">
        <v>19</v>
      </c>
      <c r="B21" s="3">
        <f>'Emprego - WorldBank'!B21*VLOOKUP($A21,[3]Data!$B$1:$BK$65536,B$1-1956,FALSE)/100</f>
        <v>79397377.362773672</v>
      </c>
      <c r="C21" s="3">
        <f>'Emprego - WorldBank'!C21*VLOOKUP($A21,[3]Data!$B$1:$BK$65536,C$1-1956,FALSE)/100</f>
        <v>81205876.53512466</v>
      </c>
      <c r="D21" s="3">
        <f>'Emprego - WorldBank'!D21*VLOOKUP($A21,[3]Data!$B$1:$BK$65536,D$1-1956,FALSE)/100</f>
        <v>82683591.216791451</v>
      </c>
      <c r="E21" s="3">
        <f>'Emprego - WorldBank'!E21*VLOOKUP($A21,[3]Data!$B$1:$BK$65536,E$1-1956,FALSE)/100</f>
        <v>84409781.752353892</v>
      </c>
      <c r="F21" s="3">
        <f>'Emprego - WorldBank'!F21*VLOOKUP($A21,[3]Data!$B$1:$BK$65536,F$1-1956,FALSE)/100</f>
        <v>86323250.917182654</v>
      </c>
      <c r="G21" s="3">
        <f>'Emprego - WorldBank'!G21*VLOOKUP($A21,[3]Data!$B$1:$BK$65536,G$1-1956,FALSE)/100</f>
        <v>87773085.00746654</v>
      </c>
      <c r="H21" s="3">
        <f>'Emprego - WorldBank'!H21*VLOOKUP($A21,[3]Data!$B$1:$BK$65536,H$1-1956,FALSE)/100</f>
        <v>89665305.819671556</v>
      </c>
      <c r="I21" s="3">
        <f>'Emprego - WorldBank'!I21*VLOOKUP($A21,[3]Data!$B$1:$BK$65536,I$1-1956,FALSE)/100</f>
        <v>91428658.13916567</v>
      </c>
      <c r="J21" s="3">
        <f>'Emprego - WorldBank'!J21*VLOOKUP($A21,[3]Data!$B$1:$BK$65536,J$1-1956,FALSE)/100</f>
        <v>93733152.091579646</v>
      </c>
      <c r="K21" s="3">
        <f>'Emprego - WorldBank'!K21*VLOOKUP($A21,[3]Data!$B$1:$BK$65536,K$1-1956,FALSE)/100</f>
        <v>96077541.890276566</v>
      </c>
      <c r="L21" s="3">
        <f>'Emprego - WorldBank'!L21*VLOOKUP($A21,[3]Data!$B$1:$BK$65536,L$1-1956,FALSE)/100</f>
        <v>98508994.937165186</v>
      </c>
      <c r="M21" s="3">
        <f>'Emprego - WorldBank'!M21*VLOOKUP($A21,[3]Data!$B$1:$BK$65536,M$1-1956,FALSE)/100</f>
        <v>100097725.98697075</v>
      </c>
      <c r="N21" s="3">
        <f>'Emprego - WorldBank'!N21*VLOOKUP($A21,[3]Data!$B$1:$BK$65536,N$1-1956,FALSE)/100</f>
        <v>101640189.44674982</v>
      </c>
      <c r="O21" s="3">
        <f>'Emprego - WorldBank'!O21*VLOOKUP($A21,[3]Data!$B$1:$BK$65536,O$1-1956,FALSE)/100</f>
        <v>102534713.2845459</v>
      </c>
      <c r="P21" s="3">
        <f>'Emprego - WorldBank'!P21*VLOOKUP($A21,[3]Data!$B$1:$BK$65536,P$1-1956,FALSE)/100</f>
        <v>103643433.15852997</v>
      </c>
      <c r="Q21" s="3">
        <f>'Emprego - WorldBank'!Q21*VLOOKUP($A21,[3]Data!$B$1:$BK$65536,Q$1-1956,FALSE)/100</f>
        <v>104946014.17148112</v>
      </c>
      <c r="R21" s="3">
        <f>'Emprego - WorldBank'!R21*VLOOKUP($A21,[3]Data!$B$1:$BK$65536,R$1-1956,FALSE)/100</f>
        <v>112513484.80837579</v>
      </c>
      <c r="S21" s="3">
        <f>'Emprego - WorldBank'!S21*VLOOKUP($A21,[3]Data!$B$1:$BK$65536,S$1-1956,FALSE)/100</f>
        <v>120415806.42893574</v>
      </c>
      <c r="T21" s="3">
        <f>'Emprego - WorldBank'!T21*VLOOKUP($A21,[3]Data!$B$1:$BK$65536,T$1-1956,FALSE)/100</f>
        <v>124782714.419094</v>
      </c>
      <c r="U21" s="3">
        <f>'Emprego - WorldBank'!U21*VLOOKUP($A21,[3]Data!$B$1:$BK$65536,U$1-1956,FALSE)/100</f>
        <v>129419811.71447571</v>
      </c>
    </row>
    <row r="22" spans="1:21" x14ac:dyDescent="0.25">
      <c r="A22" t="s">
        <v>20</v>
      </c>
      <c r="B22" s="3">
        <f>'Emprego - WorldBank'!B22*VLOOKUP($A22,[3]Data!$B$1:$BK$65536,B$1-1956,FALSE)/100</f>
        <v>1401141.9272627104</v>
      </c>
      <c r="C22" s="3">
        <f>'Emprego - WorldBank'!C22*VLOOKUP($A22,[3]Data!$B$1:$BK$65536,C$1-1956,FALSE)/100</f>
        <v>1458815.803852027</v>
      </c>
      <c r="D22" s="3">
        <f>'Emprego - WorldBank'!D22*VLOOKUP($A22,[3]Data!$B$1:$BK$65536,D$1-1956,FALSE)/100</f>
        <v>1519191.6324260926</v>
      </c>
      <c r="E22" s="3">
        <f>'Emprego - WorldBank'!E22*VLOOKUP($A22,[3]Data!$B$1:$BK$65536,E$1-1956,FALSE)/100</f>
        <v>1640396.3258185955</v>
      </c>
      <c r="F22" s="3">
        <f>'Emprego - WorldBank'!F22*VLOOKUP($A22,[3]Data!$B$1:$BK$65536,F$1-1956,FALSE)/100</f>
        <v>1759510.8457271135</v>
      </c>
      <c r="G22" s="3">
        <f>'Emprego - WorldBank'!G22*VLOOKUP($A22,[3]Data!$B$1:$BK$65536,G$1-1956,FALSE)/100</f>
        <v>1841455.4231434201</v>
      </c>
      <c r="H22" s="3">
        <f>'Emprego - WorldBank'!H22*VLOOKUP($A22,[3]Data!$B$1:$BK$65536,H$1-1956,FALSE)/100</f>
        <v>1898405.6251767469</v>
      </c>
      <c r="I22" s="3">
        <f>'Emprego - WorldBank'!I22*VLOOKUP($A22,[3]Data!$B$1:$BK$65536,I$1-1956,FALSE)/100</f>
        <v>1932140.4181204536</v>
      </c>
      <c r="J22" s="3">
        <f>'Emprego - WorldBank'!J22*VLOOKUP($A22,[3]Data!$B$1:$BK$65536,J$1-1956,FALSE)/100</f>
        <v>1973252.9123960407</v>
      </c>
      <c r="K22" s="3">
        <f>'Emprego - WorldBank'!K22*VLOOKUP($A22,[3]Data!$B$1:$BK$65536,K$1-1956,FALSE)/100</f>
        <v>2012391.5135908721</v>
      </c>
      <c r="L22" s="3">
        <f>'Emprego - WorldBank'!L22*VLOOKUP($A22,[3]Data!$B$1:$BK$65536,L$1-1956,FALSE)/100</f>
        <v>2149461.0993168987</v>
      </c>
      <c r="M22" s="3">
        <f>'Emprego - WorldBank'!M22*VLOOKUP($A22,[3]Data!$B$1:$BK$65536,M$1-1956,FALSE)/100</f>
        <v>2253574.9797768798</v>
      </c>
      <c r="N22" s="3">
        <f>'Emprego - WorldBank'!N22*VLOOKUP($A22,[3]Data!$B$1:$BK$65536,N$1-1956,FALSE)/100</f>
        <v>2325807.1255028937</v>
      </c>
      <c r="O22" s="3">
        <f>'Emprego - WorldBank'!O22*VLOOKUP($A22,[3]Data!$B$1:$BK$65536,O$1-1956,FALSE)/100</f>
        <v>2293104.0157192601</v>
      </c>
      <c r="P22" s="3">
        <f>'Emprego - WorldBank'!P22*VLOOKUP($A22,[3]Data!$B$1:$BK$65536,P$1-1956,FALSE)/100</f>
        <v>2099159.8125954848</v>
      </c>
      <c r="Q22" s="3">
        <f>'Emprego - WorldBank'!Q22*VLOOKUP($A22,[3]Data!$B$1:$BK$65536,Q$1-1956,FALSE)/100</f>
        <v>2031192.5314744676</v>
      </c>
      <c r="R22" s="3">
        <f>'Emprego - WorldBank'!R22*VLOOKUP($A22,[3]Data!$B$1:$BK$65536,R$1-1956,FALSE)/100</f>
        <v>2009914.90311629</v>
      </c>
      <c r="S22" s="3">
        <f>'Emprego - WorldBank'!S22*VLOOKUP($A22,[3]Data!$B$1:$BK$65536,S$1-1956,FALSE)/100</f>
        <v>2006706.636205208</v>
      </c>
      <c r="T22" s="3">
        <f>'Emprego - WorldBank'!T22*VLOOKUP($A22,[3]Data!$B$1:$BK$65536,T$1-1956,FALSE)/100</f>
        <v>2064898.5426422665</v>
      </c>
      <c r="U22" s="3">
        <f>'Emprego - WorldBank'!U22*VLOOKUP($A22,[3]Data!$B$1:$BK$65536,U$1-1956,FALSE)/100</f>
        <v>2123685.179346398</v>
      </c>
    </row>
    <row r="23" spans="1:21" x14ac:dyDescent="0.25">
      <c r="A23" t="s">
        <v>21</v>
      </c>
      <c r="B23" s="3">
        <f>'Emprego - WorldBank'!B23*VLOOKUP($A23,[3]Data!$B$1:$BK$65536,B$1-1956,FALSE)/100</f>
        <v>16880562.693822369</v>
      </c>
      <c r="C23" s="3">
        <f>'Emprego - WorldBank'!C23*VLOOKUP($A23,[3]Data!$B$1:$BK$65536,C$1-1956,FALSE)/100</f>
        <v>16905238.254675798</v>
      </c>
      <c r="D23" s="3">
        <f>'Emprego - WorldBank'!D23*VLOOKUP($A23,[3]Data!$B$1:$BK$65536,D$1-1956,FALSE)/100</f>
        <v>16906294.228309523</v>
      </c>
      <c r="E23" s="3">
        <f>'Emprego - WorldBank'!E23*VLOOKUP($A23,[3]Data!$B$1:$BK$65536,E$1-1956,FALSE)/100</f>
        <v>16991772.473093174</v>
      </c>
      <c r="F23" s="3">
        <f>'Emprego - WorldBank'!F23*VLOOKUP($A23,[3]Data!$B$1:$BK$65536,F$1-1956,FALSE)/100</f>
        <v>17178320.316490978</v>
      </c>
      <c r="G23" s="3">
        <f>'Emprego - WorldBank'!G23*VLOOKUP($A23,[3]Data!$B$1:$BK$65536,G$1-1956,FALSE)/100</f>
        <v>17384334.876508284</v>
      </c>
      <c r="H23" s="3">
        <f>'Emprego - WorldBank'!H23*VLOOKUP($A23,[3]Data!$B$1:$BK$65536,H$1-1956,FALSE)/100</f>
        <v>17732887.245951124</v>
      </c>
      <c r="I23" s="3">
        <f>'Emprego - WorldBank'!I23*VLOOKUP($A23,[3]Data!$B$1:$BK$65536,I$1-1956,FALSE)/100</f>
        <v>18019923.687703129</v>
      </c>
      <c r="J23" s="3">
        <f>'Emprego - WorldBank'!J23*VLOOKUP($A23,[3]Data!$B$1:$BK$65536,J$1-1956,FALSE)/100</f>
        <v>18331972.045901693</v>
      </c>
      <c r="K23" s="3">
        <f>'Emprego - WorldBank'!K23*VLOOKUP($A23,[3]Data!$B$1:$BK$65536,K$1-1956,FALSE)/100</f>
        <v>18968053.090491623</v>
      </c>
      <c r="L23" s="3">
        <f>'Emprego - WorldBank'!L23*VLOOKUP($A23,[3]Data!$B$1:$BK$65536,L$1-1956,FALSE)/100</f>
        <v>19194975.961190425</v>
      </c>
      <c r="M23" s="3">
        <f>'Emprego - WorldBank'!M23*VLOOKUP($A23,[3]Data!$B$1:$BK$65536,M$1-1956,FALSE)/100</f>
        <v>19504064.782684896</v>
      </c>
      <c r="N23" s="3">
        <f>'Emprego - WorldBank'!N23*VLOOKUP($A23,[3]Data!$B$1:$BK$65536,N$1-1956,FALSE)/100</f>
        <v>19711318.051953804</v>
      </c>
      <c r="O23" s="3">
        <f>'Emprego - WorldBank'!O23*VLOOKUP($A23,[3]Data!$B$1:$BK$65536,O$1-1956,FALSE)/100</f>
        <v>20015033.509046074</v>
      </c>
      <c r="P23" s="3">
        <f>'Emprego - WorldBank'!P23*VLOOKUP($A23,[3]Data!$B$1:$BK$65536,P$1-1956,FALSE)/100</f>
        <v>19752610.016045019</v>
      </c>
      <c r="Q23" s="3">
        <f>'Emprego - WorldBank'!Q23*VLOOKUP($A23,[3]Data!$B$1:$BK$65536,Q$1-1956,FALSE)/100</f>
        <v>19493468.089076508</v>
      </c>
      <c r="R23" s="3">
        <f>'Emprego - WorldBank'!R23*VLOOKUP($A23,[3]Data!$B$1:$BK$65536,R$1-1956,FALSE)/100</f>
        <v>19566333.555619452</v>
      </c>
      <c r="S23" s="3">
        <f>'Emprego - WorldBank'!S23*VLOOKUP($A23,[3]Data!$B$1:$BK$65536,S$1-1956,FALSE)/100</f>
        <v>19534504.176031552</v>
      </c>
      <c r="T23" s="3">
        <f>'Emprego - WorldBank'!T23*VLOOKUP($A23,[3]Data!$B$1:$BK$65536,T$1-1956,FALSE)/100</f>
        <v>19317590.482169896</v>
      </c>
      <c r="U23" s="3">
        <f>'Emprego - WorldBank'!U23*VLOOKUP($A23,[3]Data!$B$1:$BK$65536,U$1-1956,FALSE)/100</f>
        <v>19515727.924044631</v>
      </c>
    </row>
    <row r="24" spans="1:21" x14ac:dyDescent="0.25">
      <c r="A24" t="s">
        <v>22</v>
      </c>
      <c r="B24" s="3">
        <f>'Emprego - WorldBank'!B24*VLOOKUP($A24,[3]Data!$B$1:$BK$65536,B$1-1956,FALSE)/100</f>
        <v>62965220.46721977</v>
      </c>
      <c r="C24" s="3">
        <f>'Emprego - WorldBank'!C24*VLOOKUP($A24,[3]Data!$B$1:$BK$65536,C$1-1956,FALSE)/100</f>
        <v>63496104.210898355</v>
      </c>
      <c r="D24" s="3">
        <f>'Emprego - WorldBank'!D24*VLOOKUP($A24,[3]Data!$B$1:$BK$65536,D$1-1956,FALSE)/100</f>
        <v>63959531.802005082</v>
      </c>
      <c r="E24" s="3">
        <f>'Emprego - WorldBank'!E24*VLOOKUP($A24,[3]Data!$B$1:$BK$65536,E$1-1956,FALSE)/100</f>
        <v>63490134.220669277</v>
      </c>
      <c r="F24" s="3">
        <f>'Emprego - WorldBank'!F24*VLOOKUP($A24,[3]Data!$B$1:$BK$65536,F$1-1956,FALSE)/100</f>
        <v>62766490.823765047</v>
      </c>
      <c r="G24" s="3">
        <f>'Emprego - WorldBank'!G24*VLOOKUP($A24,[3]Data!$B$1:$BK$65536,G$1-1956,FALSE)/100</f>
        <v>62864265.487972081</v>
      </c>
      <c r="H24" s="3">
        <f>'Emprego - WorldBank'!H24*VLOOKUP($A24,[3]Data!$B$1:$BK$65536,H$1-1956,FALSE)/100</f>
        <v>62952841.710612208</v>
      </c>
      <c r="I24" s="3">
        <f>'Emprego - WorldBank'!I24*VLOOKUP($A24,[3]Data!$B$1:$BK$65536,I$1-1956,FALSE)/100</f>
        <v>62494918.530151218</v>
      </c>
      <c r="J24" s="3">
        <f>'Emprego - WorldBank'!J24*VLOOKUP($A24,[3]Data!$B$1:$BK$65536,J$1-1956,FALSE)/100</f>
        <v>62495372.796266146</v>
      </c>
      <c r="K24" s="3">
        <f>'Emprego - WorldBank'!K24*VLOOKUP($A24,[3]Data!$B$1:$BK$65536,K$1-1956,FALSE)/100</f>
        <v>62546579.533113979</v>
      </c>
      <c r="L24" s="3">
        <f>'Emprego - WorldBank'!L24*VLOOKUP($A24,[3]Data!$B$1:$BK$65536,L$1-1956,FALSE)/100</f>
        <v>62819473.045116149</v>
      </c>
      <c r="M24" s="3">
        <f>'Emprego - WorldBank'!M24*VLOOKUP($A24,[3]Data!$B$1:$BK$65536,M$1-1956,FALSE)/100</f>
        <v>63639612.814819746</v>
      </c>
      <c r="N24" s="3">
        <f>'Emprego - WorldBank'!N24*VLOOKUP($A24,[3]Data!$B$1:$BK$65536,N$1-1956,FALSE)/100</f>
        <v>64317575.865229629</v>
      </c>
      <c r="O24" s="3">
        <f>'Emprego - WorldBank'!O24*VLOOKUP($A24,[3]Data!$B$1:$BK$65536,O$1-1956,FALSE)/100</f>
        <v>64436510.556034848</v>
      </c>
      <c r="P24" s="3">
        <f>'Emprego - WorldBank'!P24*VLOOKUP($A24,[3]Data!$B$1:$BK$65536,P$1-1956,FALSE)/100</f>
        <v>63761441.782501251</v>
      </c>
      <c r="Q24" s="3">
        <f>'Emprego - WorldBank'!Q24*VLOOKUP($A24,[3]Data!$B$1:$BK$65536,Q$1-1956,FALSE)/100</f>
        <v>63748512.652756222</v>
      </c>
      <c r="R24" s="3">
        <f>'Emprego - WorldBank'!R24*VLOOKUP($A24,[3]Data!$B$1:$BK$65536,R$1-1956,FALSE)/100</f>
        <v>63815390.678557351</v>
      </c>
      <c r="S24" s="3">
        <f>'Emprego - WorldBank'!S24*VLOOKUP($A24,[3]Data!$B$1:$BK$65536,S$1-1956,FALSE)/100</f>
        <v>63867184.862636529</v>
      </c>
      <c r="T24" s="3">
        <f>'Emprego - WorldBank'!T24*VLOOKUP($A24,[3]Data!$B$1:$BK$65536,T$1-1956,FALSE)/100</f>
        <v>64526698.945477009</v>
      </c>
      <c r="U24" s="3">
        <f>'Emprego - WorldBank'!U24*VLOOKUP($A24,[3]Data!$B$1:$BK$65536,U$1-1956,FALSE)/100</f>
        <v>65022421.693497427</v>
      </c>
    </row>
    <row r="25" spans="1:21" x14ac:dyDescent="0.25">
      <c r="A25" t="s">
        <v>23</v>
      </c>
      <c r="B25" s="3">
        <f>'Emprego - WorldBank'!B25*VLOOKUP($A25,[3]Data!$B$1:$BK$65536,B$1-1956,FALSE)/100</f>
        <v>17203447.732216045</v>
      </c>
      <c r="C25" s="3">
        <f>'Emprego - WorldBank'!C25*VLOOKUP($A25,[3]Data!$B$1:$BK$65536,C$1-1956,FALSE)/100</f>
        <v>17507843.219783444</v>
      </c>
      <c r="D25" s="3">
        <f>'Emprego - WorldBank'!D25*VLOOKUP($A25,[3]Data!$B$1:$BK$65536,D$1-1956,FALSE)/100</f>
        <v>17685064.147457357</v>
      </c>
      <c r="E25" s="3">
        <f>'Emprego - WorldBank'!E25*VLOOKUP($A25,[3]Data!$B$1:$BK$65536,E$1-1956,FALSE)/100</f>
        <v>16122984.102635581</v>
      </c>
      <c r="F25" s="3">
        <f>'Emprego - WorldBank'!F25*VLOOKUP($A25,[3]Data!$B$1:$BK$65536,F$1-1956,FALSE)/100</f>
        <v>16525935.823665319</v>
      </c>
      <c r="G25" s="3">
        <f>'Emprego - WorldBank'!G25*VLOOKUP($A25,[3]Data!$B$1:$BK$65536,G$1-1956,FALSE)/100</f>
        <v>17348575.390283812</v>
      </c>
      <c r="H25" s="3">
        <f>'Emprego - WorldBank'!H25*VLOOKUP($A25,[3]Data!$B$1:$BK$65536,H$1-1956,FALSE)/100</f>
        <v>17637941.17817371</v>
      </c>
      <c r="I25" s="3">
        <f>'Emprego - WorldBank'!I25*VLOOKUP($A25,[3]Data!$B$1:$BK$65536,I$1-1956,FALSE)/100</f>
        <v>18226999.601397596</v>
      </c>
      <c r="J25" s="3">
        <f>'Emprego - WorldBank'!J25*VLOOKUP($A25,[3]Data!$B$1:$BK$65536,J$1-1956,FALSE)/100</f>
        <v>18442070.323097274</v>
      </c>
      <c r="K25" s="3">
        <f>'Emprego - WorldBank'!K25*VLOOKUP($A25,[3]Data!$B$1:$BK$65536,K$1-1956,FALSE)/100</f>
        <v>18987798.908546295</v>
      </c>
      <c r="L25" s="3">
        <f>'Emprego - WorldBank'!L25*VLOOKUP($A25,[3]Data!$B$1:$BK$65536,L$1-1956,FALSE)/100</f>
        <v>19137895.368858323</v>
      </c>
      <c r="M25" s="3">
        <f>'Emprego - WorldBank'!M25*VLOOKUP($A25,[3]Data!$B$1:$BK$65536,M$1-1956,FALSE)/100</f>
        <v>19462349.051018246</v>
      </c>
      <c r="N25" s="3">
        <f>'Emprego - WorldBank'!N25*VLOOKUP($A25,[3]Data!$B$1:$BK$65536,N$1-1956,FALSE)/100</f>
        <v>19883394.297754172</v>
      </c>
      <c r="O25" s="3">
        <f>'Emprego - WorldBank'!O25*VLOOKUP($A25,[3]Data!$B$1:$BK$65536,O$1-1956,FALSE)/100</f>
        <v>20038369.951648496</v>
      </c>
      <c r="P25" s="3">
        <f>'Emprego - WorldBank'!P25*VLOOKUP($A25,[3]Data!$B$1:$BK$65536,P$1-1956,FALSE)/100</f>
        <v>20181950.944895092</v>
      </c>
      <c r="Q25" s="3">
        <f>'Emprego - WorldBank'!Q25*VLOOKUP($A25,[3]Data!$B$1:$BK$65536,Q$1-1956,FALSE)/100</f>
        <v>20649669.856784604</v>
      </c>
      <c r="R25" s="3">
        <f>'Emprego - WorldBank'!R25*VLOOKUP($A25,[3]Data!$B$1:$BK$65536,R$1-1956,FALSE)/100</f>
        <v>21098133.386377171</v>
      </c>
      <c r="S25" s="3">
        <f>'Emprego - WorldBank'!S25*VLOOKUP($A25,[3]Data!$B$1:$BK$65536,S$1-1956,FALSE)/100</f>
        <v>21347881.891639415</v>
      </c>
      <c r="T25" s="3">
        <f>'Emprego - WorldBank'!T25*VLOOKUP($A25,[3]Data!$B$1:$BK$65536,T$1-1956,FALSE)/100</f>
        <v>21770416.105472852</v>
      </c>
      <c r="U25" s="3">
        <f>'Emprego - WorldBank'!U25*VLOOKUP($A25,[3]Data!$B$1:$BK$65536,U$1-1956,FALSE)/100</f>
        <v>22372751.565051392</v>
      </c>
    </row>
    <row r="26" spans="1:21" x14ac:dyDescent="0.25">
      <c r="A26" t="s">
        <v>24</v>
      </c>
      <c r="B26" s="3">
        <f>'Emprego - WorldBank'!B26*VLOOKUP($A26,[3]Data!$B$1:$BK$65536,B$1-1956,FALSE)/100</f>
        <v>1474915.5744793024</v>
      </c>
      <c r="C26" s="3">
        <f>'Emprego - WorldBank'!C26*VLOOKUP($A26,[3]Data!$B$1:$BK$65536,C$1-1956,FALSE)/100</f>
        <v>1481061.1918544113</v>
      </c>
      <c r="D26" s="3">
        <f>'Emprego - WorldBank'!D26*VLOOKUP($A26,[3]Data!$B$1:$BK$65536,D$1-1956,FALSE)/100</f>
        <v>1506702.5494226366</v>
      </c>
      <c r="E26" s="3">
        <f>'Emprego - WorldBank'!E26*VLOOKUP($A26,[3]Data!$B$1:$BK$65536,E$1-1956,FALSE)/100</f>
        <v>1500118.1591987549</v>
      </c>
      <c r="F26" s="3">
        <f>'Emprego - WorldBank'!F26*VLOOKUP($A26,[3]Data!$B$1:$BK$65536,F$1-1956,FALSE)/100</f>
        <v>1483722.7201899034</v>
      </c>
      <c r="G26" s="3">
        <f>'Emprego - WorldBank'!G26*VLOOKUP($A26,[3]Data!$B$1:$BK$65536,G$1-1956,FALSE)/100</f>
        <v>1420821.0030396851</v>
      </c>
      <c r="H26" s="3">
        <f>'Emprego - WorldBank'!H26*VLOOKUP($A26,[3]Data!$B$1:$BK$65536,H$1-1956,FALSE)/100</f>
        <v>1353247.0432682545</v>
      </c>
      <c r="I26" s="3">
        <f>'Emprego - WorldBank'!I26*VLOOKUP($A26,[3]Data!$B$1:$BK$65536,I$1-1956,FALSE)/100</f>
        <v>1378121.4588988097</v>
      </c>
      <c r="J26" s="3">
        <f>'Emprego - WorldBank'!J26*VLOOKUP($A26,[3]Data!$B$1:$BK$65536,J$1-1956,FALSE)/100</f>
        <v>1415131.3680365575</v>
      </c>
      <c r="K26" s="3">
        <f>'Emprego - WorldBank'!K26*VLOOKUP($A26,[3]Data!$B$1:$BK$65536,K$1-1956,FALSE)/100</f>
        <v>1398712.583739405</v>
      </c>
      <c r="L26" s="3">
        <f>'Emprego - WorldBank'!L26*VLOOKUP($A26,[3]Data!$B$1:$BK$65536,L$1-1956,FALSE)/100</f>
        <v>1417614.4163678631</v>
      </c>
      <c r="M26" s="3">
        <f>'Emprego - WorldBank'!M26*VLOOKUP($A26,[3]Data!$B$1:$BK$65536,M$1-1956,FALSE)/100</f>
        <v>1412646.9555083006</v>
      </c>
      <c r="N26" s="3">
        <f>'Emprego - WorldBank'!N26*VLOOKUP($A26,[3]Data!$B$1:$BK$65536,N$1-1956,FALSE)/100</f>
        <v>1468986.7343655364</v>
      </c>
      <c r="O26" s="3">
        <f>'Emprego - WorldBank'!O26*VLOOKUP($A26,[3]Data!$B$1:$BK$65536,O$1-1956,FALSE)/100</f>
        <v>1487237.8654872852</v>
      </c>
      <c r="P26" s="3">
        <f>'Emprego - WorldBank'!P26*VLOOKUP($A26,[3]Data!$B$1:$BK$65536,P$1-1956,FALSE)/100</f>
        <v>1360100.8980565248</v>
      </c>
      <c r="Q26" s="3">
        <f>'Emprego - WorldBank'!Q26*VLOOKUP($A26,[3]Data!$B$1:$BK$65536,Q$1-1956,FALSE)/100</f>
        <v>1292333.5332534418</v>
      </c>
      <c r="R26" s="3">
        <f>'Emprego - WorldBank'!R26*VLOOKUP($A26,[3]Data!$B$1:$BK$65536,R$1-1956,FALSE)/100</f>
        <v>1325224.3224393558</v>
      </c>
      <c r="S26" s="3">
        <f>'Emprego - WorldBank'!S26*VLOOKUP($A26,[3]Data!$B$1:$BK$65536,S$1-1956,FALSE)/100</f>
        <v>1338945.5455584521</v>
      </c>
      <c r="T26" s="3">
        <f>'Emprego - WorldBank'!T26*VLOOKUP($A26,[3]Data!$B$1:$BK$65536,T$1-1956,FALSE)/100</f>
        <v>1341873.0101572506</v>
      </c>
      <c r="U26" s="3">
        <f>'Emprego - WorldBank'!U26*VLOOKUP($A26,[3]Data!$B$1:$BK$65536,U$1-1956,FALSE)/100</f>
        <v>1360498.2202140498</v>
      </c>
    </row>
    <row r="27" spans="1:21" x14ac:dyDescent="0.25">
      <c r="A27" t="s">
        <v>25</v>
      </c>
      <c r="B27" s="3">
        <f>'Emprego - WorldBank'!B27*VLOOKUP($A27,[3]Data!$B$1:$BK$65536,B$1-1956,FALSE)/100</f>
        <v>182947.98201866989</v>
      </c>
      <c r="C27" s="3">
        <f>'Emprego - WorldBank'!C27*VLOOKUP($A27,[3]Data!$B$1:$BK$65536,C$1-1956,FALSE)/100</f>
        <v>186785.23111394982</v>
      </c>
      <c r="D27" s="3">
        <f>'Emprego - WorldBank'!D27*VLOOKUP($A27,[3]Data!$B$1:$BK$65536,D$1-1956,FALSE)/100</f>
        <v>191578.20412787539</v>
      </c>
      <c r="E27" s="3">
        <f>'Emprego - WorldBank'!E27*VLOOKUP($A27,[3]Data!$B$1:$BK$65536,E$1-1956,FALSE)/100</f>
        <v>194448.59355319294</v>
      </c>
      <c r="F27" s="3">
        <f>'Emprego - WorldBank'!F27*VLOOKUP($A27,[3]Data!$B$1:$BK$65536,F$1-1956,FALSE)/100</f>
        <v>201204.6405383918</v>
      </c>
      <c r="G27" s="3">
        <f>'Emprego - WorldBank'!G27*VLOOKUP($A27,[3]Data!$B$1:$BK$65536,G$1-1956,FALSE)/100</f>
        <v>209230.33572594094</v>
      </c>
      <c r="H27" s="3">
        <f>'Emprego - WorldBank'!H27*VLOOKUP($A27,[3]Data!$B$1:$BK$65536,H$1-1956,FALSE)/100</f>
        <v>210768.27769646156</v>
      </c>
      <c r="I27" s="3">
        <f>'Emprego - WorldBank'!I27*VLOOKUP($A27,[3]Data!$B$1:$BK$65536,I$1-1956,FALSE)/100</f>
        <v>215473.98940758288</v>
      </c>
      <c r="J27" s="3">
        <f>'Emprego - WorldBank'!J27*VLOOKUP($A27,[3]Data!$B$1:$BK$65536,J$1-1956,FALSE)/100</f>
        <v>213176.4403817541</v>
      </c>
      <c r="K27" s="3">
        <f>'Emprego - WorldBank'!K27*VLOOKUP($A27,[3]Data!$B$1:$BK$65536,K$1-1956,FALSE)/100</f>
        <v>215918.81334854235</v>
      </c>
      <c r="L27" s="3">
        <f>'Emprego - WorldBank'!L27*VLOOKUP($A27,[3]Data!$B$1:$BK$65536,L$1-1956,FALSE)/100</f>
        <v>223934.82163159017</v>
      </c>
      <c r="M27" s="3">
        <f>'Emprego - WorldBank'!M27*VLOOKUP($A27,[3]Data!$B$1:$BK$65536,M$1-1956,FALSE)/100</f>
        <v>229358.32759356275</v>
      </c>
      <c r="N27" s="3">
        <f>'Emprego - WorldBank'!N27*VLOOKUP($A27,[3]Data!$B$1:$BK$65536,N$1-1956,FALSE)/100</f>
        <v>234955.09679124926</v>
      </c>
      <c r="O27" s="3">
        <f>'Emprego - WorldBank'!O27*VLOOKUP($A27,[3]Data!$B$1:$BK$65536,O$1-1956,FALSE)/100</f>
        <v>238604.51932052828</v>
      </c>
      <c r="P27" s="3">
        <f>'Emprego - WorldBank'!P27*VLOOKUP($A27,[3]Data!$B$1:$BK$65536,P$1-1956,FALSE)/100</f>
        <v>246928.97705145698</v>
      </c>
      <c r="Q27" s="3">
        <f>'Emprego - WorldBank'!Q27*VLOOKUP($A27,[3]Data!$B$1:$BK$65536,Q$1-1956,FALSE)/100</f>
        <v>253720.00776399553</v>
      </c>
      <c r="R27" s="3">
        <f>'Emprego - WorldBank'!R27*VLOOKUP($A27,[3]Data!$B$1:$BK$65536,R$1-1956,FALSE)/100</f>
        <v>256282.55621423214</v>
      </c>
      <c r="S27" s="3">
        <f>'Emprego - WorldBank'!S27*VLOOKUP($A27,[3]Data!$B$1:$BK$65536,S$1-1956,FALSE)/100</f>
        <v>266254.48021325452</v>
      </c>
      <c r="T27" s="3">
        <f>'Emprego - WorldBank'!T27*VLOOKUP($A27,[3]Data!$B$1:$BK$65536,T$1-1956,FALSE)/100</f>
        <v>271834.52940014639</v>
      </c>
      <c r="U27" s="3">
        <f>'Emprego - WorldBank'!U27*VLOOKUP($A27,[3]Data!$B$1:$BK$65536,U$1-1956,FALSE)/100</f>
        <v>282104.54146190692</v>
      </c>
    </row>
    <row r="28" spans="1:21" x14ac:dyDescent="0.25">
      <c r="A28" t="s">
        <v>26</v>
      </c>
      <c r="B28" s="3">
        <f>'Emprego - WorldBank'!B28*VLOOKUP($A28,[3]Data!$B$1:$BK$65536,B$1-1956,FALSE)/100</f>
        <v>1033166.9950104191</v>
      </c>
      <c r="C28" s="3">
        <f>'Emprego - WorldBank'!C28*VLOOKUP($A28,[3]Data!$B$1:$BK$65536,C$1-1956,FALSE)/100</f>
        <v>997298.74042631779</v>
      </c>
      <c r="D28" s="3">
        <f>'Emprego - WorldBank'!D28*VLOOKUP($A28,[3]Data!$B$1:$BK$65536,D$1-1956,FALSE)/100</f>
        <v>996975.63133953989</v>
      </c>
      <c r="E28" s="3">
        <f>'Emprego - WorldBank'!E28*VLOOKUP($A28,[3]Data!$B$1:$BK$65536,E$1-1956,FALSE)/100</f>
        <v>1002516.1947368467</v>
      </c>
      <c r="F28" s="3">
        <f>'Emprego - WorldBank'!F28*VLOOKUP($A28,[3]Data!$B$1:$BK$65536,F$1-1956,FALSE)/100</f>
        <v>985168.8169189184</v>
      </c>
      <c r="G28" s="3">
        <f>'Emprego - WorldBank'!G28*VLOOKUP($A28,[3]Data!$B$1:$BK$65536,G$1-1956,FALSE)/100</f>
        <v>969313.87727323035</v>
      </c>
      <c r="H28" s="3">
        <f>'Emprego - WorldBank'!H28*VLOOKUP($A28,[3]Data!$B$1:$BK$65536,H$1-1956,FALSE)/100</f>
        <v>961958.53863029589</v>
      </c>
      <c r="I28" s="3">
        <f>'Emprego - WorldBank'!I28*VLOOKUP($A28,[3]Data!$B$1:$BK$65536,I$1-1956,FALSE)/100</f>
        <v>992894.43079991196</v>
      </c>
      <c r="J28" s="3">
        <f>'Emprego - WorldBank'!J28*VLOOKUP($A28,[3]Data!$B$1:$BK$65536,J$1-1956,FALSE)/100</f>
        <v>991312.32476396626</v>
      </c>
      <c r="K28" s="3">
        <f>'Emprego - WorldBank'!K28*VLOOKUP($A28,[3]Data!$B$1:$BK$65536,K$1-1956,FALSE)/100</f>
        <v>989433.06473615253</v>
      </c>
      <c r="L28" s="3">
        <f>'Emprego - WorldBank'!L28*VLOOKUP($A28,[3]Data!$B$1:$BK$65536,L$1-1956,FALSE)/100</f>
        <v>1021036.8203529957</v>
      </c>
      <c r="M28" s="3">
        <f>'Emprego - WorldBank'!M28*VLOOKUP($A28,[3]Data!$B$1:$BK$65536,M$1-1956,FALSE)/100</f>
        <v>1075057.7585802826</v>
      </c>
      <c r="N28" s="3">
        <f>'Emprego - WorldBank'!N28*VLOOKUP($A28,[3]Data!$B$1:$BK$65536,N$1-1956,FALSE)/100</f>
        <v>1107981.7626563781</v>
      </c>
      <c r="O28" s="3">
        <f>'Emprego - WorldBank'!O28*VLOOKUP($A28,[3]Data!$B$1:$BK$65536,O$1-1956,FALSE)/100</f>
        <v>1108727.2253013181</v>
      </c>
      <c r="P28" s="3">
        <f>'Emprego - WorldBank'!P28*VLOOKUP($A28,[3]Data!$B$1:$BK$65536,P$1-1956,FALSE)/100</f>
        <v>939245.71678663255</v>
      </c>
      <c r="Q28" s="3">
        <f>'Emprego - WorldBank'!Q28*VLOOKUP($A28,[3]Data!$B$1:$BK$65536,Q$1-1956,FALSE)/100</f>
        <v>881709.46772844519</v>
      </c>
      <c r="R28" s="3">
        <f>'Emprego - WorldBank'!R28*VLOOKUP($A28,[3]Data!$B$1:$BK$65536,R$1-1956,FALSE)/100</f>
        <v>896860.98627310444</v>
      </c>
      <c r="S28" s="3">
        <f>'Emprego - WorldBank'!S28*VLOOKUP($A28,[3]Data!$B$1:$BK$65536,S$1-1956,FALSE)/100</f>
        <v>915270.78565739212</v>
      </c>
      <c r="T28" s="3">
        <f>'Emprego - WorldBank'!T28*VLOOKUP($A28,[3]Data!$B$1:$BK$65536,T$1-1956,FALSE)/100</f>
        <v>931094.83851208398</v>
      </c>
      <c r="U28" s="3">
        <f>'Emprego - WorldBank'!U28*VLOOKUP($A28,[3]Data!$B$1:$BK$65536,U$1-1956,FALSE)/100</f>
        <v>931297.0839030121</v>
      </c>
    </row>
    <row r="29" spans="1:21" x14ac:dyDescent="0.25">
      <c r="A29" t="s">
        <v>27</v>
      </c>
      <c r="B29" s="3">
        <f>'Emprego - WorldBank'!B29*VLOOKUP($A29,[3]Data!$B$1:$BK$65536,B$1-1956,FALSE)/100</f>
        <v>29764539.942393184</v>
      </c>
      <c r="C29" s="3">
        <f>'Emprego - WorldBank'!C29*VLOOKUP($A29,[3]Data!$B$1:$BK$65536,C$1-1956,FALSE)/100</f>
        <v>31415374.409764186</v>
      </c>
      <c r="D29" s="3">
        <f>'Emprego - WorldBank'!D29*VLOOKUP($A29,[3]Data!$B$1:$BK$65536,D$1-1956,FALSE)/100</f>
        <v>32585495.00481987</v>
      </c>
      <c r="E29" s="3">
        <f>'Emprego - WorldBank'!E29*VLOOKUP($A29,[3]Data!$B$1:$BK$65536,E$1-1956,FALSE)/100</f>
        <v>34473305.785110675</v>
      </c>
      <c r="F29" s="3">
        <f>'Emprego - WorldBank'!F29*VLOOKUP($A29,[3]Data!$B$1:$BK$65536,F$1-1956,FALSE)/100</f>
        <v>35260848.426299348</v>
      </c>
      <c r="G29" s="3">
        <f>'Emprego - WorldBank'!G29*VLOOKUP($A29,[3]Data!$B$1:$BK$65536,G$1-1956,FALSE)/100</f>
        <v>36881956.946204625</v>
      </c>
      <c r="H29" s="3">
        <f>'Emprego - WorldBank'!H29*VLOOKUP($A29,[3]Data!$B$1:$BK$65536,H$1-1956,FALSE)/100</f>
        <v>36776386.808921583</v>
      </c>
      <c r="I29" s="3">
        <f>'Emprego - WorldBank'!I29*VLOOKUP($A29,[3]Data!$B$1:$BK$65536,I$1-1956,FALSE)/100</f>
        <v>36475583.287684046</v>
      </c>
      <c r="J29" s="3">
        <f>'Emprego - WorldBank'!J29*VLOOKUP($A29,[3]Data!$B$1:$BK$65536,J$1-1956,FALSE)/100</f>
        <v>37002935.510182165</v>
      </c>
      <c r="K29" s="3">
        <f>'Emprego - WorldBank'!K29*VLOOKUP($A29,[3]Data!$B$1:$BK$65536,K$1-1956,FALSE)/100</f>
        <v>37922684.715703204</v>
      </c>
      <c r="L29" s="3">
        <f>'Emprego - WorldBank'!L29*VLOOKUP($A29,[3]Data!$B$1:$BK$65536,L$1-1956,FALSE)/100</f>
        <v>39889284.101177327</v>
      </c>
      <c r="M29" s="3">
        <f>'Emprego - WorldBank'!M29*VLOOKUP($A29,[3]Data!$B$1:$BK$65536,M$1-1956,FALSE)/100</f>
        <v>41499489.753999621</v>
      </c>
      <c r="N29" s="3">
        <f>'Emprego - WorldBank'!N29*VLOOKUP($A29,[3]Data!$B$1:$BK$65536,N$1-1956,FALSE)/100</f>
        <v>42337108.100432247</v>
      </c>
      <c r="O29" s="3">
        <f>'Emprego - WorldBank'!O29*VLOOKUP($A29,[3]Data!$B$1:$BK$65536,O$1-1956,FALSE)/100</f>
        <v>43178437.843539715</v>
      </c>
      <c r="P29" s="3">
        <f>'Emprego - WorldBank'!P29*VLOOKUP($A29,[3]Data!$B$1:$BK$65536,P$1-1956,FALSE)/100</f>
        <v>42609513.209915914</v>
      </c>
      <c r="Q29" s="3">
        <f>'Emprego - WorldBank'!Q29*VLOOKUP($A29,[3]Data!$B$1:$BK$65536,Q$1-1956,FALSE)/100</f>
        <v>43690721.541180395</v>
      </c>
      <c r="R29" s="3">
        <f>'Emprego - WorldBank'!R29*VLOOKUP($A29,[3]Data!$B$1:$BK$65536,R$1-1956,FALSE)/100</f>
        <v>44220277.141855821</v>
      </c>
      <c r="S29" s="3">
        <f>'Emprego - WorldBank'!S29*VLOOKUP($A29,[3]Data!$B$1:$BK$65536,S$1-1956,FALSE)/100</f>
        <v>45933416.057195432</v>
      </c>
      <c r="T29" s="3">
        <f>'Emprego - WorldBank'!T29*VLOOKUP($A29,[3]Data!$B$1:$BK$65536,T$1-1956,FALSE)/100</f>
        <v>46419967.220142409</v>
      </c>
      <c r="U29" s="3">
        <f>'Emprego - WorldBank'!U29*VLOOKUP($A29,[3]Data!$B$1:$BK$65536,U$1-1956,FALSE)/100</f>
        <v>47113532.963279374</v>
      </c>
    </row>
    <row r="30" spans="1:21" x14ac:dyDescent="0.25">
      <c r="A30" t="s">
        <v>28</v>
      </c>
      <c r="B30" s="3">
        <f>'Emprego - WorldBank'!B30*VLOOKUP($A30,[3]Data!$B$1:$BK$65536,B$1-1956,FALSE)/100</f>
        <v>152578.0170238424</v>
      </c>
      <c r="C30" s="3">
        <f>'Emprego - WorldBank'!C30*VLOOKUP($A30,[3]Data!$B$1:$BK$65536,C$1-1956,FALSE)/100</f>
        <v>153676.35811737948</v>
      </c>
      <c r="D30" s="3">
        <f>'Emprego - WorldBank'!D30*VLOOKUP($A30,[3]Data!$B$1:$BK$65536,D$1-1956,FALSE)/100</f>
        <v>154759.20909798096</v>
      </c>
      <c r="E30" s="3">
        <f>'Emprego - WorldBank'!E30*VLOOKUP($A30,[3]Data!$B$1:$BK$65536,E$1-1956,FALSE)/100</f>
        <v>156229.24989124478</v>
      </c>
      <c r="F30" s="3">
        <f>'Emprego - WorldBank'!F30*VLOOKUP($A30,[3]Data!$B$1:$BK$65536,F$1-1956,FALSE)/100</f>
        <v>157702.79060400312</v>
      </c>
      <c r="G30" s="3">
        <f>'Emprego - WorldBank'!G30*VLOOKUP($A30,[3]Data!$B$1:$BK$65536,G$1-1956,FALSE)/100</f>
        <v>160055.23822038656</v>
      </c>
      <c r="H30" s="3">
        <f>'Emprego - WorldBank'!H30*VLOOKUP($A30,[3]Data!$B$1:$BK$65536,H$1-1956,FALSE)/100</f>
        <v>161295.95479407749</v>
      </c>
      <c r="I30" s="3">
        <f>'Emprego - WorldBank'!I30*VLOOKUP($A30,[3]Data!$B$1:$BK$65536,I$1-1956,FALSE)/100</f>
        <v>157177.91532898709</v>
      </c>
      <c r="J30" s="3">
        <f>'Emprego - WorldBank'!J30*VLOOKUP($A30,[3]Data!$B$1:$BK$65536,J$1-1956,FALSE)/100</f>
        <v>157415.3606871774</v>
      </c>
      <c r="K30" s="3">
        <f>'Emprego - WorldBank'!K30*VLOOKUP($A30,[3]Data!$B$1:$BK$65536,K$1-1956,FALSE)/100</f>
        <v>153516.20880094884</v>
      </c>
      <c r="L30" s="3">
        <f>'Emprego - WorldBank'!L30*VLOOKUP($A30,[3]Data!$B$1:$BK$65536,L$1-1956,FALSE)/100</f>
        <v>156258.07081623829</v>
      </c>
      <c r="M30" s="3">
        <f>'Emprego - WorldBank'!M30*VLOOKUP($A30,[3]Data!$B$1:$BK$65536,M$1-1956,FALSE)/100</f>
        <v>157577.43785090733</v>
      </c>
      <c r="N30" s="3">
        <f>'Emprego - WorldBank'!N30*VLOOKUP($A30,[3]Data!$B$1:$BK$65536,N$1-1956,FALSE)/100</f>
        <v>160331.76215068324</v>
      </c>
      <c r="O30" s="3">
        <f>'Emprego - WorldBank'!O30*VLOOKUP($A30,[3]Data!$B$1:$BK$65536,O$1-1956,FALSE)/100</f>
        <v>163453.71168999959</v>
      </c>
      <c r="P30" s="3">
        <f>'Emprego - WorldBank'!P30*VLOOKUP($A30,[3]Data!$B$1:$BK$65536,P$1-1956,FALSE)/100</f>
        <v>163355.56926140736</v>
      </c>
      <c r="Q30" s="3">
        <f>'Emprego - WorldBank'!Q30*VLOOKUP($A30,[3]Data!$B$1:$BK$65536,Q$1-1956,FALSE)/100</f>
        <v>165221.0902524392</v>
      </c>
      <c r="R30" s="3">
        <f>'Emprego - WorldBank'!R30*VLOOKUP($A30,[3]Data!$B$1:$BK$65536,R$1-1956,FALSE)/100</f>
        <v>171369.14585251483</v>
      </c>
      <c r="S30" s="3">
        <f>'Emprego - WorldBank'!S30*VLOOKUP($A30,[3]Data!$B$1:$BK$65536,S$1-1956,FALSE)/100</f>
        <v>177659.91312902735</v>
      </c>
      <c r="T30" s="3">
        <f>'Emprego - WorldBank'!T30*VLOOKUP($A30,[3]Data!$B$1:$BK$65536,T$1-1956,FALSE)/100</f>
        <v>184491.51663788187</v>
      </c>
      <c r="U30" s="3">
        <f>'Emprego - WorldBank'!U30*VLOOKUP($A30,[3]Data!$B$1:$BK$65536,U$1-1956,FALSE)/100</f>
        <v>192732.02074692614</v>
      </c>
    </row>
    <row r="31" spans="1:21" x14ac:dyDescent="0.25">
      <c r="A31" t="s">
        <v>29</v>
      </c>
      <c r="B31" s="3">
        <f>'Emprego - WorldBank'!B31*VLOOKUP($A31,[3]Data!$B$1:$BK$65536,B$1-1956,FALSE)/100</f>
        <v>7321880.3666215334</v>
      </c>
      <c r="C31" s="3">
        <f>'Emprego - WorldBank'!C31*VLOOKUP($A31,[3]Data!$B$1:$BK$65536,C$1-1956,FALSE)/100</f>
        <v>7521244.6161983088</v>
      </c>
      <c r="D31" s="3">
        <f>'Emprego - WorldBank'!D31*VLOOKUP($A31,[3]Data!$B$1:$BK$65536,D$1-1956,FALSE)/100</f>
        <v>7786675.0472169127</v>
      </c>
      <c r="E31" s="3">
        <f>'Emprego - WorldBank'!E31*VLOOKUP($A31,[3]Data!$B$1:$BK$65536,E$1-1956,FALSE)/100</f>
        <v>8092649.8791275695</v>
      </c>
      <c r="F31" s="3">
        <f>'Emprego - WorldBank'!F31*VLOOKUP($A31,[3]Data!$B$1:$BK$65536,F$1-1956,FALSE)/100</f>
        <v>8331758.3072844073</v>
      </c>
      <c r="G31" s="3">
        <f>'Emprego - WorldBank'!G31*VLOOKUP($A31,[3]Data!$B$1:$BK$65536,G$1-1956,FALSE)/100</f>
        <v>8642846.6785089187</v>
      </c>
      <c r="H31" s="3">
        <f>'Emprego - WorldBank'!H31*VLOOKUP($A31,[3]Data!$B$1:$BK$65536,H$1-1956,FALSE)/100</f>
        <v>8816381.7156363353</v>
      </c>
      <c r="I31" s="3">
        <f>'Emprego - WorldBank'!I31*VLOOKUP($A31,[3]Data!$B$1:$BK$65536,I$1-1956,FALSE)/100</f>
        <v>8908329.5964737348</v>
      </c>
      <c r="J31" s="3">
        <f>'Emprego - WorldBank'!J31*VLOOKUP($A31,[3]Data!$B$1:$BK$65536,J$1-1956,FALSE)/100</f>
        <v>8879709.2003665548</v>
      </c>
      <c r="K31" s="3">
        <f>'Emprego - WorldBank'!K31*VLOOKUP($A31,[3]Data!$B$1:$BK$65536,K$1-1956,FALSE)/100</f>
        <v>8770859.089921277</v>
      </c>
      <c r="L31" s="3">
        <f>'Emprego - WorldBank'!L31*VLOOKUP($A31,[3]Data!$B$1:$BK$65536,L$1-1956,FALSE)/100</f>
        <v>8344836.2812168458</v>
      </c>
      <c r="M31" s="3">
        <f>'Emprego - WorldBank'!M31*VLOOKUP($A31,[3]Data!$B$1:$BK$65536,M$1-1956,FALSE)/100</f>
        <v>8438172.5095962938</v>
      </c>
      <c r="N31" s="3">
        <f>'Emprego - WorldBank'!N31*VLOOKUP($A31,[3]Data!$B$1:$BK$65536,N$1-1956,FALSE)/100</f>
        <v>8653703.5550328847</v>
      </c>
      <c r="O31" s="3">
        <f>'Emprego - WorldBank'!O31*VLOOKUP($A31,[3]Data!$B$1:$BK$65536,O$1-1956,FALSE)/100</f>
        <v>8812535.3376485109</v>
      </c>
      <c r="P31" s="3">
        <f>'Emprego - WorldBank'!P31*VLOOKUP($A31,[3]Data!$B$1:$BK$65536,P$1-1956,FALSE)/100</f>
        <v>8762688.5662982855</v>
      </c>
      <c r="Q31" s="3">
        <f>'Emprego - WorldBank'!Q31*VLOOKUP($A31,[3]Data!$B$1:$BK$65536,Q$1-1956,FALSE)/100</f>
        <v>8636754.9289484285</v>
      </c>
      <c r="R31" s="3">
        <f>'Emprego - WorldBank'!R31*VLOOKUP($A31,[3]Data!$B$1:$BK$65536,R$1-1956,FALSE)/100</f>
        <v>8631099.4499789756</v>
      </c>
      <c r="S31" s="3">
        <f>'Emprego - WorldBank'!S31*VLOOKUP($A31,[3]Data!$B$1:$BK$65536,S$1-1956,FALSE)/100</f>
        <v>8626807.04913879</v>
      </c>
      <c r="T31" s="3">
        <f>'Emprego - WorldBank'!T31*VLOOKUP($A31,[3]Data!$B$1:$BK$65536,T$1-1956,FALSE)/100</f>
        <v>8440067.4028862678</v>
      </c>
      <c r="U31" s="3">
        <f>'Emprego - WorldBank'!U31*VLOOKUP($A31,[3]Data!$B$1:$BK$65536,U$1-1956,FALSE)/100</f>
        <v>8334651.1645424329</v>
      </c>
    </row>
    <row r="32" spans="1:21" x14ac:dyDescent="0.25">
      <c r="A32" t="s">
        <v>30</v>
      </c>
      <c r="B32" s="3">
        <f>'Emprego - WorldBank'!B32*VLOOKUP($A32,[3]Data!$B$1:$BK$65536,B$1-1956,FALSE)/100</f>
        <v>13767884.637980793</v>
      </c>
      <c r="C32" s="3">
        <f>'Emprego - WorldBank'!C32*VLOOKUP($A32,[3]Data!$B$1:$BK$65536,C$1-1956,FALSE)/100</f>
        <v>13811901.422700807</v>
      </c>
      <c r="D32" s="3">
        <f>'Emprego - WorldBank'!D32*VLOOKUP($A32,[3]Data!$B$1:$BK$65536,D$1-1956,FALSE)/100</f>
        <v>13952520.698675767</v>
      </c>
      <c r="E32" s="3">
        <f>'Emprego - WorldBank'!E32*VLOOKUP($A32,[3]Data!$B$1:$BK$65536,E$1-1956,FALSE)/100</f>
        <v>14254207.763137968</v>
      </c>
      <c r="F32" s="3">
        <f>'Emprego - WorldBank'!F32*VLOOKUP($A32,[3]Data!$B$1:$BK$65536,F$1-1956,FALSE)/100</f>
        <v>13817988.864099536</v>
      </c>
      <c r="G32" s="3">
        <f>'Emprego - WorldBank'!G32*VLOOKUP($A32,[3]Data!$B$1:$BK$65536,G$1-1956,FALSE)/100</f>
        <v>13083601.417029226</v>
      </c>
      <c r="H32" s="3">
        <f>'Emprego - WorldBank'!H32*VLOOKUP($A32,[3]Data!$B$1:$BK$65536,H$1-1956,FALSE)/100</f>
        <v>12734175.491429448</v>
      </c>
      <c r="I32" s="3">
        <f>'Emprego - WorldBank'!I32*VLOOKUP($A32,[3]Data!$B$1:$BK$65536,I$1-1956,FALSE)/100</f>
        <v>12215526.898323433</v>
      </c>
      <c r="J32" s="3">
        <f>'Emprego - WorldBank'!J32*VLOOKUP($A32,[3]Data!$B$1:$BK$65536,J$1-1956,FALSE)/100</f>
        <v>12366689.987696478</v>
      </c>
      <c r="K32" s="3">
        <f>'Emprego - WorldBank'!K32*VLOOKUP($A32,[3]Data!$B$1:$BK$65536,K$1-1956,FALSE)/100</f>
        <v>12387812.448919294</v>
      </c>
      <c r="L32" s="3">
        <f>'Emprego - WorldBank'!L32*VLOOKUP($A32,[3]Data!$B$1:$BK$65536,L$1-1956,FALSE)/100</f>
        <v>12837941.377283659</v>
      </c>
      <c r="M32" s="3">
        <f>'Emprego - WorldBank'!M32*VLOOKUP($A32,[3]Data!$B$1:$BK$65536,M$1-1956,FALSE)/100</f>
        <v>13459175.763890505</v>
      </c>
      <c r="N32" s="3">
        <f>'Emprego - WorldBank'!N32*VLOOKUP($A32,[3]Data!$B$1:$BK$65536,N$1-1956,FALSE)/100</f>
        <v>14250254.781933514</v>
      </c>
      <c r="O32" s="3">
        <f>'Emprego - WorldBank'!O32*VLOOKUP($A32,[3]Data!$B$1:$BK$65536,O$1-1956,FALSE)/100</f>
        <v>14901142.834611733</v>
      </c>
      <c r="P32" s="3">
        <f>'Emprego - WorldBank'!P32*VLOOKUP($A32,[3]Data!$B$1:$BK$65536,P$1-1956,FALSE)/100</f>
        <v>14956371.709350729</v>
      </c>
      <c r="Q32" s="3">
        <f>'Emprego - WorldBank'!Q32*VLOOKUP($A32,[3]Data!$B$1:$BK$65536,Q$1-1956,FALSE)/100</f>
        <v>14806341.899251826</v>
      </c>
      <c r="R32" s="3">
        <f>'Emprego - WorldBank'!R32*VLOOKUP($A32,[3]Data!$B$1:$BK$65536,R$1-1956,FALSE)/100</f>
        <v>14872647.966181407</v>
      </c>
      <c r="S32" s="3">
        <f>'Emprego - WorldBank'!S32*VLOOKUP($A32,[3]Data!$B$1:$BK$65536,S$1-1956,FALSE)/100</f>
        <v>14969630.573187921</v>
      </c>
      <c r="T32" s="3">
        <f>'Emprego - WorldBank'!T32*VLOOKUP($A32,[3]Data!$B$1:$BK$65536,T$1-1956,FALSE)/100</f>
        <v>15046724.25889542</v>
      </c>
      <c r="U32" s="3">
        <f>'Emprego - WorldBank'!U32*VLOOKUP($A32,[3]Data!$B$1:$BK$65536,U$1-1956,FALSE)/100</f>
        <v>15450977.973169414</v>
      </c>
    </row>
    <row r="33" spans="1:21" x14ac:dyDescent="0.25">
      <c r="A33" t="s">
        <v>31</v>
      </c>
      <c r="B33" s="3">
        <f>'Emprego - WorldBank'!B33*VLOOKUP($A33,[3]Data!$B$1:$BK$65536,B$1-1956,FALSE)/100</f>
        <v>3935599.3747932934</v>
      </c>
      <c r="C33" s="3">
        <f>'Emprego - WorldBank'!C33*VLOOKUP($A33,[3]Data!$B$1:$BK$65536,C$1-1956,FALSE)/100</f>
        <v>3922909.299022323</v>
      </c>
      <c r="D33" s="3">
        <f>'Emprego - WorldBank'!D33*VLOOKUP($A33,[3]Data!$B$1:$BK$65536,D$1-1956,FALSE)/100</f>
        <v>4014191.5999503215</v>
      </c>
      <c r="E33" s="3">
        <f>'Emprego - WorldBank'!E33*VLOOKUP($A33,[3]Data!$B$1:$BK$65536,E$1-1956,FALSE)/100</f>
        <v>4200198.3373848768</v>
      </c>
      <c r="F33" s="3">
        <f>'Emprego - WorldBank'!F33*VLOOKUP($A33,[3]Data!$B$1:$BK$65536,F$1-1956,FALSE)/100</f>
        <v>4313677.7676468408</v>
      </c>
      <c r="G33" s="3">
        <f>'Emprego - WorldBank'!G33*VLOOKUP($A33,[3]Data!$B$1:$BK$65536,G$1-1956,FALSE)/100</f>
        <v>4447627.3302648598</v>
      </c>
      <c r="H33" s="3">
        <f>'Emprego - WorldBank'!H33*VLOOKUP($A33,[3]Data!$B$1:$BK$65536,H$1-1956,FALSE)/100</f>
        <v>4414134.8241272792</v>
      </c>
      <c r="I33" s="3">
        <f>'Emprego - WorldBank'!I33*VLOOKUP($A33,[3]Data!$B$1:$BK$65536,I$1-1956,FALSE)/100</f>
        <v>4469308.5028333087</v>
      </c>
      <c r="J33" s="3">
        <f>'Emprego - WorldBank'!J33*VLOOKUP($A33,[3]Data!$B$1:$BK$65536,J$1-1956,FALSE)/100</f>
        <v>4421426.0962009784</v>
      </c>
      <c r="K33" s="3">
        <f>'Emprego - WorldBank'!K33*VLOOKUP($A33,[3]Data!$B$1:$BK$65536,K$1-1956,FALSE)/100</f>
        <v>4466691.0565060414</v>
      </c>
      <c r="L33" s="3">
        <f>'Emprego - WorldBank'!L33*VLOOKUP($A33,[3]Data!$B$1:$BK$65536,L$1-1956,FALSE)/100</f>
        <v>4464072.3861344401</v>
      </c>
      <c r="M33" s="3">
        <f>'Emprego - WorldBank'!M33*VLOOKUP($A33,[3]Data!$B$1:$BK$65536,M$1-1956,FALSE)/100</f>
        <v>4551054.5634122174</v>
      </c>
      <c r="N33" s="3">
        <f>'Emprego - WorldBank'!N33*VLOOKUP($A33,[3]Data!$B$1:$BK$65536,N$1-1956,FALSE)/100</f>
        <v>4545560.4018182773</v>
      </c>
      <c r="O33" s="3">
        <f>'Emprego - WorldBank'!O33*VLOOKUP($A33,[3]Data!$B$1:$BK$65536,O$1-1956,FALSE)/100</f>
        <v>4583464.2016813569</v>
      </c>
      <c r="P33" s="3">
        <f>'Emprego - WorldBank'!P33*VLOOKUP($A33,[3]Data!$B$1:$BK$65536,P$1-1956,FALSE)/100</f>
        <v>4454546.9703453248</v>
      </c>
      <c r="Q33" s="3">
        <f>'Emprego - WorldBank'!Q33*VLOOKUP($A33,[3]Data!$B$1:$BK$65536,Q$1-1956,FALSE)/100</f>
        <v>4428532.0050840769</v>
      </c>
      <c r="R33" s="3">
        <f>'Emprego - WorldBank'!R33*VLOOKUP($A33,[3]Data!$B$1:$BK$65536,R$1-1956,FALSE)/100</f>
        <v>4367179.412075853</v>
      </c>
      <c r="S33" s="3">
        <f>'Emprego - WorldBank'!S33*VLOOKUP($A33,[3]Data!$B$1:$BK$65536,S$1-1956,FALSE)/100</f>
        <v>4153287.832617417</v>
      </c>
      <c r="T33" s="3">
        <f>'Emprego - WorldBank'!T33*VLOOKUP($A33,[3]Data!$B$1:$BK$65536,T$1-1956,FALSE)/100</f>
        <v>4050247.7315077628</v>
      </c>
      <c r="U33" s="3">
        <f>'Emprego - WorldBank'!U33*VLOOKUP($A33,[3]Data!$B$1:$BK$65536,U$1-1956,FALSE)/100</f>
        <v>4223968.1144212969</v>
      </c>
    </row>
    <row r="34" spans="1:21" x14ac:dyDescent="0.25">
      <c r="A34" t="s">
        <v>32</v>
      </c>
      <c r="B34" s="3">
        <f>'Emprego - WorldBank'!B34*VLOOKUP($A34,[3]Data!$B$1:$BK$65536,B$1-1956,FALSE)/100</f>
        <v>8788012.6138877925</v>
      </c>
      <c r="C34" s="3">
        <f>'Emprego - WorldBank'!C34*VLOOKUP($A34,[3]Data!$B$1:$BK$65536,C$1-1956,FALSE)/100</f>
        <v>8747484.208581673</v>
      </c>
      <c r="D34" s="3">
        <f>'Emprego - WorldBank'!D34*VLOOKUP($A34,[3]Data!$B$1:$BK$65536,D$1-1956,FALSE)/100</f>
        <v>8382898.8985409047</v>
      </c>
      <c r="E34" s="3">
        <f>'Emprego - WorldBank'!E34*VLOOKUP($A34,[3]Data!$B$1:$BK$65536,E$1-1956,FALSE)/100</f>
        <v>8014073.7006309638</v>
      </c>
      <c r="F34" s="3">
        <f>'Emprego - WorldBank'!F34*VLOOKUP($A34,[3]Data!$B$1:$BK$65536,F$1-1956,FALSE)/100</f>
        <v>7648661.5046390854</v>
      </c>
      <c r="G34" s="3">
        <f>'Emprego - WorldBank'!G34*VLOOKUP($A34,[3]Data!$B$1:$BK$65536,G$1-1956,FALSE)/100</f>
        <v>7241618.855297463</v>
      </c>
      <c r="H34" s="3">
        <f>'Emprego - WorldBank'!H34*VLOOKUP($A34,[3]Data!$B$1:$BK$65536,H$1-1956,FALSE)/100</f>
        <v>7018158.0315560214</v>
      </c>
      <c r="I34" s="3">
        <f>'Emprego - WorldBank'!I34*VLOOKUP($A34,[3]Data!$B$1:$BK$65536,I$1-1956,FALSE)/100</f>
        <v>6891600.3298337515</v>
      </c>
      <c r="J34" s="3">
        <f>'Emprego - WorldBank'!J34*VLOOKUP($A34,[3]Data!$B$1:$BK$65536,J$1-1956,FALSE)/100</f>
        <v>6738837.4305150583</v>
      </c>
      <c r="K34" s="3">
        <f>'Emprego - WorldBank'!K34*VLOOKUP($A34,[3]Data!$B$1:$BK$65536,K$1-1956,FALSE)/100</f>
        <v>7128626.2482939949</v>
      </c>
      <c r="L34" s="3">
        <f>'Emprego - WorldBank'!L34*VLOOKUP($A34,[3]Data!$B$1:$BK$65536,L$1-1956,FALSE)/100</f>
        <v>6835352.1495710108</v>
      </c>
      <c r="M34" s="3">
        <f>'Emprego - WorldBank'!M34*VLOOKUP($A34,[3]Data!$B$1:$BK$65536,M$1-1956,FALSE)/100</f>
        <v>7074832.3229547348</v>
      </c>
      <c r="N34" s="3">
        <f>'Emprego - WorldBank'!N34*VLOOKUP($A34,[3]Data!$B$1:$BK$65536,N$1-1956,FALSE)/100</f>
        <v>7017564.5061792862</v>
      </c>
      <c r="O34" s="3">
        <f>'Emprego - WorldBank'!O34*VLOOKUP($A34,[3]Data!$B$1:$BK$65536,O$1-1956,FALSE)/100</f>
        <v>7031529.5261211833</v>
      </c>
      <c r="P34" s="3">
        <f>'Emprego - WorldBank'!P34*VLOOKUP($A34,[3]Data!$B$1:$BK$65536,P$1-1956,FALSE)/100</f>
        <v>6850855.2424880387</v>
      </c>
      <c r="Q34" s="3">
        <f>'Emprego - WorldBank'!Q34*VLOOKUP($A34,[3]Data!$B$1:$BK$65536,Q$1-1956,FALSE)/100</f>
        <v>6710138.449569732</v>
      </c>
      <c r="R34" s="3">
        <f>'Emprego - WorldBank'!R34*VLOOKUP($A34,[3]Data!$B$1:$BK$65536,R$1-1956,FALSE)/100</f>
        <v>6762081.2315973965</v>
      </c>
      <c r="S34" s="3">
        <f>'Emprego - WorldBank'!S34*VLOOKUP($A34,[3]Data!$B$1:$BK$65536,S$1-1956,FALSE)/100</f>
        <v>6803739.5136797074</v>
      </c>
      <c r="T34" s="3">
        <f>'Emprego - WorldBank'!T34*VLOOKUP($A34,[3]Data!$B$1:$BK$65536,T$1-1956,FALSE)/100</f>
        <v>6795020.0716645299</v>
      </c>
      <c r="U34" s="3">
        <f>'Emprego - WorldBank'!U34*VLOOKUP($A34,[3]Data!$B$1:$BK$65536,U$1-1956,FALSE)/100</f>
        <v>6903003.8382826177</v>
      </c>
    </row>
    <row r="35" spans="1:21" x14ac:dyDescent="0.25">
      <c r="A35" t="s">
        <v>33</v>
      </c>
      <c r="B35" s="3">
        <f>'Emprego - WorldBank'!B35*VLOOKUP($A35,[3]Data!$B$1:$BK$65536,B$1-1956,FALSE)/100</f>
        <v>80643390.280668065</v>
      </c>
      <c r="C35" s="3">
        <f>'Emprego - WorldBank'!C35*VLOOKUP($A35,[3]Data!$B$1:$BK$65536,C$1-1956,FALSE)/100</f>
        <v>78736555.727346018</v>
      </c>
      <c r="D35" s="3">
        <f>'Emprego - WorldBank'!D35*VLOOKUP($A35,[3]Data!$B$1:$BK$65536,D$1-1956,FALSE)/100</f>
        <v>73740350.023756564</v>
      </c>
      <c r="E35" s="3">
        <f>'Emprego - WorldBank'!E35*VLOOKUP($A35,[3]Data!$B$1:$BK$65536,E$1-1956,FALSE)/100</f>
        <v>71343404.827306226</v>
      </c>
      <c r="F35" s="3">
        <f>'Emprego - WorldBank'!F35*VLOOKUP($A35,[3]Data!$B$1:$BK$65536,F$1-1956,FALSE)/100</f>
        <v>69075652.434577778</v>
      </c>
      <c r="G35" s="3">
        <f>'Emprego - WorldBank'!G35*VLOOKUP($A35,[3]Data!$B$1:$BK$65536,G$1-1956,FALSE)/100</f>
        <v>71355071.014443681</v>
      </c>
      <c r="H35" s="3">
        <f>'Emprego - WorldBank'!H35*VLOOKUP($A35,[3]Data!$B$1:$BK$65536,H$1-1956,FALSE)/100</f>
        <v>72375363.158284649</v>
      </c>
      <c r="I35" s="3">
        <f>'Emprego - WorldBank'!I35*VLOOKUP($A35,[3]Data!$B$1:$BK$65536,I$1-1956,FALSE)/100</f>
        <v>73839121.682431415</v>
      </c>
      <c r="J35" s="3">
        <f>'Emprego - WorldBank'!J35*VLOOKUP($A35,[3]Data!$B$1:$BK$65536,J$1-1956,FALSE)/100</f>
        <v>73108508.423006907</v>
      </c>
      <c r="K35" s="3">
        <f>'Emprego - WorldBank'!K35*VLOOKUP($A35,[3]Data!$B$1:$BK$65536,K$1-1956,FALSE)/100</f>
        <v>73556324.088196918</v>
      </c>
      <c r="L35" s="3">
        <f>'Emprego - WorldBank'!L35*VLOOKUP($A35,[3]Data!$B$1:$BK$65536,L$1-1956,FALSE)/100</f>
        <v>74014524.005518883</v>
      </c>
      <c r="M35" s="3">
        <f>'Emprego - WorldBank'!M35*VLOOKUP($A35,[3]Data!$B$1:$BK$65536,M$1-1956,FALSE)/100</f>
        <v>74315470.628742844</v>
      </c>
      <c r="N35" s="3">
        <f>'Emprego - WorldBank'!N35*VLOOKUP($A35,[3]Data!$B$1:$BK$65536,N$1-1956,FALSE)/100</f>
        <v>76204832.863810703</v>
      </c>
      <c r="O35" s="3">
        <f>'Emprego - WorldBank'!O35*VLOOKUP($A35,[3]Data!$B$1:$BK$65536,O$1-1956,FALSE)/100</f>
        <v>76532115.498528183</v>
      </c>
      <c r="P35" s="3">
        <f>'Emprego - WorldBank'!P35*VLOOKUP($A35,[3]Data!$B$1:$BK$65536,P$1-1956,FALSE)/100</f>
        <v>74815492.646319628</v>
      </c>
      <c r="Q35" s="3">
        <f>'Emprego - WorldBank'!Q35*VLOOKUP($A35,[3]Data!$B$1:$BK$65536,Q$1-1956,FALSE)/100</f>
        <v>77043233.162558123</v>
      </c>
      <c r="R35" s="3">
        <f>'Emprego - WorldBank'!R35*VLOOKUP($A35,[3]Data!$B$1:$BK$65536,R$1-1956,FALSE)/100</f>
        <v>77867998.311404645</v>
      </c>
      <c r="S35" s="3">
        <f>'Emprego - WorldBank'!S35*VLOOKUP($A35,[3]Data!$B$1:$BK$65536,S$1-1956,FALSE)/100</f>
        <v>79060316.614370197</v>
      </c>
      <c r="T35" s="3">
        <f>'Emprego - WorldBank'!T35*VLOOKUP($A35,[3]Data!$B$1:$BK$65536,T$1-1956,FALSE)/100</f>
        <v>78760494.636680424</v>
      </c>
      <c r="U35" s="3">
        <f>'Emprego - WorldBank'!U35*VLOOKUP($A35,[3]Data!$B$1:$BK$65536,U$1-1956,FALSE)/100</f>
        <v>79280883.812199369</v>
      </c>
    </row>
    <row r="36" spans="1:21" x14ac:dyDescent="0.25">
      <c r="A36" t="s">
        <v>34</v>
      </c>
      <c r="B36" s="3">
        <f>'Emprego - WorldBank'!B36*VLOOKUP($A36,[3]Data!$B$1:$BK$65536,B$1-1956,FALSE)/100</f>
        <v>2595877.2423851062</v>
      </c>
      <c r="C36" s="3">
        <f>'Emprego - WorldBank'!C36*VLOOKUP($A36,[3]Data!$B$1:$BK$65536,C$1-1956,FALSE)/100</f>
        <v>2667385.5878329291</v>
      </c>
      <c r="D36" s="3">
        <f>'Emprego - WorldBank'!D36*VLOOKUP($A36,[3]Data!$B$1:$BK$65536,D$1-1956,FALSE)/100</f>
        <v>2633390.8611860774</v>
      </c>
      <c r="E36" s="3">
        <f>'Emprego - WorldBank'!E36*VLOOKUP($A36,[3]Data!$B$1:$BK$65536,E$1-1956,FALSE)/100</f>
        <v>2613534.8342011338</v>
      </c>
      <c r="F36" s="3">
        <f>'Emprego - WorldBank'!F36*VLOOKUP($A36,[3]Data!$B$1:$BK$65536,F$1-1956,FALSE)/100</f>
        <v>2488007.117525016</v>
      </c>
      <c r="G36" s="3">
        <f>'Emprego - WorldBank'!G36*VLOOKUP($A36,[3]Data!$B$1:$BK$65536,G$1-1956,FALSE)/100</f>
        <v>2400031.5406402568</v>
      </c>
      <c r="H36" s="3">
        <f>'Emprego - WorldBank'!H36*VLOOKUP($A36,[3]Data!$B$1:$BK$65536,H$1-1956,FALSE)/100</f>
        <v>2398041.8069130359</v>
      </c>
      <c r="I36" s="3">
        <f>'Emprego - WorldBank'!I36*VLOOKUP($A36,[3]Data!$B$1:$BK$65536,I$1-1956,FALSE)/100</f>
        <v>2392496.7145436807</v>
      </c>
      <c r="J36" s="3">
        <f>'Emprego - WorldBank'!J36*VLOOKUP($A36,[3]Data!$B$1:$BK$65536,J$1-1956,FALSE)/100</f>
        <v>2427497.8519939585</v>
      </c>
      <c r="K36" s="3">
        <f>'Emprego - WorldBank'!K36*VLOOKUP($A36,[3]Data!$B$1:$BK$65536,K$1-1956,FALSE)/100</f>
        <v>2314140.0378915011</v>
      </c>
      <c r="L36" s="3">
        <f>'Emprego - WorldBank'!L36*VLOOKUP($A36,[3]Data!$B$1:$BK$65536,L$1-1956,FALSE)/100</f>
        <v>2340151.1574624218</v>
      </c>
      <c r="M36" s="3">
        <f>'Emprego - WorldBank'!M36*VLOOKUP($A36,[3]Data!$B$1:$BK$65536,M$1-1956,FALSE)/100</f>
        <v>2402860.7777875774</v>
      </c>
      <c r="N36" s="3">
        <f>'Emprego - WorldBank'!N36*VLOOKUP($A36,[3]Data!$B$1:$BK$65536,N$1-1956,FALSE)/100</f>
        <v>2444151.2933248249</v>
      </c>
      <c r="O36" s="3">
        <f>'Emprego - WorldBank'!O36*VLOOKUP($A36,[3]Data!$B$1:$BK$65536,O$1-1956,FALSE)/100</f>
        <v>2484243.3209505226</v>
      </c>
      <c r="P36" s="3">
        <f>'Emprego - WorldBank'!P36*VLOOKUP($A36,[3]Data!$B$1:$BK$65536,P$1-1956,FALSE)/100</f>
        <v>2346515.187110797</v>
      </c>
      <c r="Q36" s="3">
        <f>'Emprego - WorldBank'!Q36*VLOOKUP($A36,[3]Data!$B$1:$BK$65536,Q$1-1956,FALSE)/100</f>
        <v>2280285.7724771318</v>
      </c>
      <c r="R36" s="3">
        <f>'Emprego - WorldBank'!R36*VLOOKUP($A36,[3]Data!$B$1:$BK$65536,R$1-1956,FALSE)/100</f>
        <v>2300352.3390706908</v>
      </c>
      <c r="S36" s="3">
        <f>'Emprego - WorldBank'!S36*VLOOKUP($A36,[3]Data!$B$1:$BK$65536,S$1-1956,FALSE)/100</f>
        <v>2323613.0142561784</v>
      </c>
      <c r="T36" s="3">
        <f>'Emprego - WorldBank'!T36*VLOOKUP($A36,[3]Data!$B$1:$BK$65536,T$1-1956,FALSE)/100</f>
        <v>2319914.7097184733</v>
      </c>
      <c r="U36" s="3">
        <f>'Emprego - WorldBank'!U36*VLOOKUP($A36,[3]Data!$B$1:$BK$65536,U$1-1956,FALSE)/100</f>
        <v>2357850.2479345114</v>
      </c>
    </row>
    <row r="37" spans="1:21" x14ac:dyDescent="0.25">
      <c r="A37" t="s">
        <v>35</v>
      </c>
      <c r="B37" s="3">
        <f>'Emprego - WorldBank'!B37*VLOOKUP($A37,[3]Data!$B$1:$BK$65536,B$1-1956,FALSE)/100</f>
        <v>886858.52601434966</v>
      </c>
      <c r="C37" s="3">
        <f>'Emprego - WorldBank'!C37*VLOOKUP($A37,[3]Data!$B$1:$BK$65536,C$1-1956,FALSE)/100</f>
        <v>886648.52246455208</v>
      </c>
      <c r="D37" s="3">
        <f>'Emprego - WorldBank'!D37*VLOOKUP($A37,[3]Data!$B$1:$BK$65536,D$1-1956,FALSE)/100</f>
        <v>879274.21832879051</v>
      </c>
      <c r="E37" s="3">
        <f>'Emprego - WorldBank'!E37*VLOOKUP($A37,[3]Data!$B$1:$BK$65536,E$1-1956,FALSE)/100</f>
        <v>879133.51985201775</v>
      </c>
      <c r="F37" s="3">
        <f>'Emprego - WorldBank'!F37*VLOOKUP($A37,[3]Data!$B$1:$BK$65536,F$1-1956,FALSE)/100</f>
        <v>870643.63010370592</v>
      </c>
      <c r="G37" s="3">
        <f>'Emprego - WorldBank'!G37*VLOOKUP($A37,[3]Data!$B$1:$BK$65536,G$1-1956,FALSE)/100</f>
        <v>891769.96294964012</v>
      </c>
      <c r="H37" s="3">
        <f>'Emprego - WorldBank'!H37*VLOOKUP($A37,[3]Data!$B$1:$BK$65536,H$1-1956,FALSE)/100</f>
        <v>896324.9868324555</v>
      </c>
      <c r="I37" s="3">
        <f>'Emprego - WorldBank'!I37*VLOOKUP($A37,[3]Data!$B$1:$BK$65536,I$1-1956,FALSE)/100</f>
        <v>911391.4373179191</v>
      </c>
      <c r="J37" s="3">
        <f>'Emprego - WorldBank'!J37*VLOOKUP($A37,[3]Data!$B$1:$BK$65536,J$1-1956,FALSE)/100</f>
        <v>906329.60143816157</v>
      </c>
      <c r="K37" s="3">
        <f>'Emprego - WorldBank'!K37*VLOOKUP($A37,[3]Data!$B$1:$BK$65536,K$1-1956,FALSE)/100</f>
        <v>934055.54473311838</v>
      </c>
      <c r="L37" s="3">
        <f>'Emprego - WorldBank'!L37*VLOOKUP($A37,[3]Data!$B$1:$BK$65536,L$1-1956,FALSE)/100</f>
        <v>939814.75227322383</v>
      </c>
      <c r="M37" s="3">
        <f>'Emprego - WorldBank'!M37*VLOOKUP($A37,[3]Data!$B$1:$BK$65536,M$1-1956,FALSE)/100</f>
        <v>937780.36048662092</v>
      </c>
      <c r="N37" s="3">
        <f>'Emprego - WorldBank'!N37*VLOOKUP($A37,[3]Data!$B$1:$BK$65536,N$1-1956,FALSE)/100</f>
        <v>965675.47904364625</v>
      </c>
      <c r="O37" s="3">
        <f>'Emprego - WorldBank'!O37*VLOOKUP($A37,[3]Data!$B$1:$BK$65536,O$1-1956,FALSE)/100</f>
        <v>987510.79248099471</v>
      </c>
      <c r="P37" s="3">
        <f>'Emprego - WorldBank'!P37*VLOOKUP($A37,[3]Data!$B$1:$BK$65536,P$1-1956,FALSE)/100</f>
        <v>956475.20060508396</v>
      </c>
      <c r="Q37" s="3">
        <f>'Emprego - WorldBank'!Q37*VLOOKUP($A37,[3]Data!$B$1:$BK$65536,Q$1-1956,FALSE)/100</f>
        <v>931531.01699613465</v>
      </c>
      <c r="R37" s="3">
        <f>'Emprego - WorldBank'!R37*VLOOKUP($A37,[3]Data!$B$1:$BK$65536,R$1-1956,FALSE)/100</f>
        <v>910721.73158199282</v>
      </c>
      <c r="S37" s="3">
        <f>'Emprego - WorldBank'!S37*VLOOKUP($A37,[3]Data!$B$1:$BK$65536,S$1-1956,FALSE)/100</f>
        <v>906915.64512873185</v>
      </c>
      <c r="T37" s="3">
        <f>'Emprego - WorldBank'!T37*VLOOKUP($A37,[3]Data!$B$1:$BK$65536,T$1-1956,FALSE)/100</f>
        <v>884537.24064467428</v>
      </c>
      <c r="U37" s="3">
        <f>'Emprego - WorldBank'!U37*VLOOKUP($A37,[3]Data!$B$1:$BK$65536,U$1-1956,FALSE)/100</f>
        <v>875584.78916237247</v>
      </c>
    </row>
    <row r="38" spans="1:21" x14ac:dyDescent="0.25">
      <c r="A38" t="s">
        <v>36</v>
      </c>
      <c r="B38" s="3">
        <f>'Emprego - WorldBank'!B38*VLOOKUP($A38,[3]Data!$B$1:$BK$65536,B$1-1956,FALSE)/100</f>
        <v>4494488.1663371846</v>
      </c>
      <c r="C38" s="3">
        <f>'Emprego - WorldBank'!C38*VLOOKUP($A38,[3]Data!$B$1:$BK$65536,C$1-1956,FALSE)/100</f>
        <v>4461256.2956930101</v>
      </c>
      <c r="D38" s="3">
        <f>'Emprego - WorldBank'!D38*VLOOKUP($A38,[3]Data!$B$1:$BK$65536,D$1-1956,FALSE)/100</f>
        <v>4415437.1349801105</v>
      </c>
      <c r="E38" s="3">
        <f>'Emprego - WorldBank'!E38*VLOOKUP($A38,[3]Data!$B$1:$BK$65536,E$1-1956,FALSE)/100</f>
        <v>4483925.2709640702</v>
      </c>
      <c r="F38" s="3">
        <f>'Emprego - WorldBank'!F38*VLOOKUP($A38,[3]Data!$B$1:$BK$65536,F$1-1956,FALSE)/100</f>
        <v>4563817.1693528453</v>
      </c>
      <c r="G38" s="3">
        <f>'Emprego - WorldBank'!G38*VLOOKUP($A38,[3]Data!$B$1:$BK$65536,G$1-1956,FALSE)/100</f>
        <v>4651218.4376425529</v>
      </c>
      <c r="H38" s="3">
        <f>'Emprego - WorldBank'!H38*VLOOKUP($A38,[3]Data!$B$1:$BK$65536,H$1-1956,FALSE)/100</f>
        <v>4737830.613137085</v>
      </c>
      <c r="I38" s="3">
        <f>'Emprego - WorldBank'!I38*VLOOKUP($A38,[3]Data!$B$1:$BK$65536,I$1-1956,FALSE)/100</f>
        <v>4733241.9600208113</v>
      </c>
      <c r="J38" s="3">
        <f>'Emprego - WorldBank'!J38*VLOOKUP($A38,[3]Data!$B$1:$BK$65536,J$1-1956,FALSE)/100</f>
        <v>4740991.995140722</v>
      </c>
      <c r="K38" s="3">
        <f>'Emprego - WorldBank'!K38*VLOOKUP($A38,[3]Data!$B$1:$BK$65536,K$1-1956,FALSE)/100</f>
        <v>4681827.2566644195</v>
      </c>
      <c r="L38" s="3">
        <f>'Emprego - WorldBank'!L38*VLOOKUP($A38,[3]Data!$B$1:$BK$65536,L$1-1956,FALSE)/100</f>
        <v>4685452.2882062858</v>
      </c>
      <c r="M38" s="3">
        <f>'Emprego - WorldBank'!M38*VLOOKUP($A38,[3]Data!$B$1:$BK$65536,M$1-1956,FALSE)/100</f>
        <v>4769460.0502279708</v>
      </c>
      <c r="N38" s="3">
        <f>'Emprego - WorldBank'!N38*VLOOKUP($A38,[3]Data!$B$1:$BK$65536,N$1-1956,FALSE)/100</f>
        <v>4883673.9349825568</v>
      </c>
      <c r="O38" s="3">
        <f>'Emprego - WorldBank'!O38*VLOOKUP($A38,[3]Data!$B$1:$BK$65536,O$1-1956,FALSE)/100</f>
        <v>4940808.3645669175</v>
      </c>
      <c r="P38" s="3">
        <f>'Emprego - WorldBank'!P38*VLOOKUP($A38,[3]Data!$B$1:$BK$65536,P$1-1956,FALSE)/100</f>
        <v>4816885.8473744923</v>
      </c>
      <c r="Q38" s="3">
        <f>'Emprego - WorldBank'!Q38*VLOOKUP($A38,[3]Data!$B$1:$BK$65536,Q$1-1956,FALSE)/100</f>
        <v>4819622.7406094596</v>
      </c>
      <c r="R38" s="3">
        <f>'Emprego - WorldBank'!R38*VLOOKUP($A38,[3]Data!$B$1:$BK$65536,R$1-1956,FALSE)/100</f>
        <v>4947164.2604308752</v>
      </c>
      <c r="S38" s="3">
        <f>'Emprego - WorldBank'!S38*VLOOKUP($A38,[3]Data!$B$1:$BK$65536,S$1-1956,FALSE)/100</f>
        <v>4977569.2702752389</v>
      </c>
      <c r="T38" s="3">
        <f>'Emprego - WorldBank'!T38*VLOOKUP($A38,[3]Data!$B$1:$BK$65536,T$1-1956,FALSE)/100</f>
        <v>5041179.1635964615</v>
      </c>
      <c r="U38" s="3">
        <f>'Emprego - WorldBank'!U38*VLOOKUP($A38,[3]Data!$B$1:$BK$65536,U$1-1956,FALSE)/100</f>
        <v>5119295.4466041662</v>
      </c>
    </row>
    <row r="39" spans="1:21" x14ac:dyDescent="0.25">
      <c r="A39" t="s">
        <v>37</v>
      </c>
      <c r="B39" s="3">
        <f>'Emprego - WorldBank'!B39*VLOOKUP($A39,[3]Data!$B$1:$BK$65536,B$1-1956,FALSE)/100</f>
        <v>14116250.531298194</v>
      </c>
      <c r="C39" s="3">
        <f>'Emprego - WorldBank'!C39*VLOOKUP($A39,[3]Data!$B$1:$BK$65536,C$1-1956,FALSE)/100</f>
        <v>14714845.466764985</v>
      </c>
      <c r="D39" s="3">
        <f>'Emprego - WorldBank'!D39*VLOOKUP($A39,[3]Data!$B$1:$BK$65536,D$1-1956,FALSE)/100</f>
        <v>14908660.622367069</v>
      </c>
      <c r="E39" s="3">
        <f>'Emprego - WorldBank'!E39*VLOOKUP($A39,[3]Data!$B$1:$BK$65536,E$1-1956,FALSE)/100</f>
        <v>15372064.498469643</v>
      </c>
      <c r="F39" s="3">
        <f>'Emprego - WorldBank'!F39*VLOOKUP($A39,[3]Data!$B$1:$BK$65536,F$1-1956,FALSE)/100</f>
        <v>15487403.212180179</v>
      </c>
      <c r="G39" s="3">
        <f>'Emprego - WorldBank'!G39*VLOOKUP($A39,[3]Data!$B$1:$BK$65536,G$1-1956,FALSE)/100</f>
        <v>15342810.24768511</v>
      </c>
      <c r="H39" s="3">
        <f>'Emprego - WorldBank'!H39*VLOOKUP($A39,[3]Data!$B$1:$BK$65536,H$1-1956,FALSE)/100</f>
        <v>15184996.001236429</v>
      </c>
      <c r="I39" s="3">
        <f>'Emprego - WorldBank'!I39*VLOOKUP($A39,[3]Data!$B$1:$BK$65536,I$1-1956,FALSE)/100</f>
        <v>15283329.153192896</v>
      </c>
      <c r="J39" s="3">
        <f>'Emprego - WorldBank'!J39*VLOOKUP($A39,[3]Data!$B$1:$BK$65536,J$1-1956,FALSE)/100</f>
        <v>15338382.591505079</v>
      </c>
      <c r="K39" s="3">
        <f>'Emprego - WorldBank'!K39*VLOOKUP($A39,[3]Data!$B$1:$BK$65536,K$1-1956,FALSE)/100</f>
        <v>15541767.752633501</v>
      </c>
      <c r="L39" s="3">
        <f>'Emprego - WorldBank'!L39*VLOOKUP($A39,[3]Data!$B$1:$BK$65536,L$1-1956,FALSE)/100</f>
        <v>16150388.55746273</v>
      </c>
      <c r="M39" s="3">
        <f>'Emprego - WorldBank'!M39*VLOOKUP($A39,[3]Data!$B$1:$BK$65536,M$1-1956,FALSE)/100</f>
        <v>16657049.455843277</v>
      </c>
      <c r="N39" s="3">
        <f>'Emprego - WorldBank'!N39*VLOOKUP($A39,[3]Data!$B$1:$BK$65536,N$1-1956,FALSE)/100</f>
        <v>17283855.715080608</v>
      </c>
      <c r="O39" s="3">
        <f>'Emprego - WorldBank'!O39*VLOOKUP($A39,[3]Data!$B$1:$BK$65536,O$1-1956,FALSE)/100</f>
        <v>17755259.741315402</v>
      </c>
      <c r="P39" s="3">
        <f>'Emprego - WorldBank'!P39*VLOOKUP($A39,[3]Data!$B$1:$BK$65536,P$1-1956,FALSE)/100</f>
        <v>17460057.713458382</v>
      </c>
      <c r="Q39" s="3">
        <f>'Emprego - WorldBank'!Q39*VLOOKUP($A39,[3]Data!$B$1:$BK$65536,Q$1-1956,FALSE)/100</f>
        <v>18769628.909536213</v>
      </c>
      <c r="R39" s="3">
        <f>'Emprego - WorldBank'!R39*VLOOKUP($A39,[3]Data!$B$1:$BK$65536,R$1-1956,FALSE)/100</f>
        <v>20165209.656609423</v>
      </c>
      <c r="S39" s="3">
        <f>'Emprego - WorldBank'!S39*VLOOKUP($A39,[3]Data!$B$1:$BK$65536,S$1-1956,FALSE)/100</f>
        <v>21025714.343256351</v>
      </c>
      <c r="T39" s="3">
        <f>'Emprego - WorldBank'!T39*VLOOKUP($A39,[3]Data!$B$1:$BK$65536,T$1-1956,FALSE)/100</f>
        <v>22036715.866531849</v>
      </c>
      <c r="U39" s="3">
        <f>'Emprego - WorldBank'!U39*VLOOKUP($A39,[3]Data!$B$1:$BK$65536,U$1-1956,FALSE)/100</f>
        <v>23040197.7672364</v>
      </c>
    </row>
    <row r="40" spans="1:21" x14ac:dyDescent="0.25">
      <c r="A40" t="s">
        <v>6</v>
      </c>
      <c r="B40" s="3">
        <f>'Emprego - WorldBank'!B40*VLOOKUP($A40,[3]Data!$B$1:$BK$65536,B$1-1956,FALSE)/100</f>
        <v>3076047.0402526883</v>
      </c>
      <c r="C40" s="3">
        <f>'Emprego - WorldBank'!C40*VLOOKUP($A40,[3]Data!$B$1:$BK$65536,C$1-1956,FALSE)/100</f>
        <v>3181961.3491821261</v>
      </c>
      <c r="D40" s="3">
        <f>'Emprego - WorldBank'!D40*VLOOKUP($A40,[3]Data!$B$1:$BK$65536,D$1-1956,FALSE)/100</f>
        <v>3292114.6657562214</v>
      </c>
      <c r="E40" s="3">
        <f>'Emprego - WorldBank'!E40*VLOOKUP($A40,[3]Data!$B$1:$BK$65536,E$1-1956,FALSE)/100</f>
        <v>3398683.9658737183</v>
      </c>
      <c r="F40" s="3">
        <f>'Emprego - WorldBank'!F40*VLOOKUP($A40,[3]Data!$B$1:$BK$65536,F$1-1956,FALSE)/100</f>
        <v>3511100.490760806</v>
      </c>
      <c r="G40" s="3">
        <f>'Emprego - WorldBank'!G40*VLOOKUP($A40,[3]Data!$B$1:$BK$65536,G$1-1956,FALSE)/100</f>
        <v>3545178.9787673932</v>
      </c>
      <c r="H40" s="3">
        <f>'Emprego - WorldBank'!H40*VLOOKUP($A40,[3]Data!$B$1:$BK$65536,H$1-1956,FALSE)/100</f>
        <v>3649243.8557434087</v>
      </c>
      <c r="I40" s="3">
        <f>'Emprego - WorldBank'!I40*VLOOKUP($A40,[3]Data!$B$1:$BK$65536,I$1-1956,FALSE)/100</f>
        <v>3775208.3588790889</v>
      </c>
      <c r="J40" s="3">
        <f>'Emprego - WorldBank'!J40*VLOOKUP($A40,[3]Data!$B$1:$BK$65536,J$1-1956,FALSE)/100</f>
        <v>3941800.680541995</v>
      </c>
      <c r="K40" s="3">
        <f>'Emprego - WorldBank'!K40*VLOOKUP($A40,[3]Data!$B$1:$BK$65536,K$1-1956,FALSE)/100</f>
        <v>4089144.7061920129</v>
      </c>
      <c r="L40" s="3">
        <f>'Emprego - WorldBank'!L40*VLOOKUP($A40,[3]Data!$B$1:$BK$65536,L$1-1956,FALSE)/100</f>
        <v>4245204.4661712684</v>
      </c>
      <c r="M40" s="3">
        <f>'Emprego - WorldBank'!M40*VLOOKUP($A40,[3]Data!$B$1:$BK$65536,M$1-1956,FALSE)/100</f>
        <v>4410155.3826141385</v>
      </c>
      <c r="N40" s="3">
        <f>'Emprego - WorldBank'!N40*VLOOKUP($A40,[3]Data!$B$1:$BK$65536,N$1-1956,FALSE)/100</f>
        <v>4546007.1065139808</v>
      </c>
      <c r="O40" s="3">
        <f>'Emprego - WorldBank'!O40*VLOOKUP($A40,[3]Data!$B$1:$BK$65536,O$1-1956,FALSE)/100</f>
        <v>4580116.6819763221</v>
      </c>
      <c r="P40" s="3">
        <f>'Emprego - WorldBank'!P40*VLOOKUP($A40,[3]Data!$B$1:$BK$65536,P$1-1956,FALSE)/100</f>
        <v>4765815.5355071994</v>
      </c>
      <c r="Q40" s="3">
        <f>'Emprego - WorldBank'!Q40*VLOOKUP($A40,[3]Data!$B$1:$BK$65536,Q$1-1956,FALSE)/100</f>
        <v>4956125.0692749051</v>
      </c>
      <c r="R40" s="3">
        <f>'Emprego - WorldBank'!R40*VLOOKUP($A40,[3]Data!$B$1:$BK$65536,R$1-1956,FALSE)/100</f>
        <v>5118643.7370300274</v>
      </c>
      <c r="S40" s="3">
        <f>'Emprego - WorldBank'!S40*VLOOKUP($A40,[3]Data!$B$1:$BK$65536,S$1-1956,FALSE)/100</f>
        <v>5262185.7693099957</v>
      </c>
      <c r="T40" s="3">
        <f>'Emprego - WorldBank'!T40*VLOOKUP($A40,[3]Data!$B$1:$BK$65536,T$1-1956,FALSE)/100</f>
        <v>5409654.0219497643</v>
      </c>
      <c r="U40" s="3">
        <f>'Emprego - WorldBank'!U40*VLOOKUP($A40,[3]Data!$B$1:$BK$65536,U$1-1956,FALSE)/100</f>
        <v>5562158.7406158485</v>
      </c>
    </row>
    <row r="41" spans="1:21" x14ac:dyDescent="0.25">
      <c r="A41" t="s">
        <v>39</v>
      </c>
      <c r="B41" s="3">
        <f>'Emprego - WorldBank'!B41*VLOOKUP($A41,[3]Data!$B$1:$BK$65536,B$1-1956,FALSE)/100</f>
        <v>151225941.35023519</v>
      </c>
      <c r="C41" s="3">
        <f>'Emprego - WorldBank'!C41*VLOOKUP($A41,[3]Data!$B$1:$BK$65536,C$1-1956,FALSE)/100</f>
        <v>153918879.27063277</v>
      </c>
      <c r="D41" s="3">
        <f>'Emprego - WorldBank'!D41*VLOOKUP($A41,[3]Data!$B$1:$BK$65536,D$1-1956,FALSE)/100</f>
        <v>157584621.59159181</v>
      </c>
      <c r="E41" s="3">
        <f>'Emprego - WorldBank'!E41*VLOOKUP($A41,[3]Data!$B$1:$BK$65536,E$1-1956,FALSE)/100</f>
        <v>160760148.14613834</v>
      </c>
      <c r="F41" s="3">
        <f>'Emprego - WorldBank'!F41*VLOOKUP($A41,[3]Data!$B$1:$BK$65536,F$1-1956,FALSE)/100</f>
        <v>163777543.06845635</v>
      </c>
      <c r="G41" s="3">
        <f>'Emprego - WorldBank'!G41*VLOOKUP($A41,[3]Data!$B$1:$BK$65536,G$1-1956,FALSE)/100</f>
        <v>166309842.22669688</v>
      </c>
      <c r="H41" s="3">
        <f>'Emprego - WorldBank'!H41*VLOOKUP($A41,[3]Data!$B$1:$BK$65536,H$1-1956,FALSE)/100</f>
        <v>165899389.38761654</v>
      </c>
      <c r="I41" s="3">
        <f>'Emprego - WorldBank'!I41*VLOOKUP($A41,[3]Data!$B$1:$BK$65536,I$1-1956,FALSE)/100</f>
        <v>164921148.93022427</v>
      </c>
      <c r="J41" s="3">
        <f>'Emprego - WorldBank'!J41*VLOOKUP($A41,[3]Data!$B$1:$BK$65536,J$1-1956,FALSE)/100</f>
        <v>164609916.04478309</v>
      </c>
      <c r="K41" s="3">
        <f>'Emprego - WorldBank'!K41*VLOOKUP($A41,[3]Data!$B$1:$BK$65536,K$1-1956,FALSE)/100</f>
        <v>166233389.47613576</v>
      </c>
      <c r="L41" s="3">
        <f>'Emprego - WorldBank'!L41*VLOOKUP($A41,[3]Data!$B$1:$BK$65536,L$1-1956,FALSE)/100</f>
        <v>168809115.05685744</v>
      </c>
      <c r="M41" s="3">
        <f>'Emprego - WorldBank'!M41*VLOOKUP($A41,[3]Data!$B$1:$BK$65536,M$1-1956,FALSE)/100</f>
        <v>171688984.05127564</v>
      </c>
      <c r="N41" s="3">
        <f>'Emprego - WorldBank'!N41*VLOOKUP($A41,[3]Data!$B$1:$BK$65536,N$1-1956,FALSE)/100</f>
        <v>173195191.02862203</v>
      </c>
      <c r="O41" s="3">
        <f>'Emprego - WorldBank'!O41*VLOOKUP($A41,[3]Data!$B$1:$BK$65536,O$1-1956,FALSE)/100</f>
        <v>173067247.63048992</v>
      </c>
      <c r="P41" s="3">
        <f>'Emprego - WorldBank'!P41*VLOOKUP($A41,[3]Data!$B$1:$BK$65536,P$1-1956,FALSE)/100</f>
        <v>166318878.11997092</v>
      </c>
      <c r="Q41" s="3">
        <f>'Emprego - WorldBank'!Q41*VLOOKUP($A41,[3]Data!$B$1:$BK$65536,Q$1-1956,FALSE)/100</f>
        <v>165171584.81350195</v>
      </c>
      <c r="R41" s="3">
        <f>'Emprego - WorldBank'!R41*VLOOKUP($A41,[3]Data!$B$1:$BK$65536,R$1-1956,FALSE)/100</f>
        <v>166526872.86459628</v>
      </c>
      <c r="S41" s="3">
        <f>'Emprego - WorldBank'!S41*VLOOKUP($A41,[3]Data!$B$1:$BK$65536,S$1-1956,FALSE)/100</f>
        <v>169610050.63498047</v>
      </c>
      <c r="T41" s="3">
        <f>'Emprego - WorldBank'!T41*VLOOKUP($A41,[3]Data!$B$1:$BK$65536,T$1-1956,FALSE)/100</f>
        <v>170870505.58645082</v>
      </c>
      <c r="U41" s="3">
        <f>'Emprego - WorldBank'!U41*VLOOKUP($A41,[3]Data!$B$1:$BK$65536,U$1-1956,FALSE)/100</f>
        <v>173786351.88902718</v>
      </c>
    </row>
    <row r="42" spans="1:21" x14ac:dyDescent="0.25">
      <c r="A42" t="s">
        <v>40</v>
      </c>
      <c r="B42" s="3">
        <f>'Emprego - WorldBank'!B42*VLOOKUP($A42,[3]Data!$B$1:$BK$65536,B$1-1956,FALSE)/100</f>
        <v>1561059175.1107278</v>
      </c>
      <c r="C42" s="3">
        <f>'Emprego - WorldBank'!C42*VLOOKUP($A42,[3]Data!$B$1:$BK$65536,C$1-1956,FALSE)/100</f>
        <v>1587619654.6513522</v>
      </c>
      <c r="D42" s="3">
        <f>'Emprego - WorldBank'!D42*VLOOKUP($A42,[3]Data!$B$1:$BK$65536,D$1-1956,FALSE)/100</f>
        <v>1614343560.5785947</v>
      </c>
      <c r="E42" s="3">
        <f>'Emprego - WorldBank'!E42*VLOOKUP($A42,[3]Data!$B$1:$BK$65536,E$1-1956,FALSE)/100</f>
        <v>1633563413.763572</v>
      </c>
      <c r="F42" s="3">
        <f>'Emprego - WorldBank'!F42*VLOOKUP($A42,[3]Data!$B$1:$BK$65536,F$1-1956,FALSE)/100</f>
        <v>1655532341.9349189</v>
      </c>
      <c r="G42" s="3">
        <f>'Emprego - WorldBank'!G42*VLOOKUP($A42,[3]Data!$B$1:$BK$65536,G$1-1956,FALSE)/100</f>
        <v>1688276448.2579703</v>
      </c>
      <c r="H42" s="3">
        <f>'Emprego - WorldBank'!H42*VLOOKUP($A42,[3]Data!$B$1:$BK$65536,H$1-1956,FALSE)/100</f>
        <v>1714230292.366056</v>
      </c>
      <c r="I42" s="3">
        <f>'Emprego - WorldBank'!I42*VLOOKUP($A42,[3]Data!$B$1:$BK$65536,I$1-1956,FALSE)/100</f>
        <v>1733921373.1442728</v>
      </c>
      <c r="J42" s="3">
        <f>'Emprego - WorldBank'!J42*VLOOKUP($A42,[3]Data!$B$1:$BK$65536,J$1-1956,FALSE)/100</f>
        <v>1753490202.846463</v>
      </c>
      <c r="K42" s="3">
        <f>'Emprego - WorldBank'!K42*VLOOKUP($A42,[3]Data!$B$1:$BK$65536,K$1-1956,FALSE)/100</f>
        <v>1790223463.9224703</v>
      </c>
      <c r="L42" s="3">
        <f>'Emprego - WorldBank'!L42*VLOOKUP($A42,[3]Data!$B$1:$BK$65536,L$1-1956,FALSE)/100</f>
        <v>1827178699.7710857</v>
      </c>
      <c r="M42" s="3">
        <f>'Emprego - WorldBank'!M42*VLOOKUP($A42,[3]Data!$B$1:$BK$65536,M$1-1956,FALSE)/100</f>
        <v>1869686155.0281448</v>
      </c>
      <c r="N42" s="3">
        <f>'Emprego - WorldBank'!N42*VLOOKUP($A42,[3]Data!$B$1:$BK$65536,N$1-1956,FALSE)/100</f>
        <v>1913050719.3829834</v>
      </c>
      <c r="O42" s="3">
        <f>'Emprego - WorldBank'!O42*VLOOKUP($A42,[3]Data!$B$1:$BK$65536,O$1-1956,FALSE)/100</f>
        <v>1946997060.0277996</v>
      </c>
      <c r="P42" s="3">
        <f>'Emprego - WorldBank'!P42*VLOOKUP($A42,[3]Data!$B$1:$BK$65536,P$1-1956,FALSE)/100</f>
        <v>1953610339.992435</v>
      </c>
      <c r="Q42" s="3">
        <f>'Emprego - WorldBank'!Q42*VLOOKUP($A42,[3]Data!$B$1:$BK$65536,Q$1-1956,FALSE)/100</f>
        <v>1984525533.8956144</v>
      </c>
      <c r="R42" s="3">
        <f>'Emprego - WorldBank'!R42*VLOOKUP($A42,[3]Data!$B$1:$BK$65536,R$1-1956,FALSE)/100</f>
        <v>2027117216.4217331</v>
      </c>
      <c r="S42" s="3">
        <f>'Emprego - WorldBank'!S42*VLOOKUP($A42,[3]Data!$B$1:$BK$65536,S$1-1956,FALSE)/100</f>
        <v>2076878862.3162766</v>
      </c>
      <c r="T42" s="3">
        <f>'Emprego - WorldBank'!T42*VLOOKUP($A42,[3]Data!$B$1:$BK$65536,T$1-1956,FALSE)/100</f>
        <v>2112865708.5148766</v>
      </c>
      <c r="U42" s="3">
        <f>'Emprego - WorldBank'!U42*VLOOKUP($A42,[3]Data!$B$1:$BK$65536,U$1-1956,FALSE)/100</f>
        <v>2153289559.2081161</v>
      </c>
    </row>
    <row r="43" spans="1:21" x14ac:dyDescent="0.25"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 spans="1:21" x14ac:dyDescent="0.25">
      <c r="A44" t="s">
        <v>67</v>
      </c>
      <c r="B44" s="4">
        <f>SUM(B2:B41)</f>
        <v>1071860146.3912818</v>
      </c>
      <c r="C44" s="4">
        <f t="shared" ref="C44:U44" si="0">SUM(C2:C41)</f>
        <v>1089439664.809653</v>
      </c>
      <c r="D44" s="4">
        <f t="shared" si="0"/>
        <v>1103372254.6647539</v>
      </c>
      <c r="E44" s="4">
        <f t="shared" si="0"/>
        <v>1115931018.0342546</v>
      </c>
      <c r="F44" s="4">
        <f t="shared" si="0"/>
        <v>1132176580.4006889</v>
      </c>
      <c r="G44" s="4">
        <f t="shared" si="0"/>
        <v>1153847654.5408742</v>
      </c>
      <c r="H44" s="4">
        <f t="shared" si="0"/>
        <v>1169196304.3211763</v>
      </c>
      <c r="I44" s="4">
        <f t="shared" si="0"/>
        <v>1179055801.0400596</v>
      </c>
      <c r="J44" s="4">
        <f t="shared" si="0"/>
        <v>1186060009.1967032</v>
      </c>
      <c r="K44" s="4">
        <f t="shared" si="0"/>
        <v>1205337420.0295963</v>
      </c>
      <c r="L44" s="4">
        <f t="shared" si="0"/>
        <v>1227212842.8978353</v>
      </c>
      <c r="M44" s="4">
        <f t="shared" si="0"/>
        <v>1250868111.8452058</v>
      </c>
      <c r="N44" s="4">
        <f t="shared" si="0"/>
        <v>1275081065.0966992</v>
      </c>
      <c r="O44" s="4">
        <f t="shared" si="0"/>
        <v>1292505528.1610441</v>
      </c>
      <c r="P44" s="4">
        <f t="shared" si="0"/>
        <v>1288519364.5130315</v>
      </c>
      <c r="Q44" s="4">
        <f t="shared" si="0"/>
        <v>1305013479.2439709</v>
      </c>
      <c r="R44" s="4">
        <f t="shared" si="0"/>
        <v>1332503375.6024883</v>
      </c>
      <c r="S44" s="4">
        <f t="shared" si="0"/>
        <v>1365173838.7659883</v>
      </c>
      <c r="T44" s="4">
        <f t="shared" si="0"/>
        <v>1384388670.0498962</v>
      </c>
      <c r="U44" s="4">
        <f t="shared" si="0"/>
        <v>1408041056.0044644</v>
      </c>
    </row>
    <row r="45" spans="1:21" x14ac:dyDescent="0.25">
      <c r="A45" t="s">
        <v>62</v>
      </c>
      <c r="B45" s="4">
        <f>B42-SUM(B2:B41)</f>
        <v>489199028.71944594</v>
      </c>
      <c r="C45" s="4">
        <f t="shared" ref="C45:U45" si="1">C42-SUM(C2:C41)</f>
        <v>498179989.84169912</v>
      </c>
      <c r="D45" s="4">
        <f t="shared" si="1"/>
        <v>510971305.91384077</v>
      </c>
      <c r="E45" s="4">
        <f t="shared" si="1"/>
        <v>517632395.72931743</v>
      </c>
      <c r="F45" s="4">
        <f t="shared" si="1"/>
        <v>523355761.53422999</v>
      </c>
      <c r="G45" s="4">
        <f t="shared" si="1"/>
        <v>534428793.71709609</v>
      </c>
      <c r="H45" s="4">
        <f t="shared" si="1"/>
        <v>545033988.04487967</v>
      </c>
      <c r="I45" s="4">
        <f t="shared" si="1"/>
        <v>554865572.10421324</v>
      </c>
      <c r="J45" s="4">
        <f t="shared" si="1"/>
        <v>567430193.64975977</v>
      </c>
      <c r="K45" s="4">
        <f t="shared" si="1"/>
        <v>584886043.892874</v>
      </c>
      <c r="L45" s="4">
        <f t="shared" si="1"/>
        <v>599965856.87325048</v>
      </c>
      <c r="M45" s="4">
        <f t="shared" si="1"/>
        <v>618818043.18293905</v>
      </c>
      <c r="N45" s="4">
        <f t="shared" si="1"/>
        <v>637969654.28628421</v>
      </c>
      <c r="O45" s="4">
        <f t="shared" si="1"/>
        <v>654491531.86675549</v>
      </c>
      <c r="P45" s="4">
        <f t="shared" si="1"/>
        <v>665090975.4794035</v>
      </c>
      <c r="Q45" s="4">
        <f t="shared" si="1"/>
        <v>679512054.65164351</v>
      </c>
      <c r="R45" s="4">
        <f t="shared" si="1"/>
        <v>694613840.81924486</v>
      </c>
      <c r="S45" s="4">
        <f t="shared" si="1"/>
        <v>711705023.5502882</v>
      </c>
      <c r="T45" s="4">
        <f t="shared" si="1"/>
        <v>728477038.46498036</v>
      </c>
      <c r="U45" s="4">
        <f t="shared" si="1"/>
        <v>745248503.20365167</v>
      </c>
    </row>
    <row r="46" spans="1:21" x14ac:dyDescent="0.25">
      <c r="B46" s="8">
        <f>B45/'Emprego - WorldBank'!B45*100</f>
        <v>43.268769499062195</v>
      </c>
      <c r="C46" s="8">
        <f>C45/'Emprego - WorldBank'!C45*100</f>
        <v>43.269145677063918</v>
      </c>
      <c r="D46" s="8">
        <f>D45/'Emprego - WorldBank'!D45*100</f>
        <v>43.52086458877308</v>
      </c>
      <c r="E46" s="8">
        <f>E45/'Emprego - WorldBank'!E45*100</f>
        <v>43.406634869877628</v>
      </c>
      <c r="F46" s="8">
        <f>F45/'Emprego - WorldBank'!F45*100</f>
        <v>43.206122958047381</v>
      </c>
      <c r="G46" s="8">
        <f>G45/'Emprego - WorldBank'!G45*100</f>
        <v>43.253489614925471</v>
      </c>
      <c r="H46" s="8">
        <f>H45/'Emprego - WorldBank'!H45*100</f>
        <v>43.34552426616353</v>
      </c>
      <c r="I46" s="8">
        <f>I45/'Emprego - WorldBank'!I45*100</f>
        <v>43.445336958652732</v>
      </c>
      <c r="J46" s="8">
        <f>J45/'Emprego - WorldBank'!J45*100</f>
        <v>43.532751314378736</v>
      </c>
      <c r="K46" s="8">
        <f>K45/'Emprego - WorldBank'!K45*100</f>
        <v>43.859930855142018</v>
      </c>
      <c r="L46" s="8">
        <f>L45/'Emprego - WorldBank'!L45*100</f>
        <v>44.103252185038194</v>
      </c>
      <c r="M46" s="8">
        <f>M45/'Emprego - WorldBank'!M45*100</f>
        <v>44.510540042696661</v>
      </c>
      <c r="N46" s="8">
        <f>N45/'Emprego - WorldBank'!N45*100</f>
        <v>44.898271315244003</v>
      </c>
      <c r="O46" s="8">
        <f>O45/'Emprego - WorldBank'!O45*100</f>
        <v>45.212982393399955</v>
      </c>
      <c r="P46" s="8">
        <f>P45/'Emprego - WorldBank'!P45*100</f>
        <v>45.320240468740955</v>
      </c>
      <c r="Q46" s="8">
        <f>Q45/'Emprego - WorldBank'!Q45*100</f>
        <v>45.498332341056994</v>
      </c>
      <c r="R46" s="8">
        <f>R45/'Emprego - WorldBank'!R45*100</f>
        <v>45.589613288890973</v>
      </c>
      <c r="S46" s="8">
        <f>S45/'Emprego - WorldBank'!S45*100</f>
        <v>45.956250840330419</v>
      </c>
      <c r="T46" s="8">
        <f>T45/'Emprego - WorldBank'!T45*100</f>
        <v>46.304752441087736</v>
      </c>
      <c r="U46" s="8">
        <f>U45/'Emprego - WorldBank'!U45*100</f>
        <v>46.606741230872984</v>
      </c>
    </row>
    <row r="48" spans="1:21" x14ac:dyDescent="0.25">
      <c r="A48" t="s">
        <v>59</v>
      </c>
      <c r="B48" s="3">
        <f>VLOOKUP($A48,[1]Data!$B$1:$BK$65536,B$1-1956,FALSE)*VLOOKUP($A48,[3]Data!$B$1:$BK$65536,B$1-1956,FALSE)/100</f>
        <v>5783643.0051549505</v>
      </c>
      <c r="C48" s="3">
        <f>VLOOKUP($A48,[1]Data!$B$1:$BK$65536,C$1-1956,FALSE)*VLOOKUP($A48,[3]Data!$B$1:$BK$65536,C$1-1956,FALSE)/100</f>
        <v>5812848.445224762</v>
      </c>
      <c r="D48" s="3">
        <f>VLOOKUP($A48,[1]Data!$B$1:$BK$65536,D$1-1956,FALSE)*VLOOKUP($A48,[3]Data!$B$1:$BK$65536,D$1-1956,FALSE)/100</f>
        <v>5785823.0308230575</v>
      </c>
      <c r="E48" s="3">
        <f>VLOOKUP($A48,[1]Data!$B$1:$BK$65536,E$1-1956,FALSE)*VLOOKUP($A48,[3]Data!$B$1:$BK$65536,E$1-1956,FALSE)/100</f>
        <v>5842074.508651197</v>
      </c>
      <c r="F48" s="3">
        <f>VLOOKUP($A48,[1]Data!$B$1:$BK$65536,F$1-1956,FALSE)*VLOOKUP($A48,[3]Data!$B$1:$BK$65536,F$1-1956,FALSE)/100</f>
        <v>5859001.3737127725</v>
      </c>
      <c r="G48" s="3">
        <f>VLOOKUP($A48,[1]Data!$B$1:$BK$65536,G$1-1956,FALSE)*VLOOKUP($A48,[3]Data!$B$1:$BK$65536,G$1-1956,FALSE)/100</f>
        <v>5889935.6033134488</v>
      </c>
      <c r="H48" s="3">
        <f>VLOOKUP($A48,[1]Data!$B$1:$BK$65536,H$1-1956,FALSE)*VLOOKUP($A48,[3]Data!$B$1:$BK$65536,H$1-1956,FALSE)/100</f>
        <v>5989283.5992541537</v>
      </c>
      <c r="I48" s="3">
        <f>VLOOKUP($A48,[1]Data!$B$1:$BK$65536,I$1-1956,FALSE)*VLOOKUP($A48,[3]Data!$B$1:$BK$65536,I$1-1956,FALSE)/100</f>
        <v>6050206.0113539882</v>
      </c>
      <c r="J48" s="3">
        <f>VLOOKUP($A48,[1]Data!$B$1:$BK$65536,J$1-1956,FALSE)*VLOOKUP($A48,[3]Data!$B$1:$BK$65536,J$1-1956,FALSE)/100</f>
        <v>6053941.768122022</v>
      </c>
      <c r="K48" s="3">
        <f>VLOOKUP($A48,[1]Data!$B$1:$BK$65536,K$1-1956,FALSE)*VLOOKUP($A48,[3]Data!$B$1:$BK$65536,K$1-1956,FALSE)/100</f>
        <v>6190510.7451915732</v>
      </c>
      <c r="L48" s="3">
        <f>VLOOKUP($A48,[1]Data!$B$1:$BK$65536,L$1-1956,FALSE)*VLOOKUP($A48,[3]Data!$B$1:$BK$65536,L$1-1956,FALSE)/100</f>
        <v>6245614.5289554624</v>
      </c>
      <c r="M48" s="3">
        <f>VLOOKUP($A48,[1]Data!$B$1:$BK$65536,M$1-1956,FALSE)*VLOOKUP($A48,[3]Data!$B$1:$BK$65536,M$1-1956,FALSE)/100</f>
        <v>6292417.0460054018</v>
      </c>
      <c r="N48" s="3">
        <f>VLOOKUP($A48,[1]Data!$B$1:$BK$65536,N$1-1956,FALSE)*VLOOKUP($A48,[3]Data!$B$1:$BK$65536,N$1-1956,FALSE)/100</f>
        <v>6331686.9589695754</v>
      </c>
      <c r="O48" s="3">
        <f>VLOOKUP($A48,[1]Data!$B$1:$BK$65536,O$1-1956,FALSE)*VLOOKUP($A48,[3]Data!$B$1:$BK$65536,O$1-1956,FALSE)/100</f>
        <v>6433377.2895297995</v>
      </c>
      <c r="P48" s="3">
        <f>VLOOKUP($A48,[1]Data!$B$1:$BK$65536,P$1-1956,FALSE)*VLOOKUP($A48,[3]Data!$B$1:$BK$65536,P$1-1956,FALSE)/100</f>
        <v>6562896.7725</v>
      </c>
      <c r="Q48" s="3">
        <f>VLOOKUP($A48,[1]Data!$B$1:$BK$65536,Q$1-1956,FALSE)*VLOOKUP($A48,[3]Data!$B$1:$BK$65536,Q$1-1956,FALSE)/100</f>
        <v>6594442.1791486358</v>
      </c>
      <c r="R48" s="3">
        <f>VLOOKUP($A48,[1]Data!$B$1:$BK$65536,R$1-1956,FALSE)*VLOOKUP($A48,[3]Data!$B$1:$BK$65536,R$1-1956,FALSE)/100</f>
        <v>6693730.426234589</v>
      </c>
      <c r="S48" s="3">
        <f>VLOOKUP($A48,[1]Data!$B$1:$BK$65536,S$1-1956,FALSE)*VLOOKUP($A48,[3]Data!$B$1:$BK$65536,S$1-1956,FALSE)/100</f>
        <v>6772941.3995455159</v>
      </c>
      <c r="T48" s="3">
        <f>VLOOKUP($A48,[1]Data!$B$1:$BK$65536,T$1-1956,FALSE)*VLOOKUP($A48,[3]Data!$B$1:$BK$65536,T$1-1956,FALSE)/100</f>
        <v>6849168.2610557545</v>
      </c>
      <c r="U48" s="3">
        <f>VLOOKUP($A48,[1]Data!$B$1:$BK$65536,U$1-1956,FALSE)*VLOOKUP($A48,[3]Data!$B$1:$BK$65536,U$1-1956,FALSE)/100</f>
        <v>6938406.2556043258</v>
      </c>
    </row>
    <row r="49" spans="1:21" x14ac:dyDescent="0.25">
      <c r="A49" t="s">
        <v>60</v>
      </c>
      <c r="B49" s="3">
        <f>VLOOKUP($A49,[1]Data!$B$1:$BK$65536,B$1-1956,FALSE)*VLOOKUP($A49,[3]Data!$B$1:$BK$65536,B$1-1956,FALSE)/100</f>
        <v>3283409.1319793691</v>
      </c>
      <c r="C49" s="3">
        <f>VLOOKUP($A49,[1]Data!$B$1:$BK$65536,C$1-1956,FALSE)*VLOOKUP($A49,[3]Data!$B$1:$BK$65536,C$1-1956,FALSE)/100</f>
        <v>3255590.2080572532</v>
      </c>
      <c r="D49" s="3">
        <f>VLOOKUP($A49,[1]Data!$B$1:$BK$65536,D$1-1956,FALSE)*VLOOKUP($A49,[3]Data!$B$1:$BK$65536,D$1-1956,FALSE)/100</f>
        <v>3359332.846170044</v>
      </c>
      <c r="E49" s="3">
        <f>VLOOKUP($A49,[1]Data!$B$1:$BK$65536,E$1-1956,FALSE)*VLOOKUP($A49,[3]Data!$B$1:$BK$65536,E$1-1956,FALSE)/100</f>
        <v>3414601.2817111951</v>
      </c>
      <c r="F49" s="3">
        <f>VLOOKUP($A49,[1]Data!$B$1:$BK$65536,F$1-1956,FALSE)*VLOOKUP($A49,[3]Data!$B$1:$BK$65536,F$1-1956,FALSE)/100</f>
        <v>3391622.624990847</v>
      </c>
      <c r="G49" s="3">
        <f>VLOOKUP($A49,[1]Data!$B$1:$BK$65536,G$1-1956,FALSE)*VLOOKUP($A49,[3]Data!$B$1:$BK$65536,G$1-1956,FALSE)/100</f>
        <v>3402031.1401029988</v>
      </c>
      <c r="H49" s="3">
        <f>VLOOKUP($A49,[1]Data!$B$1:$BK$65536,H$1-1956,FALSE)*VLOOKUP($A49,[3]Data!$B$1:$BK$65536,H$1-1956,FALSE)/100</f>
        <v>3256849.8965959162</v>
      </c>
      <c r="I49" s="3">
        <f>VLOOKUP($A49,[1]Data!$B$1:$BK$65536,I$1-1956,FALSE)*VLOOKUP($A49,[3]Data!$B$1:$BK$65536,I$1-1956,FALSE)/100</f>
        <v>3265005.8185565174</v>
      </c>
      <c r="J49" s="3">
        <f>VLOOKUP($A49,[1]Data!$B$1:$BK$65536,J$1-1956,FALSE)*VLOOKUP($A49,[3]Data!$B$1:$BK$65536,J$1-1956,FALSE)/100</f>
        <v>3251820.5490627307</v>
      </c>
      <c r="K49" s="3">
        <f>VLOOKUP($A49,[1]Data!$B$1:$BK$65536,K$1-1956,FALSE)*VLOOKUP($A49,[3]Data!$B$1:$BK$65536,K$1-1956,FALSE)/100</f>
        <v>3266330.3617706313</v>
      </c>
      <c r="L49" s="3">
        <f>VLOOKUP($A49,[1]Data!$B$1:$BK$65536,L$1-1956,FALSE)*VLOOKUP($A49,[3]Data!$B$1:$BK$65536,L$1-1956,FALSE)/100</f>
        <v>3237177.6247123722</v>
      </c>
      <c r="M49" s="3">
        <f>VLOOKUP($A49,[1]Data!$B$1:$BK$65536,M$1-1956,FALSE)*VLOOKUP($A49,[3]Data!$B$1:$BK$65536,M$1-1956,FALSE)/100</f>
        <v>3320454.5170772551</v>
      </c>
      <c r="N49" s="3">
        <f>VLOOKUP($A49,[1]Data!$B$1:$BK$65536,N$1-1956,FALSE)*VLOOKUP($A49,[3]Data!$B$1:$BK$65536,N$1-1956,FALSE)/100</f>
        <v>3414510.8815216813</v>
      </c>
      <c r="O49" s="3">
        <f>VLOOKUP($A49,[1]Data!$B$1:$BK$65536,O$1-1956,FALSE)*VLOOKUP($A49,[3]Data!$B$1:$BK$65536,O$1-1956,FALSE)/100</f>
        <v>3410054.0812499998</v>
      </c>
      <c r="P49" s="3">
        <f>VLOOKUP($A49,[1]Data!$B$1:$BK$65536,P$1-1956,FALSE)*VLOOKUP($A49,[3]Data!$B$1:$BK$65536,P$1-1956,FALSE)/100</f>
        <v>3407292.3297669976</v>
      </c>
      <c r="Q49" s="3">
        <f>VLOOKUP($A49,[1]Data!$B$1:$BK$65536,Q$1-1956,FALSE)*VLOOKUP($A49,[3]Data!$B$1:$BK$65536,Q$1-1956,FALSE)/100</f>
        <v>3357434.692526781</v>
      </c>
      <c r="R49" s="3">
        <f>VLOOKUP($A49,[1]Data!$B$1:$BK$65536,R$1-1956,FALSE)*VLOOKUP($A49,[3]Data!$B$1:$BK$65536,R$1-1956,FALSE)/100</f>
        <v>3348174.2325361613</v>
      </c>
      <c r="S49" s="3">
        <f>VLOOKUP($A49,[1]Data!$B$1:$BK$65536,S$1-1956,FALSE)*VLOOKUP($A49,[3]Data!$B$1:$BK$65536,S$1-1956,FALSE)/100</f>
        <v>3424800.5992752081</v>
      </c>
      <c r="T49" s="3">
        <f>VLOOKUP($A49,[1]Data!$B$1:$BK$65536,T$1-1956,FALSE)*VLOOKUP($A49,[3]Data!$B$1:$BK$65536,T$1-1956,FALSE)/100</f>
        <v>3486345.4179016114</v>
      </c>
      <c r="U49" s="3">
        <f>VLOOKUP($A49,[1]Data!$B$1:$BK$65536,U$1-1956,FALSE)*VLOOKUP($A49,[3]Data!$B$1:$BK$65536,U$1-1956,FALSE)/100</f>
        <v>3576564.6481917584</v>
      </c>
    </row>
    <row r="50" spans="1:21" x14ac:dyDescent="0.25">
      <c r="A50" t="s">
        <v>61</v>
      </c>
      <c r="B50" s="3">
        <f>VLOOKUP($A50,[1]Data!$B$1:$BK$65536,B$1-1956,FALSE)*VLOOKUP($A50,[3]Data!$B$1:$BK$65536,B$1-1956,FALSE)/100</f>
        <v>3944145.9290612806</v>
      </c>
      <c r="C50" s="3">
        <f>VLOOKUP($A50,[1]Data!$B$1:$BK$65536,C$1-1956,FALSE)*VLOOKUP($A50,[3]Data!$B$1:$BK$65536,C$1-1956,FALSE)/100</f>
        <v>3994201.2152197291</v>
      </c>
      <c r="D50" s="3">
        <f>VLOOKUP($A50,[1]Data!$B$1:$BK$65536,D$1-1956,FALSE)*VLOOKUP($A50,[3]Data!$B$1:$BK$65536,D$1-1956,FALSE)/100</f>
        <v>4032788.9497326659</v>
      </c>
      <c r="E50" s="3">
        <f>VLOOKUP($A50,[1]Data!$B$1:$BK$65536,E$1-1956,FALSE)*VLOOKUP($A50,[3]Data!$B$1:$BK$65536,E$1-1956,FALSE)/100</f>
        <v>4053814.4972729506</v>
      </c>
      <c r="F50" s="3">
        <f>VLOOKUP($A50,[1]Data!$B$1:$BK$65536,F$1-1956,FALSE)*VLOOKUP($A50,[3]Data!$B$1:$BK$65536,F$1-1956,FALSE)/100</f>
        <v>4117274.8834533691</v>
      </c>
      <c r="G50" s="3">
        <f>VLOOKUP($A50,[1]Data!$B$1:$BK$65536,G$1-1956,FALSE)*VLOOKUP($A50,[3]Data!$B$1:$BK$65536,G$1-1956,FALSE)/100</f>
        <v>4153650.3973622113</v>
      </c>
      <c r="H50" s="3">
        <f>VLOOKUP($A50,[1]Data!$B$1:$BK$65536,H$1-1956,FALSE)*VLOOKUP($A50,[3]Data!$B$1:$BK$65536,H$1-1956,FALSE)/100</f>
        <v>4183434.6660053264</v>
      </c>
      <c r="I50" s="3">
        <f>VLOOKUP($A50,[1]Data!$B$1:$BK$65536,I$1-1956,FALSE)*VLOOKUP($A50,[3]Data!$B$1:$BK$65536,I$1-1956,FALSE)/100</f>
        <v>4208053.2201643381</v>
      </c>
      <c r="J50" s="3">
        <f>VLOOKUP($A50,[1]Data!$B$1:$BK$65536,J$1-1956,FALSE)*VLOOKUP($A50,[3]Data!$B$1:$BK$65536,J$1-1956,FALSE)/100</f>
        <v>4227238.154243852</v>
      </c>
      <c r="K50" s="3">
        <f>VLOOKUP($A50,[1]Data!$B$1:$BK$65536,K$1-1956,FALSE)*VLOOKUP($A50,[3]Data!$B$1:$BK$65536,K$1-1956,FALSE)/100</f>
        <v>4247287.280620574</v>
      </c>
      <c r="L50" s="3">
        <f>VLOOKUP($A50,[1]Data!$B$1:$BK$65536,L$1-1956,FALSE)*VLOOKUP($A50,[3]Data!$B$1:$BK$65536,L$1-1956,FALSE)/100</f>
        <v>4280196.6849414827</v>
      </c>
      <c r="M50" s="3">
        <f>VLOOKUP($A50,[1]Data!$B$1:$BK$65536,M$1-1956,FALSE)*VLOOKUP($A50,[3]Data!$B$1:$BK$65536,M$1-1956,FALSE)/100</f>
        <v>4266337.1873016385</v>
      </c>
      <c r="N50" s="3">
        <f>VLOOKUP($A50,[1]Data!$B$1:$BK$65536,N$1-1956,FALSE)*VLOOKUP($A50,[3]Data!$B$1:$BK$65536,N$1-1956,FALSE)/100</f>
        <v>4332514.8913237005</v>
      </c>
      <c r="O50" s="3">
        <f>VLOOKUP($A50,[1]Data!$B$1:$BK$65536,O$1-1956,FALSE)*VLOOKUP($A50,[3]Data!$B$1:$BK$65536,O$1-1956,FALSE)/100</f>
        <v>4397149.8527508527</v>
      </c>
      <c r="P50" s="3">
        <f>VLOOKUP($A50,[1]Data!$B$1:$BK$65536,P$1-1956,FALSE)*VLOOKUP($A50,[3]Data!$B$1:$BK$65536,P$1-1956,FALSE)/100</f>
        <v>4438468.3293133536</v>
      </c>
      <c r="Q50" s="3">
        <f>VLOOKUP($A50,[1]Data!$B$1:$BK$65536,Q$1-1956,FALSE)*VLOOKUP($A50,[3]Data!$B$1:$BK$65536,Q$1-1956,FALSE)/100</f>
        <v>4511997.148566898</v>
      </c>
      <c r="R50" s="3">
        <f>VLOOKUP($A50,[1]Data!$B$1:$BK$65536,R$1-1956,FALSE)*VLOOKUP($A50,[3]Data!$B$1:$BK$65536,R$1-1956,FALSE)/100</f>
        <v>4605628.907031252</v>
      </c>
      <c r="S50" s="3">
        <f>VLOOKUP($A50,[1]Data!$B$1:$BK$65536,S$1-1956,FALSE)*VLOOKUP($A50,[3]Data!$B$1:$BK$65536,S$1-1956,FALSE)/100</f>
        <v>4670033.1204654695</v>
      </c>
      <c r="T50" s="3">
        <f>VLOOKUP($A50,[1]Data!$B$1:$BK$65536,T$1-1956,FALSE)*VLOOKUP($A50,[3]Data!$B$1:$BK$65536,T$1-1956,FALSE)/100</f>
        <v>4724862.0707732383</v>
      </c>
      <c r="U50" s="3">
        <f>VLOOKUP($A50,[1]Data!$B$1:$BK$65536,U$1-1956,FALSE)*VLOOKUP($A50,[3]Data!$B$1:$BK$65536,U$1-1956,FALSE)/100</f>
        <v>4766837.6198327616</v>
      </c>
    </row>
    <row r="51" spans="1:21" x14ac:dyDescent="0.25"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 spans="1:21" x14ac:dyDescent="0.25">
      <c r="A52" t="s">
        <v>68</v>
      </c>
      <c r="B52" s="4">
        <f>SUM(B48:B50)+B44</f>
        <v>1084871344.4574773</v>
      </c>
      <c r="C52" s="4">
        <f t="shared" ref="C52:U52" si="2">SUM(C48:C50)+C44</f>
        <v>1102502304.6781547</v>
      </c>
      <c r="D52" s="4">
        <f t="shared" si="2"/>
        <v>1116550199.4914796</v>
      </c>
      <c r="E52" s="4">
        <f t="shared" si="2"/>
        <v>1129241508.3218899</v>
      </c>
      <c r="F52" s="4">
        <f t="shared" si="2"/>
        <v>1145544479.282846</v>
      </c>
      <c r="G52" s="4">
        <f t="shared" si="2"/>
        <v>1167293271.6816528</v>
      </c>
      <c r="H52" s="4">
        <f t="shared" si="2"/>
        <v>1182625872.4830317</v>
      </c>
      <c r="I52" s="4">
        <f t="shared" si="2"/>
        <v>1192579066.0901344</v>
      </c>
      <c r="J52" s="4">
        <f t="shared" si="2"/>
        <v>1199593009.6681318</v>
      </c>
      <c r="K52" s="4">
        <f t="shared" si="2"/>
        <v>1219041548.4171791</v>
      </c>
      <c r="L52" s="4">
        <f t="shared" si="2"/>
        <v>1240975831.7364445</v>
      </c>
      <c r="M52" s="4">
        <f t="shared" si="2"/>
        <v>1264747320.5955901</v>
      </c>
      <c r="N52" s="4">
        <f t="shared" si="2"/>
        <v>1289159777.8285141</v>
      </c>
      <c r="O52" s="4">
        <f t="shared" si="2"/>
        <v>1306746109.3845749</v>
      </c>
      <c r="P52" s="4">
        <f t="shared" si="2"/>
        <v>1302928021.9446118</v>
      </c>
      <c r="Q52" s="4">
        <f t="shared" si="2"/>
        <v>1319477353.2642131</v>
      </c>
      <c r="R52" s="4">
        <f t="shared" si="2"/>
        <v>1347150909.1682904</v>
      </c>
      <c r="S52" s="4">
        <f t="shared" si="2"/>
        <v>1380041613.8852746</v>
      </c>
      <c r="T52" s="4">
        <f t="shared" si="2"/>
        <v>1399449045.7996268</v>
      </c>
      <c r="U52" s="4">
        <f t="shared" si="2"/>
        <v>1423322864.5280933</v>
      </c>
    </row>
    <row r="53" spans="1:21" x14ac:dyDescent="0.25">
      <c r="A53" t="s">
        <v>63</v>
      </c>
      <c r="B53" s="4">
        <f>B42-SUM(B2:B41)-SUM(B48:B50)</f>
        <v>476187830.65325034</v>
      </c>
      <c r="C53" s="4">
        <f t="shared" ref="C53:U53" si="3">C42-SUM(C2:C41)-SUM(C48:C50)</f>
        <v>485117349.9731974</v>
      </c>
      <c r="D53" s="4">
        <f t="shared" si="3"/>
        <v>497793361.08711499</v>
      </c>
      <c r="E53" s="4">
        <f t="shared" si="3"/>
        <v>504321905.4416821</v>
      </c>
      <c r="F53" s="4">
        <f t="shared" si="3"/>
        <v>509987862.65207303</v>
      </c>
      <c r="G53" s="4">
        <f t="shared" si="3"/>
        <v>520983176.57631743</v>
      </c>
      <c r="H53" s="4">
        <f t="shared" si="3"/>
        <v>531604419.88302428</v>
      </c>
      <c r="I53" s="4">
        <f t="shared" si="3"/>
        <v>541342307.05413842</v>
      </c>
      <c r="J53" s="4">
        <f t="shared" si="3"/>
        <v>553897193.17833114</v>
      </c>
      <c r="K53" s="4">
        <f t="shared" si="3"/>
        <v>571181915.50529122</v>
      </c>
      <c r="L53" s="4">
        <f t="shared" si="3"/>
        <v>586202868.03464115</v>
      </c>
      <c r="M53" s="4">
        <f t="shared" si="3"/>
        <v>604938834.43255472</v>
      </c>
      <c r="N53" s="4">
        <f t="shared" si="3"/>
        <v>623890941.55446923</v>
      </c>
      <c r="O53" s="4">
        <f t="shared" si="3"/>
        <v>640250950.64322484</v>
      </c>
      <c r="P53" s="4">
        <f t="shared" si="3"/>
        <v>650682318.04782319</v>
      </c>
      <c r="Q53" s="4">
        <f t="shared" si="3"/>
        <v>665048180.63140118</v>
      </c>
      <c r="R53" s="4">
        <f t="shared" si="3"/>
        <v>679966307.25344288</v>
      </c>
      <c r="S53" s="4">
        <f t="shared" si="3"/>
        <v>696837248.43100202</v>
      </c>
      <c r="T53" s="4">
        <f t="shared" si="3"/>
        <v>713416662.71524978</v>
      </c>
      <c r="U53" s="4">
        <f t="shared" si="3"/>
        <v>729966694.68002284</v>
      </c>
    </row>
    <row r="58" spans="1:21" x14ac:dyDescent="0.25">
      <c r="A58" t="s">
        <v>38</v>
      </c>
      <c r="B58" s="1">
        <v>1995</v>
      </c>
      <c r="C58" s="1">
        <v>1996</v>
      </c>
      <c r="D58" s="1">
        <v>1997</v>
      </c>
      <c r="E58" s="1">
        <v>1998</v>
      </c>
      <c r="F58" s="1">
        <v>1999</v>
      </c>
      <c r="G58" s="1">
        <v>2000</v>
      </c>
      <c r="H58" s="1">
        <v>2001</v>
      </c>
      <c r="I58" s="1">
        <v>2002</v>
      </c>
      <c r="J58" s="1">
        <v>2003</v>
      </c>
      <c r="K58" s="1">
        <v>2004</v>
      </c>
      <c r="L58" s="1">
        <v>2005</v>
      </c>
      <c r="M58" s="1">
        <v>2006</v>
      </c>
      <c r="N58" s="1">
        <v>2007</v>
      </c>
      <c r="O58" s="1">
        <v>2008</v>
      </c>
      <c r="P58" s="1">
        <v>2009</v>
      </c>
      <c r="Q58" s="1">
        <v>2010</v>
      </c>
      <c r="R58" s="1">
        <v>2011</v>
      </c>
      <c r="S58" s="1">
        <v>2012</v>
      </c>
      <c r="T58" s="1">
        <v>2013</v>
      </c>
      <c r="U58" s="1">
        <v>2014</v>
      </c>
    </row>
    <row r="59" spans="1:21" x14ac:dyDescent="0.25">
      <c r="A59" t="s">
        <v>64</v>
      </c>
      <c r="B59" s="2">
        <v>21177874</v>
      </c>
      <c r="C59" s="2">
        <v>21357431</v>
      </c>
      <c r="D59" s="2">
        <v>21525433</v>
      </c>
      <c r="E59" s="2">
        <v>21742815</v>
      </c>
      <c r="F59" s="2">
        <v>21928591</v>
      </c>
      <c r="G59" s="2">
        <v>22092387</v>
      </c>
      <c r="H59" s="2">
        <v>22276672</v>
      </c>
      <c r="I59" s="2">
        <v>22405568</v>
      </c>
      <c r="J59" s="2">
        <v>22520776</v>
      </c>
      <c r="K59" s="2">
        <v>22604550</v>
      </c>
      <c r="L59" s="2">
        <v>22689122</v>
      </c>
      <c r="M59" s="2">
        <v>22770383</v>
      </c>
      <c r="N59" s="2">
        <v>22876527</v>
      </c>
      <c r="O59" s="2">
        <v>22958360</v>
      </c>
      <c r="P59" s="2">
        <v>23037031</v>
      </c>
      <c r="Q59" s="2">
        <v>23119772</v>
      </c>
      <c r="R59" s="2">
        <v>23162123</v>
      </c>
      <c r="S59" s="2">
        <v>23224912</v>
      </c>
      <c r="T59" s="2">
        <v>23315822</v>
      </c>
      <c r="U59" s="2">
        <v>23373517</v>
      </c>
    </row>
    <row r="60" spans="1:21" x14ac:dyDescent="0.25">
      <c r="A60" t="s">
        <v>65</v>
      </c>
      <c r="B60" s="2">
        <v>9068000</v>
      </c>
      <c r="C60" s="2">
        <v>9176000</v>
      </c>
      <c r="D60" s="2">
        <v>9289000</v>
      </c>
      <c r="E60" s="2">
        <v>9385000</v>
      </c>
      <c r="F60" s="2">
        <v>9491000</v>
      </c>
      <c r="G60" s="2">
        <v>9383000</v>
      </c>
      <c r="H60" s="2">
        <v>9454000</v>
      </c>
      <c r="I60" s="2">
        <v>9573000</v>
      </c>
      <c r="J60" s="2">
        <v>9786000</v>
      </c>
      <c r="K60" s="2">
        <v>9942000</v>
      </c>
      <c r="L60" s="2">
        <v>10111000</v>
      </c>
      <c r="M60" s="2">
        <v>10294000</v>
      </c>
      <c r="N60" s="2">
        <v>10403000</v>
      </c>
      <c r="O60" s="2">
        <v>10279000</v>
      </c>
      <c r="P60" s="2">
        <v>10493000</v>
      </c>
      <c r="Q60" s="2">
        <v>10709000</v>
      </c>
      <c r="R60" s="2">
        <v>10860000</v>
      </c>
      <c r="S60" s="2">
        <v>10967000</v>
      </c>
      <c r="T60" s="2">
        <v>11079000</v>
      </c>
      <c r="U60" s="2">
        <v>11198000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Emprego - WorldBank</vt:lpstr>
      <vt:lpstr>Emprego - WIOD-14</vt:lpstr>
      <vt:lpstr>Emprego - WIOD-16</vt:lpstr>
      <vt:lpstr>Dif WIOD-14 e 16</vt:lpstr>
      <vt:lpstr>Cálculo</vt:lpstr>
      <vt:lpstr>DATA</vt:lpstr>
      <vt:lpstr>Assalariados - WorldBank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2020-04-17T14:57:42Z</dcterms:modified>
</cp:coreProperties>
</file>