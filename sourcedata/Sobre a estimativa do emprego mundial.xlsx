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35" yWindow="240" windowWidth="19875" windowHeight="7455" activeTab="1"/>
  </bookViews>
  <sheets>
    <sheet name="Plan1" sheetId="1" r:id="rId1"/>
    <sheet name="Plan2" sheetId="2" r:id="rId2"/>
    <sheet name="LF" sheetId="3" r:id="rId3"/>
    <sheet name="UN" sheetId="4" r:id="rId4"/>
  </sheets>
  <definedNames>
    <definedName name="_xlnm._FilterDatabase" localSheetId="0" hidden="1">Plan1!$A$2:$B$216</definedName>
  </definedNames>
  <calcPr calcId="145621" iterate="1" iterateCount="10000"/>
</workbook>
</file>

<file path=xl/calcChain.xml><?xml version="1.0" encoding="utf-8"?>
<calcChain xmlns="http://schemas.openxmlformats.org/spreadsheetml/2006/main">
  <c r="H45" i="2" l="1"/>
  <c r="H44" i="2"/>
  <c r="D44" i="2"/>
  <c r="F44" i="2"/>
  <c r="F45" i="2" s="1"/>
  <c r="G44" i="2"/>
  <c r="G45" i="2" s="1"/>
  <c r="D45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3" i="2"/>
  <c r="B51" i="2"/>
  <c r="B50" i="2"/>
  <c r="A58" i="2"/>
  <c r="B44" i="2"/>
  <c r="B45" i="2"/>
  <c r="B48" i="2" s="1"/>
</calcChain>
</file>

<file path=xl/sharedStrings.xml><?xml version="1.0" encoding="utf-8"?>
<sst xmlns="http://schemas.openxmlformats.org/spreadsheetml/2006/main" count="770" uniqueCount="263">
  <si>
    <t>Country WB</t>
  </si>
  <si>
    <t>WLD</t>
  </si>
  <si>
    <t>USA</t>
  </si>
  <si>
    <t>GBR</t>
  </si>
  <si>
    <t>IMN</t>
  </si>
  <si>
    <t>AUT</t>
  </si>
  <si>
    <t>BEL</t>
  </si>
  <si>
    <t>DNK</t>
  </si>
  <si>
    <t>FRA</t>
  </si>
  <si>
    <t>DEU</t>
  </si>
  <si>
    <t>SMR</t>
  </si>
  <si>
    <t>ITA</t>
  </si>
  <si>
    <t>LUX</t>
  </si>
  <si>
    <t>NLD</t>
  </si>
  <si>
    <t>NOR</t>
  </si>
  <si>
    <t>SWE</t>
  </si>
  <si>
    <t>CHE</t>
  </si>
  <si>
    <t>LIE</t>
  </si>
  <si>
    <t>CAN</t>
  </si>
  <si>
    <t>JPN</t>
  </si>
  <si>
    <t>EMU</t>
  </si>
  <si>
    <t>AND</t>
  </si>
  <si>
    <t>FIN</t>
  </si>
  <si>
    <t>GRC</t>
  </si>
  <si>
    <t>ISL</t>
  </si>
  <si>
    <t>IRL</t>
  </si>
  <si>
    <t>MLT</t>
  </si>
  <si>
    <t>PRT</t>
  </si>
  <si>
    <t>MCO</t>
  </si>
  <si>
    <t>ESP</t>
  </si>
  <si>
    <t>TUR</t>
  </si>
  <si>
    <t>AUS</t>
  </si>
  <si>
    <t>NZL</t>
  </si>
  <si>
    <t>ZAF</t>
  </si>
  <si>
    <t>ARG</t>
  </si>
  <si>
    <t>BOL</t>
  </si>
  <si>
    <t>BRA</t>
  </si>
  <si>
    <t>CHL</t>
  </si>
  <si>
    <t>COL</t>
  </si>
  <si>
    <t>CRI</t>
  </si>
  <si>
    <t>DOM</t>
  </si>
  <si>
    <t>ECU</t>
  </si>
  <si>
    <t>SLV</t>
  </si>
  <si>
    <t>GTM</t>
  </si>
  <si>
    <t>HTI</t>
  </si>
  <si>
    <t>HND</t>
  </si>
  <si>
    <t>MEX</t>
  </si>
  <si>
    <t>NIC</t>
  </si>
  <si>
    <t>PAN</t>
  </si>
  <si>
    <t>PRY</t>
  </si>
  <si>
    <t>PER</t>
  </si>
  <si>
    <t>URY</t>
  </si>
  <si>
    <t>VEN</t>
  </si>
  <si>
    <t>ATG</t>
  </si>
  <si>
    <t>BHS</t>
  </si>
  <si>
    <t>ABW</t>
  </si>
  <si>
    <t>BRB</t>
  </si>
  <si>
    <t>BMU</t>
  </si>
  <si>
    <t>DMA</t>
  </si>
  <si>
    <t>GRL</t>
  </si>
  <si>
    <t>GRD</t>
  </si>
  <si>
    <t>GUY</t>
  </si>
  <si>
    <t>BLZ</t>
  </si>
  <si>
    <t>JAM</t>
  </si>
  <si>
    <t>SXM</t>
  </si>
  <si>
    <t>CUW</t>
  </si>
  <si>
    <t>PRI</t>
  </si>
  <si>
    <t>KNA</t>
  </si>
  <si>
    <t>LCA</t>
  </si>
  <si>
    <t>VCT</t>
  </si>
  <si>
    <t>SUR</t>
  </si>
  <si>
    <t>TTO</t>
  </si>
  <si>
    <t>VIR</t>
  </si>
  <si>
    <t>CYM</t>
  </si>
  <si>
    <t>TCA</t>
  </si>
  <si>
    <t>BHR</t>
  </si>
  <si>
    <t>CYP</t>
  </si>
  <si>
    <t>IRN</t>
  </si>
  <si>
    <t>IRQ</t>
  </si>
  <si>
    <t>ISR</t>
  </si>
  <si>
    <t>JOR</t>
  </si>
  <si>
    <t>KWT</t>
  </si>
  <si>
    <t>LBN</t>
  </si>
  <si>
    <t>OMN</t>
  </si>
  <si>
    <t>QAT</t>
  </si>
  <si>
    <t>SAU</t>
  </si>
  <si>
    <t>SYR</t>
  </si>
  <si>
    <t>ARE</t>
  </si>
  <si>
    <t>EGY</t>
  </si>
  <si>
    <t>YEM</t>
  </si>
  <si>
    <t>PSE</t>
  </si>
  <si>
    <t>AFG</t>
  </si>
  <si>
    <t>BGD</t>
  </si>
  <si>
    <t>BTN</t>
  </si>
  <si>
    <t>BRN</t>
  </si>
  <si>
    <t>MMR</t>
  </si>
  <si>
    <t>KHM</t>
  </si>
  <si>
    <t>LKA</t>
  </si>
  <si>
    <t>HKG</t>
  </si>
  <si>
    <t>IND</t>
  </si>
  <si>
    <t>IDN</t>
  </si>
  <si>
    <t>TLS</t>
  </si>
  <si>
    <t>KOR</t>
  </si>
  <si>
    <t>LAO</t>
  </si>
  <si>
    <t>MAC</t>
  </si>
  <si>
    <t>MYS</t>
  </si>
  <si>
    <t>MDV</t>
  </si>
  <si>
    <t>NPL</t>
  </si>
  <si>
    <t>PAK</t>
  </si>
  <si>
    <t>PLW</t>
  </si>
  <si>
    <t>PHL</t>
  </si>
  <si>
    <t>SGP</t>
  </si>
  <si>
    <t>THA</t>
  </si>
  <si>
    <t>VNM</t>
  </si>
  <si>
    <t>DJI</t>
  </si>
  <si>
    <t>DZA</t>
  </si>
  <si>
    <t>AGO</t>
  </si>
  <si>
    <t>BWA</t>
  </si>
  <si>
    <t>BDI</t>
  </si>
  <si>
    <t>CMR</t>
  </si>
  <si>
    <t>CPV</t>
  </si>
  <si>
    <t>CAF</t>
  </si>
  <si>
    <t>TCD</t>
  </si>
  <si>
    <t>COM</t>
  </si>
  <si>
    <t>COG</t>
  </si>
  <si>
    <t>COD</t>
  </si>
  <si>
    <t>BEN</t>
  </si>
  <si>
    <t>GNQ</t>
  </si>
  <si>
    <t>ERI</t>
  </si>
  <si>
    <t>ETH</t>
  </si>
  <si>
    <t>GAB</t>
  </si>
  <si>
    <t>GMB</t>
  </si>
  <si>
    <t>GHA</t>
  </si>
  <si>
    <t>GNB</t>
  </si>
  <si>
    <t>GIN</t>
  </si>
  <si>
    <t>CIV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</si>
  <si>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</si>
  <si>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</si>
  <si>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</si>
  <si>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</si>
  <si>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</si>
  <si>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</si>
  <si>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</si>
  <si>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</si>
  <si>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</si>
  <si>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</si>
  <si>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</si>
  <si>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NER</t>
  </si>
  <si>
    <t>NGA</t>
  </si>
  <si>
    <t>ZWE</t>
  </si>
  <si>
    <t>RWA</t>
  </si>
  <si>
    <t>STP</t>
  </si>
  <si>
    <t>SYC</t>
  </si>
  <si>
    <t>SEN</t>
  </si>
  <si>
    <t>SLE</t>
  </si>
  <si>
    <t>SOM</t>
  </si>
  <si>
    <t>NAM</t>
  </si>
  <si>
    <t>SDN</t>
  </si>
  <si>
    <t>SSD</t>
  </si>
  <si>
    <t>SWZ</t>
  </si>
  <si>
    <t>TZA</t>
  </si>
  <si>
    <t>TGO</t>
  </si>
  <si>
    <t>TUN</t>
  </si>
  <si>
    <t>UGA</t>
  </si>
  <si>
    <t>BFA</t>
  </si>
  <si>
    <t>ZMB</t>
  </si>
  <si>
    <t>SLB</t>
  </si>
  <si>
    <t>FRO</t>
  </si>
  <si>
    <t>MNP</t>
  </si>
  <si>
    <t>FJI</t>
  </si>
  <si>
    <t>KIR</t>
  </si>
  <si>
    <t>GUM</t>
  </si>
  <si>
    <t>NCL</t>
  </si>
  <si>
    <t>VUT</t>
  </si>
  <si>
    <t>PNG</t>
  </si>
  <si>
    <t>ASM</t>
  </si>
  <si>
    <t>WSM</t>
  </si>
  <si>
    <t>TON</t>
  </si>
  <si>
    <t>MHL</t>
  </si>
  <si>
    <t>FSM</t>
  </si>
  <si>
    <t>TUV</t>
  </si>
  <si>
    <t>PYF</t>
  </si>
  <si>
    <t>ARM</t>
  </si>
  <si>
    <t>AZE</t>
  </si>
  <si>
    <t>BLR</t>
  </si>
  <si>
    <t>ALB</t>
  </si>
  <si>
    <t>GEO</t>
  </si>
  <si>
    <t>KAZ</t>
  </si>
  <si>
    <t>KGZ</t>
  </si>
  <si>
    <t>BGR</t>
  </si>
  <si>
    <t>MDA</t>
  </si>
  <si>
    <t>RUS</t>
  </si>
  <si>
    <t>TJK</t>
  </si>
  <si>
    <t>CHN</t>
  </si>
  <si>
    <t>TKM</t>
  </si>
  <si>
    <t>UKR</t>
  </si>
  <si>
    <t>UZB</t>
  </si>
  <si>
    <t>CUB</t>
  </si>
  <si>
    <t>CZE</t>
  </si>
  <si>
    <t>SVK</t>
  </si>
  <si>
    <t>EST</t>
  </si>
  <si>
    <t>LVA</t>
  </si>
  <si>
    <t>SRB</t>
  </si>
  <si>
    <t>MNE</t>
  </si>
  <si>
    <t>HUN</t>
  </si>
  <si>
    <t>LTU</t>
  </si>
  <si>
    <t>MNG</t>
  </si>
  <si>
    <t>PRK</t>
  </si>
  <si>
    <t>HRV</t>
  </si>
  <si>
    <t>SVN</t>
  </si>
  <si>
    <t>MKD</t>
  </si>
  <si>
    <t>BIH</t>
  </si>
  <si>
    <t>POL</t>
  </si>
  <si>
    <t>KSV</t>
  </si>
  <si>
    <t>ROU</t>
  </si>
  <si>
    <t>ROW</t>
  </si>
  <si>
    <t>TWN</t>
  </si>
  <si>
    <t>PE-ROW</t>
  </si>
  <si>
    <t>PE-40</t>
  </si>
  <si>
    <t>1996</t>
  </si>
  <si>
    <t>World Development Indicators</t>
  </si>
  <si>
    <t>Country Code</t>
  </si>
  <si>
    <t>ARB</t>
  </si>
  <si>
    <t>CEB</t>
  </si>
  <si>
    <t>CHI</t>
  </si>
  <si>
    <t>CSS</t>
  </si>
  <si>
    <t>EAP</t>
  </si>
  <si>
    <t>EAS</t>
  </si>
  <si>
    <t>ECA</t>
  </si>
  <si>
    <t>ECS</t>
  </si>
  <si>
    <t>EUU</t>
  </si>
  <si>
    <t>FCS</t>
  </si>
  <si>
    <t>HIC</t>
  </si>
  <si>
    <t>HPC</t>
  </si>
  <si>
    <t>INX</t>
  </si>
  <si>
    <t>LAC</t>
  </si>
  <si>
    <t>LCN</t>
  </si>
  <si>
    <t>LDC</t>
  </si>
  <si>
    <t>LIC</t>
  </si>
  <si>
    <t>LMC</t>
  </si>
  <si>
    <t>LMY</t>
  </si>
  <si>
    <t>MAF</t>
  </si>
  <si>
    <t>MEA</t>
  </si>
  <si>
    <t>MIC</t>
  </si>
  <si>
    <t>MNA</t>
  </si>
  <si>
    <t>NAC</t>
  </si>
  <si>
    <t>NOC</t>
  </si>
  <si>
    <t>OEC</t>
  </si>
  <si>
    <t>OED</t>
  </si>
  <si>
    <t>OSS</t>
  </si>
  <si>
    <t>PSS</t>
  </si>
  <si>
    <t>SAS</t>
  </si>
  <si>
    <t>SSA</t>
  </si>
  <si>
    <t>SSF</t>
  </si>
  <si>
    <t>SST</t>
  </si>
  <si>
    <t>UMC</t>
  </si>
  <si>
    <t>Pop</t>
  </si>
  <si>
    <t>Labor Force</t>
  </si>
  <si>
    <t>Desemprego</t>
  </si>
  <si>
    <t>%</t>
  </si>
  <si>
    <t>Total</t>
  </si>
  <si>
    <t>Emprego</t>
  </si>
  <si>
    <t>Ao estimar o emprego mundial pela situação da nação com o pior desempenho, subestimamos a participação do resto do mundo no processo produtivo. Com efeito, temos uma estimativa mais conservadora.   --- Observe que a população ocupada no mundo resto do mundo é de 1.7 bilhões. Nossa estimativa aponta para 1.2 bilhões, o que é 500 milhões menos do que 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</si>
</sst>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9" formatCode="_-* #,##0_-;\-* #,##0_-;_-* &quot;-&quot;??_-;_-@_-"/>
    <numFmt numFmtId="170" formatCode="0.0%"/>
    <numFmt numFmtId="171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69" fontId="0" fillId="0" borderId="0" xfId="1" applyNumberFormat="1" applyFont="1"/>
    <xf numFmtId="169" fontId="0" fillId="0" borderId="0" xfId="0" applyNumberFormat="1"/>
    <xf numFmtId="0" fontId="0" fillId="0" borderId="0" xfId="0" applyAlignment="1">
      <alignment horizontal="right"/>
    </xf>
    <xf numFmtId="170" fontId="0" fillId="0" borderId="0" xfId="2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1" fontId="0" fillId="0" borderId="0" xfId="2" applyNumberFormat="1" applyFont="1"/>
    <xf numFmtId="169" fontId="0" fillId="2" borderId="0" xfId="1" applyNumberFormat="1" applyFont="1" applyFill="1"/>
    <xf numFmtId="0" fontId="0" fillId="2" borderId="0" xfId="0" applyFill="1"/>
    <xf numFmtId="169" fontId="0" fillId="2" borderId="0" xfId="0" applyNumberFormat="1" applyFill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B216"/>
  <sheetViews>
    <sheetView topLeftCell="A29" workbookViewId="0">
      <selection activeCell="A2" sqref="A2:B216"/>
    </sheetView>
  </sheetViews>
  <sheetFormatPr defaultRowHeight="15" x14ac:dyDescent="0.25"/>
  <cols>
    <col min="2" max="2" width="12" bestFit="1" customWidth="1"/>
  </cols>
  <sheetData>
    <row r="2" spans="1:2" x14ac:dyDescent="0.25">
      <c r="A2" t="s">
        <v>0</v>
      </c>
      <c r="B2">
        <v>1996</v>
      </c>
    </row>
    <row r="3" spans="1:2" x14ac:dyDescent="0.25">
      <c r="A3" t="s">
        <v>1</v>
      </c>
      <c r="B3">
        <v>5779714394.8218403</v>
      </c>
    </row>
    <row r="4" spans="1:2" x14ac:dyDescent="0.25">
      <c r="A4" t="s">
        <v>2</v>
      </c>
      <c r="B4">
        <v>269394000</v>
      </c>
    </row>
    <row r="5" spans="1:2" x14ac:dyDescent="0.25">
      <c r="A5" t="s">
        <v>3</v>
      </c>
      <c r="B5">
        <v>58166950</v>
      </c>
    </row>
    <row r="6" spans="1:2" hidden="1" x14ac:dyDescent="0.25">
      <c r="A6" t="s">
        <v>4</v>
      </c>
      <c r="B6">
        <v>72898</v>
      </c>
    </row>
    <row r="7" spans="1:2" x14ac:dyDescent="0.25">
      <c r="A7" t="s">
        <v>5</v>
      </c>
      <c r="B7">
        <v>7959017</v>
      </c>
    </row>
    <row r="8" spans="1:2" x14ac:dyDescent="0.25">
      <c r="A8" t="s">
        <v>6</v>
      </c>
      <c r="B8">
        <v>10156637</v>
      </c>
    </row>
    <row r="9" spans="1:2" x14ac:dyDescent="0.25">
      <c r="A9" t="s">
        <v>7</v>
      </c>
      <c r="B9">
        <v>5263074</v>
      </c>
    </row>
    <row r="10" spans="1:2" x14ac:dyDescent="0.25">
      <c r="A10" t="s">
        <v>8</v>
      </c>
      <c r="B10">
        <v>59752020</v>
      </c>
    </row>
    <row r="11" spans="1:2" x14ac:dyDescent="0.25">
      <c r="A11" t="s">
        <v>9</v>
      </c>
      <c r="B11">
        <v>81914831</v>
      </c>
    </row>
    <row r="12" spans="1:2" hidden="1" x14ac:dyDescent="0.25">
      <c r="A12" t="s">
        <v>10</v>
      </c>
      <c r="B12">
        <v>25914</v>
      </c>
    </row>
    <row r="13" spans="1:2" x14ac:dyDescent="0.25">
      <c r="A13" t="s">
        <v>11</v>
      </c>
      <c r="B13">
        <v>56860281</v>
      </c>
    </row>
    <row r="14" spans="1:2" x14ac:dyDescent="0.25">
      <c r="A14" t="s">
        <v>12</v>
      </c>
      <c r="B14">
        <v>414225</v>
      </c>
    </row>
    <row r="15" spans="1:2" x14ac:dyDescent="0.25">
      <c r="A15" t="s">
        <v>13</v>
      </c>
      <c r="B15">
        <v>15530498</v>
      </c>
    </row>
    <row r="16" spans="1:2" hidden="1" x14ac:dyDescent="0.25">
      <c r="A16" t="s">
        <v>14</v>
      </c>
      <c r="B16">
        <v>4381336</v>
      </c>
    </row>
    <row r="17" spans="1:2" x14ac:dyDescent="0.25">
      <c r="A17" t="s">
        <v>15</v>
      </c>
      <c r="B17">
        <v>8840998</v>
      </c>
    </row>
    <row r="18" spans="1:2" hidden="1" x14ac:dyDescent="0.25">
      <c r="A18" t="s">
        <v>16</v>
      </c>
      <c r="B18">
        <v>7071850</v>
      </c>
    </row>
    <row r="19" spans="1:2" hidden="1" x14ac:dyDescent="0.25">
      <c r="A19" t="s">
        <v>17</v>
      </c>
      <c r="B19">
        <v>31287</v>
      </c>
    </row>
    <row r="20" spans="1:2" x14ac:dyDescent="0.25">
      <c r="A20" t="s">
        <v>18</v>
      </c>
      <c r="B20">
        <v>29671900</v>
      </c>
    </row>
    <row r="21" spans="1:2" x14ac:dyDescent="0.25">
      <c r="A21" t="s">
        <v>19</v>
      </c>
      <c r="B21">
        <v>125761000</v>
      </c>
    </row>
    <row r="22" spans="1:2" hidden="1" x14ac:dyDescent="0.25">
      <c r="A22" t="s">
        <v>20</v>
      </c>
      <c r="B22">
        <v>311618328</v>
      </c>
    </row>
    <row r="23" spans="1:2" hidden="1" x14ac:dyDescent="0.25">
      <c r="A23" t="s">
        <v>21</v>
      </c>
      <c r="B23">
        <v>64274</v>
      </c>
    </row>
    <row r="24" spans="1:2" x14ac:dyDescent="0.25">
      <c r="A24" t="s">
        <v>22</v>
      </c>
      <c r="B24">
        <v>5124573</v>
      </c>
    </row>
    <row r="25" spans="1:2" x14ac:dyDescent="0.25">
      <c r="A25" t="s">
        <v>23</v>
      </c>
      <c r="B25">
        <v>10709173</v>
      </c>
    </row>
    <row r="26" spans="1:2" hidden="1" x14ac:dyDescent="0.25">
      <c r="A26" t="s">
        <v>24</v>
      </c>
      <c r="B26">
        <v>268916</v>
      </c>
    </row>
    <row r="27" spans="1:2" x14ac:dyDescent="0.25">
      <c r="A27" t="s">
        <v>25</v>
      </c>
      <c r="B27">
        <v>3637510</v>
      </c>
    </row>
    <row r="28" spans="1:2" x14ac:dyDescent="0.25">
      <c r="A28" t="s">
        <v>26</v>
      </c>
      <c r="B28">
        <v>372687</v>
      </c>
    </row>
    <row r="29" spans="1:2" x14ac:dyDescent="0.25">
      <c r="A29" t="s">
        <v>27</v>
      </c>
      <c r="B29">
        <v>10057861</v>
      </c>
    </row>
    <row r="30" spans="1:2" hidden="1" x14ac:dyDescent="0.25">
      <c r="A30" t="s">
        <v>28</v>
      </c>
      <c r="B30">
        <v>30971</v>
      </c>
    </row>
    <row r="31" spans="1:2" x14ac:dyDescent="0.25">
      <c r="A31" t="s">
        <v>29</v>
      </c>
      <c r="B31">
        <v>39478186</v>
      </c>
    </row>
    <row r="32" spans="1:2" x14ac:dyDescent="0.25">
      <c r="A32" t="s">
        <v>30</v>
      </c>
      <c r="B32">
        <v>59442502</v>
      </c>
    </row>
    <row r="33" spans="1:2" x14ac:dyDescent="0.25">
      <c r="A33" t="s">
        <v>31</v>
      </c>
      <c r="B33">
        <v>18311000</v>
      </c>
    </row>
    <row r="34" spans="1:2" hidden="1" x14ac:dyDescent="0.25">
      <c r="A34" t="s">
        <v>32</v>
      </c>
      <c r="B34">
        <v>3732000</v>
      </c>
    </row>
    <row r="35" spans="1:2" hidden="1" x14ac:dyDescent="0.25">
      <c r="A35" t="s">
        <v>33</v>
      </c>
      <c r="B35">
        <v>40000246.953756399</v>
      </c>
    </row>
    <row r="36" spans="1:2" hidden="1" x14ac:dyDescent="0.25">
      <c r="A36" t="s">
        <v>34</v>
      </c>
      <c r="B36">
        <v>35264070</v>
      </c>
    </row>
    <row r="37" spans="1:2" hidden="1" x14ac:dyDescent="0.25">
      <c r="A37" t="s">
        <v>35</v>
      </c>
      <c r="B37">
        <v>7806953</v>
      </c>
    </row>
    <row r="38" spans="1:2" x14ac:dyDescent="0.25">
      <c r="A38" t="s">
        <v>36</v>
      </c>
      <c r="B38">
        <v>164392423</v>
      </c>
    </row>
    <row r="39" spans="1:2" hidden="1" x14ac:dyDescent="0.25">
      <c r="A39" t="s">
        <v>37</v>
      </c>
      <c r="B39">
        <v>14662323</v>
      </c>
    </row>
    <row r="40" spans="1:2" hidden="1" x14ac:dyDescent="0.25">
      <c r="A40" t="s">
        <v>38</v>
      </c>
      <c r="B40">
        <v>37236124</v>
      </c>
    </row>
    <row r="41" spans="1:2" hidden="1" x14ac:dyDescent="0.25">
      <c r="A41" t="s">
        <v>39</v>
      </c>
      <c r="B41">
        <v>3566605</v>
      </c>
    </row>
    <row r="42" spans="1:2" hidden="1" x14ac:dyDescent="0.25">
      <c r="A42" t="s">
        <v>40</v>
      </c>
      <c r="B42">
        <v>8118570</v>
      </c>
    </row>
    <row r="43" spans="1:2" hidden="1" x14ac:dyDescent="0.25">
      <c r="A43" t="s">
        <v>41</v>
      </c>
      <c r="B43">
        <v>11557151</v>
      </c>
    </row>
    <row r="44" spans="1:2" hidden="1" x14ac:dyDescent="0.25">
      <c r="A44" t="s">
        <v>42</v>
      </c>
      <c r="B44">
        <v>5806750</v>
      </c>
    </row>
    <row r="45" spans="1:2" hidden="1" x14ac:dyDescent="0.25">
      <c r="A45" t="s">
        <v>43</v>
      </c>
      <c r="B45">
        <v>10214623</v>
      </c>
    </row>
    <row r="46" spans="1:2" hidden="1" x14ac:dyDescent="0.25">
      <c r="A46" t="s">
        <v>44</v>
      </c>
      <c r="B46">
        <v>7986858</v>
      </c>
    </row>
    <row r="47" spans="1:2" hidden="1" x14ac:dyDescent="0.25">
      <c r="A47" t="s">
        <v>45</v>
      </c>
      <c r="B47">
        <v>5723639</v>
      </c>
    </row>
    <row r="48" spans="1:2" x14ac:dyDescent="0.25">
      <c r="A48" t="s">
        <v>46</v>
      </c>
      <c r="B48">
        <v>97201533</v>
      </c>
    </row>
    <row r="49" spans="1:2" hidden="1" x14ac:dyDescent="0.25">
      <c r="A49" t="s">
        <v>47</v>
      </c>
      <c r="B49">
        <v>4756631</v>
      </c>
    </row>
    <row r="50" spans="1:2" hidden="1" x14ac:dyDescent="0.25">
      <c r="A50" t="s">
        <v>48</v>
      </c>
      <c r="B50">
        <v>2814525</v>
      </c>
    </row>
    <row r="51" spans="1:2" hidden="1" x14ac:dyDescent="0.25">
      <c r="A51" t="s">
        <v>49</v>
      </c>
      <c r="B51">
        <v>4911701</v>
      </c>
    </row>
    <row r="52" spans="1:2" hidden="1" x14ac:dyDescent="0.25">
      <c r="A52" t="s">
        <v>50</v>
      </c>
      <c r="B52">
        <v>24365985</v>
      </c>
    </row>
    <row r="53" spans="1:2" hidden="1" x14ac:dyDescent="0.25">
      <c r="A53" t="s">
        <v>51</v>
      </c>
      <c r="B53">
        <v>3247585</v>
      </c>
    </row>
    <row r="54" spans="1:2" hidden="1" x14ac:dyDescent="0.25">
      <c r="A54" t="s">
        <v>52</v>
      </c>
      <c r="B54">
        <v>22556838</v>
      </c>
    </row>
    <row r="55" spans="1:2" hidden="1" x14ac:dyDescent="0.25">
      <c r="A55" t="s">
        <v>53</v>
      </c>
      <c r="B55">
        <v>70245</v>
      </c>
    </row>
    <row r="56" spans="1:2" hidden="1" x14ac:dyDescent="0.25">
      <c r="A56" t="s">
        <v>54</v>
      </c>
      <c r="B56">
        <v>283678</v>
      </c>
    </row>
    <row r="57" spans="1:2" hidden="1" x14ac:dyDescent="0.25">
      <c r="A57" t="s">
        <v>55</v>
      </c>
      <c r="B57">
        <v>83195</v>
      </c>
    </row>
    <row r="58" spans="1:2" hidden="1" x14ac:dyDescent="0.25">
      <c r="A58" t="s">
        <v>56</v>
      </c>
      <c r="B58">
        <v>263884</v>
      </c>
    </row>
    <row r="59" spans="1:2" hidden="1" x14ac:dyDescent="0.25">
      <c r="A59" t="s">
        <v>57</v>
      </c>
      <c r="B59">
        <v>60129</v>
      </c>
    </row>
    <row r="60" spans="1:2" hidden="1" x14ac:dyDescent="0.25">
      <c r="A60" t="s">
        <v>58</v>
      </c>
      <c r="B60">
        <v>71146</v>
      </c>
    </row>
    <row r="61" spans="1:2" hidden="1" x14ac:dyDescent="0.25">
      <c r="A61" t="s">
        <v>59</v>
      </c>
      <c r="B61">
        <v>55900</v>
      </c>
    </row>
    <row r="62" spans="1:2" hidden="1" x14ac:dyDescent="0.25">
      <c r="A62" t="s">
        <v>60</v>
      </c>
      <c r="B62">
        <v>100796</v>
      </c>
    </row>
    <row r="63" spans="1:2" hidden="1" x14ac:dyDescent="0.25">
      <c r="A63" t="s">
        <v>61</v>
      </c>
      <c r="B63">
        <v>730865</v>
      </c>
    </row>
    <row r="64" spans="1:2" hidden="1" x14ac:dyDescent="0.25">
      <c r="A64" t="s">
        <v>62</v>
      </c>
      <c r="B64">
        <v>212375</v>
      </c>
    </row>
    <row r="65" spans="1:2" hidden="1" x14ac:dyDescent="0.25">
      <c r="A65" t="s">
        <v>63</v>
      </c>
      <c r="B65">
        <v>2509923.42512675</v>
      </c>
    </row>
    <row r="66" spans="1:2" hidden="1" x14ac:dyDescent="0.25">
      <c r="A66" t="s">
        <v>64</v>
      </c>
    </row>
    <row r="67" spans="1:2" hidden="1" x14ac:dyDescent="0.25">
      <c r="A67" t="s">
        <v>65</v>
      </c>
    </row>
    <row r="68" spans="1:2" hidden="1" x14ac:dyDescent="0.25">
      <c r="A68" t="s">
        <v>66</v>
      </c>
      <c r="B68">
        <v>3724655</v>
      </c>
    </row>
    <row r="69" spans="1:2" hidden="1" x14ac:dyDescent="0.25">
      <c r="A69" t="s">
        <v>67</v>
      </c>
      <c r="B69">
        <v>43391</v>
      </c>
    </row>
    <row r="70" spans="1:2" hidden="1" x14ac:dyDescent="0.25">
      <c r="A70" t="s">
        <v>68</v>
      </c>
      <c r="B70">
        <v>148962</v>
      </c>
    </row>
    <row r="71" spans="1:2" hidden="1" x14ac:dyDescent="0.25">
      <c r="A71" t="s">
        <v>69</v>
      </c>
      <c r="B71">
        <v>108078</v>
      </c>
    </row>
    <row r="72" spans="1:2" hidden="1" x14ac:dyDescent="0.25">
      <c r="A72" t="s">
        <v>70</v>
      </c>
      <c r="B72">
        <v>441734</v>
      </c>
    </row>
    <row r="73" spans="1:2" hidden="1" x14ac:dyDescent="0.25">
      <c r="A73" t="s">
        <v>71</v>
      </c>
      <c r="B73">
        <v>1258365</v>
      </c>
    </row>
    <row r="74" spans="1:2" hidden="1" x14ac:dyDescent="0.25">
      <c r="A74" t="s">
        <v>72</v>
      </c>
      <c r="B74">
        <v>108093</v>
      </c>
    </row>
    <row r="75" spans="1:2" hidden="1" x14ac:dyDescent="0.25">
      <c r="A75" t="s">
        <v>73</v>
      </c>
      <c r="B75">
        <v>33535</v>
      </c>
    </row>
    <row r="76" spans="1:2" hidden="1" x14ac:dyDescent="0.25">
      <c r="A76" t="s">
        <v>74</v>
      </c>
      <c r="B76">
        <v>15967</v>
      </c>
    </row>
    <row r="77" spans="1:2" hidden="1" x14ac:dyDescent="0.25">
      <c r="A77" t="s">
        <v>75</v>
      </c>
      <c r="B77">
        <v>579697</v>
      </c>
    </row>
    <row r="78" spans="1:2" x14ac:dyDescent="0.25">
      <c r="A78" t="s">
        <v>76</v>
      </c>
      <c r="B78">
        <v>873246</v>
      </c>
    </row>
    <row r="79" spans="1:2" hidden="1" x14ac:dyDescent="0.25">
      <c r="A79" t="s">
        <v>77</v>
      </c>
      <c r="B79">
        <v>61440887</v>
      </c>
    </row>
    <row r="80" spans="1:2" hidden="1" x14ac:dyDescent="0.25">
      <c r="A80" t="s">
        <v>78</v>
      </c>
      <c r="B80">
        <v>21017108</v>
      </c>
    </row>
    <row r="81" spans="1:2" hidden="1" x14ac:dyDescent="0.25">
      <c r="A81" t="s">
        <v>79</v>
      </c>
      <c r="B81">
        <v>5692000</v>
      </c>
    </row>
    <row r="82" spans="1:2" hidden="1" x14ac:dyDescent="0.25">
      <c r="A82" t="s">
        <v>80</v>
      </c>
      <c r="B82">
        <v>4325000</v>
      </c>
    </row>
    <row r="83" spans="1:2" hidden="1" x14ac:dyDescent="0.25">
      <c r="A83" t="s">
        <v>81</v>
      </c>
      <c r="B83">
        <v>1585244</v>
      </c>
    </row>
    <row r="84" spans="1:2" hidden="1" x14ac:dyDescent="0.25">
      <c r="A84" t="s">
        <v>82</v>
      </c>
      <c r="B84">
        <v>3070984</v>
      </c>
    </row>
    <row r="85" spans="1:2" hidden="1" x14ac:dyDescent="0.25">
      <c r="A85" t="s">
        <v>83</v>
      </c>
      <c r="B85">
        <v>2175998</v>
      </c>
    </row>
    <row r="86" spans="1:2" hidden="1" x14ac:dyDescent="0.25">
      <c r="A86" t="s">
        <v>84</v>
      </c>
      <c r="B86">
        <v>512476</v>
      </c>
    </row>
    <row r="87" spans="1:2" hidden="1" x14ac:dyDescent="0.25">
      <c r="A87" t="s">
        <v>85</v>
      </c>
      <c r="B87">
        <v>18848350</v>
      </c>
    </row>
    <row r="88" spans="1:2" hidden="1" x14ac:dyDescent="0.25">
      <c r="A88" t="s">
        <v>86</v>
      </c>
      <c r="B88">
        <v>14746306</v>
      </c>
    </row>
    <row r="89" spans="1:2" hidden="1" x14ac:dyDescent="0.25">
      <c r="A89" t="s">
        <v>87</v>
      </c>
      <c r="B89">
        <v>2470810</v>
      </c>
    </row>
    <row r="90" spans="1:2" hidden="1" x14ac:dyDescent="0.25">
      <c r="A90" t="s">
        <v>88</v>
      </c>
      <c r="B90">
        <v>62123592</v>
      </c>
    </row>
    <row r="91" spans="1:2" hidden="1" x14ac:dyDescent="0.25">
      <c r="A91" t="s">
        <v>89</v>
      </c>
      <c r="B91">
        <v>15578640</v>
      </c>
    </row>
    <row r="92" spans="1:2" hidden="1" x14ac:dyDescent="0.25">
      <c r="A92" t="s">
        <v>90</v>
      </c>
      <c r="B92">
        <v>2587997</v>
      </c>
    </row>
    <row r="93" spans="1:2" hidden="1" x14ac:dyDescent="0.25">
      <c r="A93" t="s">
        <v>91</v>
      </c>
      <c r="B93">
        <v>18415307</v>
      </c>
    </row>
    <row r="94" spans="1:2" hidden="1" x14ac:dyDescent="0.25">
      <c r="A94" t="s">
        <v>92</v>
      </c>
      <c r="B94">
        <v>122400896</v>
      </c>
    </row>
    <row r="95" spans="1:2" hidden="1" x14ac:dyDescent="0.25">
      <c r="A95" t="s">
        <v>93</v>
      </c>
      <c r="B95">
        <v>512594</v>
      </c>
    </row>
    <row r="96" spans="1:2" hidden="1" x14ac:dyDescent="0.25">
      <c r="A96" t="s">
        <v>94</v>
      </c>
      <c r="B96">
        <v>302511</v>
      </c>
    </row>
    <row r="97" spans="1:2" hidden="1" x14ac:dyDescent="0.25">
      <c r="A97" t="s">
        <v>95</v>
      </c>
      <c r="B97">
        <v>45991828</v>
      </c>
    </row>
    <row r="98" spans="1:2" hidden="1" x14ac:dyDescent="0.25">
      <c r="A98" t="s">
        <v>96</v>
      </c>
      <c r="B98">
        <v>11090611</v>
      </c>
    </row>
    <row r="99" spans="1:2" hidden="1" x14ac:dyDescent="0.25">
      <c r="A99" t="s">
        <v>97</v>
      </c>
      <c r="B99">
        <v>18336000</v>
      </c>
    </row>
    <row r="100" spans="1:2" hidden="1" x14ac:dyDescent="0.25">
      <c r="A100" t="s">
        <v>98</v>
      </c>
      <c r="B100">
        <v>6435500</v>
      </c>
    </row>
    <row r="101" spans="1:2" hidden="1" x14ac:dyDescent="0.25">
      <c r="A101" t="s">
        <v>99</v>
      </c>
      <c r="B101">
        <v>973147577</v>
      </c>
    </row>
    <row r="102" spans="1:2" x14ac:dyDescent="0.25">
      <c r="A102" t="s">
        <v>100</v>
      </c>
      <c r="B102">
        <v>197097887</v>
      </c>
    </row>
    <row r="103" spans="1:2" hidden="1" x14ac:dyDescent="0.25">
      <c r="A103" t="s">
        <v>101</v>
      </c>
      <c r="B103">
        <v>869024</v>
      </c>
    </row>
    <row r="104" spans="1:2" x14ac:dyDescent="0.25">
      <c r="A104" t="s">
        <v>102</v>
      </c>
      <c r="B104">
        <v>45525000</v>
      </c>
    </row>
    <row r="105" spans="1:2" hidden="1" x14ac:dyDescent="0.25">
      <c r="A105" t="s">
        <v>103</v>
      </c>
      <c r="B105">
        <v>4986592</v>
      </c>
    </row>
    <row r="106" spans="1:2" hidden="1" x14ac:dyDescent="0.25">
      <c r="A106" t="s">
        <v>104</v>
      </c>
      <c r="B106">
        <v>405231</v>
      </c>
    </row>
    <row r="107" spans="1:2" hidden="1" x14ac:dyDescent="0.25">
      <c r="A107" t="s">
        <v>105</v>
      </c>
      <c r="B107">
        <v>21259831</v>
      </c>
    </row>
    <row r="108" spans="1:2" hidden="1" x14ac:dyDescent="0.25">
      <c r="A108" t="s">
        <v>106</v>
      </c>
      <c r="B108">
        <v>250659</v>
      </c>
    </row>
    <row r="109" spans="1:2" hidden="1" x14ac:dyDescent="0.25">
      <c r="A109" t="s">
        <v>107</v>
      </c>
      <c r="B109">
        <v>21115271</v>
      </c>
    </row>
    <row r="110" spans="1:2" hidden="1" x14ac:dyDescent="0.25">
      <c r="A110" t="s">
        <v>108</v>
      </c>
      <c r="B110">
        <v>130083700</v>
      </c>
    </row>
    <row r="111" spans="1:2" hidden="1" x14ac:dyDescent="0.25">
      <c r="A111" t="s">
        <v>109</v>
      </c>
      <c r="B111">
        <v>17695</v>
      </c>
    </row>
    <row r="112" spans="1:2" hidden="1" x14ac:dyDescent="0.25">
      <c r="A112" t="s">
        <v>110</v>
      </c>
      <c r="B112">
        <v>71184718</v>
      </c>
    </row>
    <row r="113" spans="1:2" hidden="1" x14ac:dyDescent="0.25">
      <c r="A113" t="s">
        <v>111</v>
      </c>
      <c r="B113">
        <v>3670700</v>
      </c>
    </row>
    <row r="114" spans="1:2" hidden="1" x14ac:dyDescent="0.25">
      <c r="A114" t="s">
        <v>112</v>
      </c>
      <c r="B114">
        <v>59562136</v>
      </c>
    </row>
    <row r="115" spans="1:2" hidden="1" x14ac:dyDescent="0.25">
      <c r="A115" t="s">
        <v>113</v>
      </c>
      <c r="B115">
        <v>73156700</v>
      </c>
    </row>
    <row r="116" spans="1:2" hidden="1" x14ac:dyDescent="0.25">
      <c r="A116" t="s">
        <v>114</v>
      </c>
      <c r="B116">
        <v>675891</v>
      </c>
    </row>
    <row r="117" spans="1:2" hidden="1" x14ac:dyDescent="0.25">
      <c r="A117" t="s">
        <v>115</v>
      </c>
      <c r="B117">
        <v>29845208</v>
      </c>
    </row>
    <row r="118" spans="1:2" hidden="1" x14ac:dyDescent="0.25">
      <c r="A118" t="s">
        <v>116</v>
      </c>
      <c r="B118">
        <v>12451945</v>
      </c>
    </row>
    <row r="119" spans="1:2" hidden="1" x14ac:dyDescent="0.25">
      <c r="A119" t="s">
        <v>117</v>
      </c>
      <c r="B119">
        <v>1620989</v>
      </c>
    </row>
    <row r="120" spans="1:2" hidden="1" x14ac:dyDescent="0.25">
      <c r="A120" t="s">
        <v>118</v>
      </c>
      <c r="B120">
        <v>6294482</v>
      </c>
    </row>
    <row r="121" spans="1:2" hidden="1" x14ac:dyDescent="0.25">
      <c r="A121" t="s">
        <v>119</v>
      </c>
      <c r="B121">
        <v>14316949</v>
      </c>
    </row>
    <row r="122" spans="1:2" hidden="1" x14ac:dyDescent="0.25">
      <c r="A122" t="s">
        <v>120</v>
      </c>
      <c r="B122">
        <v>408790</v>
      </c>
    </row>
    <row r="123" spans="1:2" hidden="1" x14ac:dyDescent="0.25">
      <c r="A123" t="s">
        <v>121</v>
      </c>
      <c r="B123">
        <v>3350299</v>
      </c>
    </row>
    <row r="124" spans="1:2" hidden="1" x14ac:dyDescent="0.25">
      <c r="A124" t="s">
        <v>122</v>
      </c>
      <c r="B124">
        <v>7216321</v>
      </c>
    </row>
    <row r="125" spans="1:2" hidden="1" x14ac:dyDescent="0.25">
      <c r="A125" t="s">
        <v>123</v>
      </c>
      <c r="B125">
        <v>477548</v>
      </c>
    </row>
    <row r="126" spans="1:2" hidden="1" x14ac:dyDescent="0.25">
      <c r="A126" t="s">
        <v>124</v>
      </c>
      <c r="B126">
        <v>2797572</v>
      </c>
    </row>
    <row r="127" spans="1:2" hidden="1" x14ac:dyDescent="0.25">
      <c r="A127" t="s">
        <v>125</v>
      </c>
      <c r="B127">
        <v>43122601</v>
      </c>
    </row>
    <row r="128" spans="1:2" hidden="1" x14ac:dyDescent="0.25">
      <c r="A128" t="s">
        <v>126</v>
      </c>
      <c r="B128">
        <v>6176318</v>
      </c>
    </row>
    <row r="129" spans="1:2" hidden="1" x14ac:dyDescent="0.25">
      <c r="A129" t="s">
        <v>127</v>
      </c>
      <c r="B129">
        <v>456389</v>
      </c>
    </row>
    <row r="130" spans="1:2" hidden="1" x14ac:dyDescent="0.25">
      <c r="A130" t="s">
        <v>128</v>
      </c>
      <c r="B130">
        <v>3473399</v>
      </c>
    </row>
    <row r="131" spans="1:2" hidden="1" x14ac:dyDescent="0.25">
      <c r="A131" t="s">
        <v>129</v>
      </c>
      <c r="B131">
        <v>58815116</v>
      </c>
    </row>
    <row r="132" spans="1:2" hidden="1" x14ac:dyDescent="0.25">
      <c r="A132" t="s">
        <v>130</v>
      </c>
      <c r="B132">
        <v>1108698</v>
      </c>
    </row>
    <row r="133" spans="1:2" hidden="1" x14ac:dyDescent="0.25">
      <c r="A133" t="s">
        <v>131</v>
      </c>
      <c r="B133">
        <v>1095930</v>
      </c>
    </row>
    <row r="134" spans="1:2" hidden="1" x14ac:dyDescent="0.25">
      <c r="A134" t="s">
        <v>132</v>
      </c>
      <c r="B134">
        <v>17169151</v>
      </c>
    </row>
    <row r="135" spans="1:2" hidden="1" x14ac:dyDescent="0.25">
      <c r="A135" t="s">
        <v>133</v>
      </c>
      <c r="B135">
        <v>1165465</v>
      </c>
    </row>
    <row r="136" spans="1:2" hidden="1" x14ac:dyDescent="0.25">
      <c r="A136" t="s">
        <v>134</v>
      </c>
      <c r="B136">
        <v>8094751</v>
      </c>
    </row>
    <row r="137" spans="1:2" hidden="1" x14ac:dyDescent="0.25">
      <c r="A137" t="s">
        <v>135</v>
      </c>
      <c r="B137">
        <v>14632391</v>
      </c>
    </row>
    <row r="138" spans="1:2" hidden="1" x14ac:dyDescent="0.25">
      <c r="A138" t="s">
        <v>136</v>
      </c>
      <c r="B138">
        <v>28186224</v>
      </c>
    </row>
    <row r="139" spans="1:2" hidden="1" x14ac:dyDescent="0.25">
      <c r="A139" t="s">
        <v>137</v>
      </c>
      <c r="B139">
        <v>1779197</v>
      </c>
    </row>
    <row r="140" spans="1:2" hidden="1" x14ac:dyDescent="0.25">
      <c r="A140" t="s">
        <v>138</v>
      </c>
      <c r="B140">
        <v>2197801</v>
      </c>
    </row>
    <row r="141" spans="1:2" hidden="1" x14ac:dyDescent="0.25">
      <c r="A141" t="s">
        <v>139</v>
      </c>
      <c r="B141">
        <v>4837354</v>
      </c>
    </row>
    <row r="142" spans="1:2" hidden="1" x14ac:dyDescent="0.25">
      <c r="A142" t="s">
        <v>140</v>
      </c>
      <c r="B142">
        <v>13882646</v>
      </c>
    </row>
    <row r="143" spans="1:2" hidden="1" x14ac:dyDescent="0.25">
      <c r="A143" t="s">
        <v>141</v>
      </c>
      <c r="B143">
        <v>10153315</v>
      </c>
    </row>
    <row r="144" spans="1:2" hidden="1" x14ac:dyDescent="0.25">
      <c r="A144" t="s">
        <v>142</v>
      </c>
      <c r="B144">
        <v>9222157</v>
      </c>
    </row>
    <row r="145" spans="1:2" hidden="1" x14ac:dyDescent="0.25">
      <c r="A145" t="s">
        <v>143</v>
      </c>
      <c r="B145">
        <v>2403805</v>
      </c>
    </row>
    <row r="146" spans="1:2" hidden="1" x14ac:dyDescent="0.25">
      <c r="A146" t="s">
        <v>144</v>
      </c>
      <c r="B146">
        <v>1133996</v>
      </c>
    </row>
    <row r="147" spans="1:2" hidden="1" x14ac:dyDescent="0.25">
      <c r="A147" t="s">
        <v>145</v>
      </c>
      <c r="B147">
        <v>27237150</v>
      </c>
    </row>
    <row r="148" spans="1:2" hidden="1" x14ac:dyDescent="0.25">
      <c r="A148" t="s">
        <v>146</v>
      </c>
      <c r="B148">
        <v>16463426</v>
      </c>
    </row>
    <row r="149" spans="1:2" hidden="1" x14ac:dyDescent="0.25">
      <c r="A149" t="s">
        <v>147</v>
      </c>
      <c r="B149">
        <v>9499605</v>
      </c>
    </row>
    <row r="150" spans="1:2" hidden="1" x14ac:dyDescent="0.25">
      <c r="A150" t="s">
        <v>148</v>
      </c>
      <c r="B150">
        <v>111166210</v>
      </c>
    </row>
    <row r="151" spans="1:2" hidden="1" x14ac:dyDescent="0.25">
      <c r="A151" t="s">
        <v>149</v>
      </c>
      <c r="B151">
        <v>11846110</v>
      </c>
    </row>
    <row r="152" spans="1:2" hidden="1" x14ac:dyDescent="0.25">
      <c r="A152" t="s">
        <v>150</v>
      </c>
      <c r="B152">
        <v>5929575</v>
      </c>
    </row>
    <row r="153" spans="1:2" hidden="1" x14ac:dyDescent="0.25">
      <c r="A153" t="s">
        <v>151</v>
      </c>
      <c r="B153">
        <v>132323</v>
      </c>
    </row>
    <row r="154" spans="1:2" hidden="1" x14ac:dyDescent="0.25">
      <c r="A154" t="s">
        <v>152</v>
      </c>
      <c r="B154">
        <v>76417</v>
      </c>
    </row>
    <row r="155" spans="1:2" hidden="1" x14ac:dyDescent="0.25">
      <c r="A155" t="s">
        <v>153</v>
      </c>
      <c r="B155">
        <v>8940298</v>
      </c>
    </row>
    <row r="156" spans="1:2" hidden="1" x14ac:dyDescent="0.25">
      <c r="A156" t="s">
        <v>154</v>
      </c>
      <c r="B156">
        <v>3919708</v>
      </c>
    </row>
    <row r="157" spans="1:2" hidden="1" x14ac:dyDescent="0.25">
      <c r="A157" t="s">
        <v>155</v>
      </c>
      <c r="B157">
        <v>6481035</v>
      </c>
    </row>
    <row r="158" spans="1:2" hidden="1" x14ac:dyDescent="0.25">
      <c r="A158" t="s">
        <v>156</v>
      </c>
      <c r="B158">
        <v>1705309</v>
      </c>
    </row>
    <row r="159" spans="1:2" hidden="1" x14ac:dyDescent="0.25">
      <c r="A159" t="s">
        <v>157</v>
      </c>
      <c r="B159">
        <v>25263021</v>
      </c>
    </row>
    <row r="160" spans="1:2" hidden="1" x14ac:dyDescent="0.25">
      <c r="A160" t="s">
        <v>158</v>
      </c>
      <c r="B160">
        <v>5561120</v>
      </c>
    </row>
    <row r="161" spans="1:2" hidden="1" x14ac:dyDescent="0.25">
      <c r="A161" t="s">
        <v>159</v>
      </c>
      <c r="B161">
        <v>984506</v>
      </c>
    </row>
    <row r="162" spans="1:2" hidden="1" x14ac:dyDescent="0.25">
      <c r="A162" t="s">
        <v>160</v>
      </c>
      <c r="B162">
        <v>30780453</v>
      </c>
    </row>
    <row r="163" spans="1:2" hidden="1" x14ac:dyDescent="0.25">
      <c r="A163" t="s">
        <v>161</v>
      </c>
      <c r="B163">
        <v>4392177</v>
      </c>
    </row>
    <row r="164" spans="1:2" hidden="1" x14ac:dyDescent="0.25">
      <c r="A164" t="s">
        <v>162</v>
      </c>
      <c r="B164">
        <v>9089300</v>
      </c>
    </row>
    <row r="165" spans="1:2" hidden="1" x14ac:dyDescent="0.25">
      <c r="A165" t="s">
        <v>163</v>
      </c>
      <c r="B165">
        <v>21407693</v>
      </c>
    </row>
    <row r="166" spans="1:2" hidden="1" x14ac:dyDescent="0.25">
      <c r="A166" t="s">
        <v>164</v>
      </c>
      <c r="B166">
        <v>10372562</v>
      </c>
    </row>
    <row r="167" spans="1:2" hidden="1" x14ac:dyDescent="0.25">
      <c r="A167" t="s">
        <v>165</v>
      </c>
      <c r="B167">
        <v>9073311</v>
      </c>
    </row>
    <row r="168" spans="1:2" hidden="1" x14ac:dyDescent="0.25">
      <c r="A168" t="s">
        <v>166</v>
      </c>
      <c r="B168">
        <v>369439</v>
      </c>
    </row>
    <row r="169" spans="1:2" hidden="1" x14ac:dyDescent="0.25">
      <c r="A169" t="s">
        <v>167</v>
      </c>
      <c r="B169">
        <v>44058</v>
      </c>
    </row>
    <row r="170" spans="1:2" hidden="1" x14ac:dyDescent="0.25">
      <c r="A170" t="s">
        <v>168</v>
      </c>
      <c r="B170">
        <v>60248</v>
      </c>
    </row>
    <row r="171" spans="1:2" hidden="1" x14ac:dyDescent="0.25">
      <c r="A171" t="s">
        <v>169</v>
      </c>
      <c r="B171">
        <v>784647</v>
      </c>
    </row>
    <row r="172" spans="1:2" hidden="1" x14ac:dyDescent="0.25">
      <c r="A172" t="s">
        <v>170</v>
      </c>
      <c r="B172">
        <v>77511</v>
      </c>
    </row>
    <row r="173" spans="1:2" hidden="1" x14ac:dyDescent="0.25">
      <c r="A173" t="s">
        <v>171</v>
      </c>
      <c r="B173">
        <v>148060</v>
      </c>
    </row>
    <row r="174" spans="1:2" hidden="1" x14ac:dyDescent="0.25">
      <c r="A174" t="s">
        <v>172</v>
      </c>
      <c r="B174">
        <v>197000</v>
      </c>
    </row>
    <row r="175" spans="1:2" hidden="1" x14ac:dyDescent="0.25">
      <c r="A175" t="s">
        <v>173</v>
      </c>
      <c r="B175">
        <v>171802</v>
      </c>
    </row>
    <row r="176" spans="1:2" hidden="1" x14ac:dyDescent="0.25">
      <c r="A176" t="s">
        <v>174</v>
      </c>
      <c r="B176">
        <v>4841020</v>
      </c>
    </row>
    <row r="177" spans="1:2" hidden="1" x14ac:dyDescent="0.25">
      <c r="A177" t="s">
        <v>175</v>
      </c>
      <c r="B177">
        <v>53926</v>
      </c>
    </row>
    <row r="178" spans="1:2" hidden="1" x14ac:dyDescent="0.25">
      <c r="A178" t="s">
        <v>176</v>
      </c>
      <c r="B178">
        <v>171276</v>
      </c>
    </row>
    <row r="179" spans="1:2" hidden="1" x14ac:dyDescent="0.25">
      <c r="A179" t="s">
        <v>177</v>
      </c>
      <c r="B179">
        <v>96218</v>
      </c>
    </row>
    <row r="180" spans="1:2" hidden="1" x14ac:dyDescent="0.25">
      <c r="A180" t="s">
        <v>178</v>
      </c>
      <c r="B180">
        <v>51397</v>
      </c>
    </row>
    <row r="181" spans="1:2" hidden="1" x14ac:dyDescent="0.25">
      <c r="A181" t="s">
        <v>179</v>
      </c>
      <c r="B181">
        <v>108342</v>
      </c>
    </row>
    <row r="182" spans="1:2" hidden="1" x14ac:dyDescent="0.25">
      <c r="A182" t="s">
        <v>180</v>
      </c>
      <c r="B182">
        <v>9264</v>
      </c>
    </row>
    <row r="183" spans="1:2" hidden="1" x14ac:dyDescent="0.25">
      <c r="A183" t="s">
        <v>181</v>
      </c>
      <c r="B183">
        <v>219282</v>
      </c>
    </row>
    <row r="184" spans="1:2" hidden="1" x14ac:dyDescent="0.25">
      <c r="A184" t="s">
        <v>182</v>
      </c>
      <c r="B184">
        <v>3173425</v>
      </c>
    </row>
    <row r="185" spans="1:2" hidden="1" x14ac:dyDescent="0.25">
      <c r="A185" t="s">
        <v>183</v>
      </c>
      <c r="B185">
        <v>7763000</v>
      </c>
    </row>
    <row r="186" spans="1:2" hidden="1" x14ac:dyDescent="0.25">
      <c r="A186" t="s">
        <v>184</v>
      </c>
      <c r="B186">
        <v>10160000</v>
      </c>
    </row>
    <row r="187" spans="1:2" hidden="1" x14ac:dyDescent="0.25">
      <c r="A187" t="s">
        <v>185</v>
      </c>
      <c r="B187">
        <v>3341043</v>
      </c>
    </row>
    <row r="188" spans="1:2" hidden="1" x14ac:dyDescent="0.25">
      <c r="A188" t="s">
        <v>186</v>
      </c>
      <c r="B188">
        <v>4616100</v>
      </c>
    </row>
    <row r="189" spans="1:2" hidden="1" x14ac:dyDescent="0.25">
      <c r="A189" t="s">
        <v>187</v>
      </c>
      <c r="B189">
        <v>15577894.256927</v>
      </c>
    </row>
    <row r="190" spans="1:2" hidden="1" x14ac:dyDescent="0.25">
      <c r="A190" t="s">
        <v>188</v>
      </c>
      <c r="B190">
        <v>4628400</v>
      </c>
    </row>
    <row r="191" spans="1:2" x14ac:dyDescent="0.25">
      <c r="A191" t="s">
        <v>189</v>
      </c>
      <c r="B191">
        <v>8362826</v>
      </c>
    </row>
    <row r="192" spans="1:2" hidden="1" x14ac:dyDescent="0.25">
      <c r="A192" t="s">
        <v>190</v>
      </c>
      <c r="B192">
        <v>3667748</v>
      </c>
    </row>
    <row r="193" spans="1:2" x14ac:dyDescent="0.25">
      <c r="A193" t="s">
        <v>191</v>
      </c>
      <c r="B193">
        <v>147739000</v>
      </c>
    </row>
    <row r="194" spans="1:2" hidden="1" x14ac:dyDescent="0.25">
      <c r="A194" t="s">
        <v>192</v>
      </c>
      <c r="B194">
        <v>5862347</v>
      </c>
    </row>
    <row r="195" spans="1:2" x14ac:dyDescent="0.25">
      <c r="A195" t="s">
        <v>193</v>
      </c>
      <c r="B195">
        <v>1217550000</v>
      </c>
    </row>
    <row r="196" spans="1:2" hidden="1" x14ac:dyDescent="0.25">
      <c r="A196" t="s">
        <v>194</v>
      </c>
      <c r="B196">
        <v>4267690</v>
      </c>
    </row>
    <row r="197" spans="1:2" hidden="1" x14ac:dyDescent="0.25">
      <c r="A197" t="s">
        <v>195</v>
      </c>
      <c r="B197">
        <v>51057188.9809848</v>
      </c>
    </row>
    <row r="198" spans="1:2" hidden="1" x14ac:dyDescent="0.25">
      <c r="A198" t="s">
        <v>196</v>
      </c>
      <c r="B198">
        <v>23225000</v>
      </c>
    </row>
    <row r="199" spans="1:2" hidden="1" x14ac:dyDescent="0.25">
      <c r="A199" t="s">
        <v>197</v>
      </c>
      <c r="B199">
        <v>10980758</v>
      </c>
    </row>
    <row r="200" spans="1:2" x14ac:dyDescent="0.25">
      <c r="A200" t="s">
        <v>198</v>
      </c>
      <c r="B200">
        <v>10315241</v>
      </c>
    </row>
    <row r="201" spans="1:2" x14ac:dyDescent="0.25">
      <c r="A201" t="s">
        <v>199</v>
      </c>
      <c r="B201">
        <v>5373361</v>
      </c>
    </row>
    <row r="202" spans="1:2" x14ac:dyDescent="0.25">
      <c r="A202" t="s">
        <v>200</v>
      </c>
      <c r="B202">
        <v>1415594</v>
      </c>
    </row>
    <row r="203" spans="1:2" x14ac:dyDescent="0.25">
      <c r="A203" t="s">
        <v>201</v>
      </c>
      <c r="B203">
        <v>2457222</v>
      </c>
    </row>
    <row r="204" spans="1:2" hidden="1" x14ac:dyDescent="0.25">
      <c r="A204" t="s">
        <v>202</v>
      </c>
      <c r="B204">
        <v>7708878.20504981</v>
      </c>
    </row>
    <row r="205" spans="1:2" hidden="1" x14ac:dyDescent="0.25">
      <c r="A205" t="s">
        <v>203</v>
      </c>
      <c r="B205">
        <v>613774</v>
      </c>
    </row>
    <row r="206" spans="1:2" x14ac:dyDescent="0.25">
      <c r="A206" t="s">
        <v>204</v>
      </c>
      <c r="B206">
        <v>10311238</v>
      </c>
    </row>
    <row r="207" spans="1:2" x14ac:dyDescent="0.25">
      <c r="A207" t="s">
        <v>205</v>
      </c>
      <c r="B207">
        <v>3601613</v>
      </c>
    </row>
    <row r="208" spans="1:2" hidden="1" x14ac:dyDescent="0.25">
      <c r="A208" t="s">
        <v>206</v>
      </c>
      <c r="B208">
        <v>2316598</v>
      </c>
    </row>
    <row r="209" spans="1:2" hidden="1" x14ac:dyDescent="0.25">
      <c r="A209" t="s">
        <v>207</v>
      </c>
      <c r="B209">
        <v>22016518</v>
      </c>
    </row>
    <row r="210" spans="1:2" hidden="1" x14ac:dyDescent="0.25">
      <c r="A210" t="s">
        <v>208</v>
      </c>
      <c r="B210">
        <v>4494000</v>
      </c>
    </row>
    <row r="211" spans="1:2" x14ac:dyDescent="0.25">
      <c r="A211" t="s">
        <v>209</v>
      </c>
      <c r="B211">
        <v>1988628</v>
      </c>
    </row>
    <row r="212" spans="1:2" hidden="1" x14ac:dyDescent="0.25">
      <c r="A212" t="s">
        <v>210</v>
      </c>
      <c r="B212">
        <v>1975207</v>
      </c>
    </row>
    <row r="213" spans="1:2" hidden="1" x14ac:dyDescent="0.25">
      <c r="A213" t="s">
        <v>211</v>
      </c>
      <c r="B213">
        <v>3485575</v>
      </c>
    </row>
    <row r="214" spans="1:2" x14ac:dyDescent="0.25">
      <c r="A214" t="s">
        <v>212</v>
      </c>
      <c r="B214">
        <v>38624370</v>
      </c>
    </row>
    <row r="215" spans="1:2" hidden="1" x14ac:dyDescent="0.25">
      <c r="A215" t="s">
        <v>213</v>
      </c>
      <c r="B215">
        <v>2059000</v>
      </c>
    </row>
    <row r="216" spans="1:2" x14ac:dyDescent="0.25">
      <c r="A216" t="s">
        <v>214</v>
      </c>
      <c r="B216">
        <v>22619004</v>
      </c>
    </row>
  </sheetData>
  <autoFilter ref="A2:B216">
    <filterColumn colId="0">
      <filters>
        <filter val="AUS"/>
        <filter val="AUT"/>
        <filter val="BEL"/>
        <filter val="BGR"/>
        <filter val="BRA"/>
        <filter val="CAN"/>
        <filter val="CHN"/>
        <filter val="CYP"/>
        <filter val="CZE"/>
        <filter val="DEU"/>
        <filter val="DNK"/>
        <filter val="ESP"/>
        <filter val="EST"/>
        <filter val="FIN"/>
        <filter val="FRA"/>
        <filter val="GBR"/>
        <filter val="GRC"/>
        <filter val="HUN"/>
        <filter val="IDN"/>
        <filter val="IRL"/>
        <filter val="ITA"/>
        <filter val="JPN"/>
        <filter val="KOR"/>
        <filter val="LTU"/>
        <filter val="LUX"/>
        <filter val="LVA"/>
        <filter val="MEX"/>
        <filter val="MLT"/>
        <filter val="NLD"/>
        <filter val="POL"/>
        <filter val="PRT"/>
        <filter val="ROU"/>
        <filter val="RUS"/>
        <filter val="SVK"/>
        <filter val="SVN"/>
        <filter val="SWE"/>
        <filter val="TUR"/>
        <filter val="USA"/>
        <filter val="WLD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V58"/>
  <sheetViews>
    <sheetView tabSelected="1" topLeftCell="A37" workbookViewId="0">
      <selection activeCell="H47" sqref="H47"/>
    </sheetView>
  </sheetViews>
  <sheetFormatPr defaultRowHeight="15" x14ac:dyDescent="0.25"/>
  <cols>
    <col min="1" max="2" width="16.85546875" bestFit="1" customWidth="1"/>
    <col min="4" max="4" width="14.28515625" bestFit="1" customWidth="1"/>
    <col min="6" max="6" width="15.28515625" bestFit="1" customWidth="1"/>
    <col min="7" max="7" width="14.28515625" bestFit="1" customWidth="1"/>
  </cols>
  <sheetData>
    <row r="1" spans="1:8" x14ac:dyDescent="0.25">
      <c r="C1" s="6" t="s">
        <v>257</v>
      </c>
      <c r="D1" s="6"/>
      <c r="E1" s="6" t="s">
        <v>258</v>
      </c>
      <c r="F1" s="6"/>
      <c r="G1" t="s">
        <v>261</v>
      </c>
    </row>
    <row r="2" spans="1:8" x14ac:dyDescent="0.25">
      <c r="A2" t="s">
        <v>0</v>
      </c>
      <c r="B2" t="s">
        <v>256</v>
      </c>
      <c r="C2" t="s">
        <v>259</v>
      </c>
      <c r="D2" t="s">
        <v>260</v>
      </c>
      <c r="E2" t="s">
        <v>259</v>
      </c>
      <c r="F2" t="s">
        <v>260</v>
      </c>
      <c r="G2" s="5" t="s">
        <v>260</v>
      </c>
      <c r="H2" s="5" t="s">
        <v>259</v>
      </c>
    </row>
    <row r="3" spans="1:8" x14ac:dyDescent="0.25">
      <c r="A3" t="s">
        <v>1</v>
      </c>
      <c r="B3" s="1">
        <v>5779714394.8218403</v>
      </c>
      <c r="C3">
        <f>VLOOKUP(A3,LF!$A$4:$B$251,2,FALSE)</f>
        <v>65.733945961989704</v>
      </c>
      <c r="D3" s="1">
        <f>B3*(C3/100)</f>
        <v>3799234337.0495286</v>
      </c>
      <c r="E3">
        <f>VLOOKUP(A3,UN!$A$4:$B$251,2,FALSE)</f>
        <v>6.1423122728470876</v>
      </c>
      <c r="F3" s="1">
        <f>D3*(E3/100)</f>
        <v>233360836.95881388</v>
      </c>
      <c r="G3" s="2">
        <f>D3-F3</f>
        <v>3565873500.0907149</v>
      </c>
      <c r="H3">
        <f>G3/B3</f>
        <v>0.61696361731739735</v>
      </c>
    </row>
    <row r="4" spans="1:8" x14ac:dyDescent="0.25">
      <c r="A4" t="s">
        <v>2</v>
      </c>
      <c r="B4" s="1">
        <v>269394000</v>
      </c>
      <c r="C4">
        <f>VLOOKUP(A4,LF!$A$4:$B$251,2,FALSE)</f>
        <v>65.900001525878906</v>
      </c>
      <c r="D4" s="1">
        <f t="shared" ref="D4:D42" si="0">B4*(C4/100)</f>
        <v>177530650.11062622</v>
      </c>
      <c r="E4">
        <f>VLOOKUP(A4,UN!$A$4:$B$251,2,FALSE)</f>
        <v>5.5</v>
      </c>
      <c r="F4" s="1">
        <f t="shared" ref="F4:F42" si="1">D4*(E4/100)</f>
        <v>9764185.7560844421</v>
      </c>
      <c r="G4" s="2">
        <f t="shared" ref="G4:G42" si="2">D4-F4</f>
        <v>167766464.35454178</v>
      </c>
      <c r="H4">
        <f t="shared" ref="H4:H42" si="3">G4/B4</f>
        <v>0.62275501441955572</v>
      </c>
    </row>
    <row r="5" spans="1:8" x14ac:dyDescent="0.25">
      <c r="A5" t="s">
        <v>3</v>
      </c>
      <c r="B5" s="1">
        <v>58166950</v>
      </c>
      <c r="C5">
        <f>VLOOKUP(A5,LF!$A$4:$B$251,2,FALSE)</f>
        <v>61.5</v>
      </c>
      <c r="D5" s="1">
        <f t="shared" si="0"/>
        <v>35772674.25</v>
      </c>
      <c r="E5">
        <f>VLOOKUP(A5,UN!$A$4:$B$251,2,FALSE)</f>
        <v>8.3000001907348597</v>
      </c>
      <c r="F5" s="1">
        <f t="shared" si="1"/>
        <v>2969132.0309809605</v>
      </c>
      <c r="G5" s="2">
        <f t="shared" si="2"/>
        <v>32803542.21901904</v>
      </c>
      <c r="H5">
        <f t="shared" si="3"/>
        <v>0.56395499882698064</v>
      </c>
    </row>
    <row r="6" spans="1:8" x14ac:dyDescent="0.25">
      <c r="A6" t="s">
        <v>5</v>
      </c>
      <c r="B6" s="1">
        <v>7959017</v>
      </c>
      <c r="C6">
        <f>VLOOKUP(A6,LF!$A$4:$B$251,2,FALSE)</f>
        <v>58.299999237060497</v>
      </c>
      <c r="D6" s="1">
        <f t="shared" si="0"/>
        <v>4640106.8502775151</v>
      </c>
      <c r="E6">
        <f>VLOOKUP(A6,UN!$A$4:$B$251,2,FALSE)</f>
        <v>4.0999999046325701</v>
      </c>
      <c r="F6" s="1">
        <f t="shared" si="1"/>
        <v>190244.37643622747</v>
      </c>
      <c r="G6" s="2">
        <f t="shared" si="2"/>
        <v>4449862.4738412872</v>
      </c>
      <c r="H6">
        <f t="shared" si="3"/>
        <v>0.55909699323940221</v>
      </c>
    </row>
    <row r="7" spans="1:8" x14ac:dyDescent="0.25">
      <c r="A7" t="s">
        <v>6</v>
      </c>
      <c r="B7" s="1">
        <v>10156637</v>
      </c>
      <c r="C7">
        <f>VLOOKUP(A7,LF!$A$4:$B$251,2,FALSE)</f>
        <v>50.400001525878899</v>
      </c>
      <c r="D7" s="1">
        <f t="shared" si="0"/>
        <v>5118945.2029779814</v>
      </c>
      <c r="E7">
        <f>VLOOKUP(A7,UN!$A$4:$B$251,2,FALSE)</f>
        <v>9.5</v>
      </c>
      <c r="F7" s="1">
        <f t="shared" si="1"/>
        <v>486299.79428290826</v>
      </c>
      <c r="G7" s="2">
        <f t="shared" si="2"/>
        <v>4632645.4086950729</v>
      </c>
      <c r="H7">
        <f t="shared" si="3"/>
        <v>0.45612001380920408</v>
      </c>
    </row>
    <row r="8" spans="1:8" x14ac:dyDescent="0.25">
      <c r="A8" t="s">
        <v>7</v>
      </c>
      <c r="B8" s="1">
        <v>5263074</v>
      </c>
      <c r="C8">
        <f>VLOOKUP(A8,LF!$A$4:$B$251,2,FALSE)</f>
        <v>65.400001525878906</v>
      </c>
      <c r="D8" s="1">
        <f t="shared" si="0"/>
        <v>3442050.4763081358</v>
      </c>
      <c r="E8">
        <f>VLOOKUP(A8,UN!$A$4:$B$251,2,FALSE)</f>
        <v>6.8000001907348597</v>
      </c>
      <c r="F8" s="1">
        <f t="shared" si="1"/>
        <v>234059.43895414341</v>
      </c>
      <c r="G8" s="2">
        <f t="shared" si="2"/>
        <v>3207991.0373539925</v>
      </c>
      <c r="H8">
        <f t="shared" si="3"/>
        <v>0.60952801297378534</v>
      </c>
    </row>
    <row r="9" spans="1:8" x14ac:dyDescent="0.25">
      <c r="A9" t="s">
        <v>8</v>
      </c>
      <c r="B9" s="1">
        <v>59752020</v>
      </c>
      <c r="C9">
        <f>VLOOKUP(A9,LF!$A$4:$B$251,2,FALSE)</f>
        <v>55.599998474121101</v>
      </c>
      <c r="D9" s="1">
        <f t="shared" si="0"/>
        <v>33222122.208256535</v>
      </c>
      <c r="E9">
        <f>VLOOKUP(A9,UN!$A$4:$B$251,2,FALSE)</f>
        <v>12.3999996185303</v>
      </c>
      <c r="F9" s="1">
        <f t="shared" si="1"/>
        <v>4119543.0270914803</v>
      </c>
      <c r="G9" s="2">
        <f t="shared" si="2"/>
        <v>29102579.181165054</v>
      </c>
      <c r="H9">
        <f t="shared" si="3"/>
        <v>0.48705598875427231</v>
      </c>
    </row>
    <row r="10" spans="1:8" x14ac:dyDescent="0.25">
      <c r="A10" t="s">
        <v>9</v>
      </c>
      <c r="B10" s="1">
        <v>81914831</v>
      </c>
      <c r="C10">
        <f>VLOOKUP(A10,LF!$A$4:$B$251,2,FALSE)</f>
        <v>58.299999237060497</v>
      </c>
      <c r="D10" s="1">
        <f t="shared" si="0"/>
        <v>47756345.848039396</v>
      </c>
      <c r="E10">
        <f>VLOOKUP(A10,UN!$A$4:$B$251,2,FALSE)</f>
        <v>8.8999996185302699</v>
      </c>
      <c r="F10" s="1">
        <f t="shared" si="1"/>
        <v>4250314.5982995024</v>
      </c>
      <c r="G10" s="2">
        <f t="shared" si="2"/>
        <v>43506031.249739893</v>
      </c>
      <c r="H10">
        <f t="shared" si="3"/>
        <v>0.53111299527358957</v>
      </c>
    </row>
    <row r="11" spans="1:8" x14ac:dyDescent="0.25">
      <c r="A11" t="s">
        <v>11</v>
      </c>
      <c r="B11" s="1">
        <v>56860281</v>
      </c>
      <c r="C11">
        <f>VLOOKUP(A11,LF!$A$4:$B$251,2,FALSE)</f>
        <v>47.200000762939503</v>
      </c>
      <c r="D11" s="1">
        <f t="shared" si="0"/>
        <v>26838053.065809544</v>
      </c>
      <c r="E11">
        <f>VLOOKUP(A11,UN!$A$4:$B$251,2,FALSE)</f>
        <v>11.8999996185303</v>
      </c>
      <c r="F11" s="1">
        <f t="shared" si="1"/>
        <v>3193728.2124522952</v>
      </c>
      <c r="G11" s="2">
        <f t="shared" si="2"/>
        <v>23644324.853357248</v>
      </c>
      <c r="H11">
        <f t="shared" si="3"/>
        <v>0.415832008522034</v>
      </c>
    </row>
    <row r="12" spans="1:8" x14ac:dyDescent="0.25">
      <c r="A12" t="s">
        <v>12</v>
      </c>
      <c r="B12" s="1">
        <v>414225</v>
      </c>
      <c r="C12">
        <f>VLOOKUP(A12,LF!$A$4:$B$251,2,FALSE)</f>
        <v>50.900001525878899</v>
      </c>
      <c r="D12" s="1">
        <f t="shared" si="0"/>
        <v>210840.53132057187</v>
      </c>
      <c r="E12">
        <f>VLOOKUP(A12,UN!$A$4:$B$251,2,FALSE)</f>
        <v>3.2999999523162802</v>
      </c>
      <c r="F12" s="1">
        <f t="shared" si="1"/>
        <v>6957.7374330422635</v>
      </c>
      <c r="G12" s="2">
        <f t="shared" si="2"/>
        <v>203882.79388752961</v>
      </c>
      <c r="H12">
        <f t="shared" si="3"/>
        <v>0.4922030149979591</v>
      </c>
    </row>
    <row r="13" spans="1:8" x14ac:dyDescent="0.25">
      <c r="A13" t="s">
        <v>13</v>
      </c>
      <c r="B13" s="1">
        <v>15530498</v>
      </c>
      <c r="C13">
        <f>VLOOKUP(A13,LF!$A$4:$B$251,2,FALSE)</f>
        <v>59.099998474121101</v>
      </c>
      <c r="D13" s="1">
        <f t="shared" si="0"/>
        <v>9178524.0810234081</v>
      </c>
      <c r="E13">
        <f>VLOOKUP(A13,UN!$A$4:$B$251,2,FALSE)</f>
        <v>6.4000000953674299</v>
      </c>
      <c r="F13" s="1">
        <f t="shared" si="1"/>
        <v>587425.54993882054</v>
      </c>
      <c r="G13" s="2">
        <f t="shared" si="2"/>
        <v>8591098.5310845878</v>
      </c>
      <c r="H13">
        <f t="shared" si="3"/>
        <v>0.55317598515415201</v>
      </c>
    </row>
    <row r="14" spans="1:8" x14ac:dyDescent="0.25">
      <c r="A14" t="s">
        <v>15</v>
      </c>
      <c r="B14" s="1">
        <v>8840998</v>
      </c>
      <c r="C14">
        <f>VLOOKUP(A14,LF!$A$4:$B$251,2,FALSE)</f>
        <v>63.099998474121101</v>
      </c>
      <c r="D14" s="1">
        <f t="shared" si="0"/>
        <v>5578669.6030970765</v>
      </c>
      <c r="E14">
        <f>VLOOKUP(A14,UN!$A$4:$B$251,2,FALSE)</f>
        <v>10.1000003814697</v>
      </c>
      <c r="F14" s="1">
        <f t="shared" si="1"/>
        <v>563445.65119373892</v>
      </c>
      <c r="G14" s="2">
        <f t="shared" si="2"/>
        <v>5015223.9519033376</v>
      </c>
      <c r="H14">
        <f t="shared" si="3"/>
        <v>0.56726898387527491</v>
      </c>
    </row>
    <row r="15" spans="1:8" x14ac:dyDescent="0.25">
      <c r="A15" t="s">
        <v>18</v>
      </c>
      <c r="B15" s="1">
        <v>29671900</v>
      </c>
      <c r="C15">
        <f>VLOOKUP(A15,LF!$A$4:$B$251,2,FALSE)</f>
        <v>64.199996948242202</v>
      </c>
      <c r="D15" s="1">
        <f t="shared" si="0"/>
        <v>19049358.894485477</v>
      </c>
      <c r="E15">
        <f>VLOOKUP(A15,UN!$A$4:$B$251,2,FALSE)</f>
        <v>9.6000003814697301</v>
      </c>
      <c r="F15" s="1">
        <f t="shared" si="1"/>
        <v>1828738.5265381436</v>
      </c>
      <c r="G15" s="2">
        <f t="shared" si="2"/>
        <v>17220620.367947333</v>
      </c>
      <c r="H15">
        <f t="shared" si="3"/>
        <v>0.58036796996307394</v>
      </c>
    </row>
    <row r="16" spans="1:8" x14ac:dyDescent="0.25">
      <c r="A16" t="s">
        <v>19</v>
      </c>
      <c r="B16" s="1">
        <v>125761000</v>
      </c>
      <c r="C16">
        <f>VLOOKUP(A16,LF!$A$4:$B$251,2,FALSE)</f>
        <v>63.599998474121101</v>
      </c>
      <c r="D16" s="1">
        <f t="shared" si="0"/>
        <v>79983994.081039444</v>
      </c>
      <c r="E16">
        <f>VLOOKUP(A16,UN!$A$4:$B$251,2,FALSE)</f>
        <v>3.4000000953674299</v>
      </c>
      <c r="F16" s="1">
        <f t="shared" si="1"/>
        <v>2719455.8750340207</v>
      </c>
      <c r="G16" s="2">
        <f t="shared" si="2"/>
        <v>77264538.206005424</v>
      </c>
      <c r="H16">
        <f t="shared" si="3"/>
        <v>0.6143759846534731</v>
      </c>
    </row>
    <row r="17" spans="1:8" x14ac:dyDescent="0.25">
      <c r="A17" t="s">
        <v>22</v>
      </c>
      <c r="B17" s="1">
        <v>5124573</v>
      </c>
      <c r="C17">
        <f>VLOOKUP(A17,LF!$A$4:$B$251,2,FALSE)</f>
        <v>60.700000762939503</v>
      </c>
      <c r="D17" s="1">
        <f t="shared" si="0"/>
        <v>3110615.8500973918</v>
      </c>
      <c r="E17">
        <f>VLOOKUP(A17,UN!$A$4:$B$251,2,FALSE)</f>
        <v>14.3999996185303</v>
      </c>
      <c r="F17" s="1">
        <f t="shared" si="1"/>
        <v>447928.67054796749</v>
      </c>
      <c r="G17" s="2">
        <f t="shared" si="2"/>
        <v>2662687.1795494244</v>
      </c>
      <c r="H17">
        <f t="shared" si="3"/>
        <v>0.51959200884628332</v>
      </c>
    </row>
    <row r="18" spans="1:8" x14ac:dyDescent="0.25">
      <c r="A18" t="s">
        <v>23</v>
      </c>
      <c r="B18" s="1">
        <v>10709173</v>
      </c>
      <c r="C18">
        <f>VLOOKUP(A18,LF!$A$4:$B$251,2,FALSE)</f>
        <v>51.700000762939503</v>
      </c>
      <c r="D18" s="1">
        <f t="shared" si="0"/>
        <v>5536642.5227045109</v>
      </c>
      <c r="E18">
        <f>VLOOKUP(A18,UN!$A$4:$B$251,2,FALSE)</f>
        <v>9.6999998092651403</v>
      </c>
      <c r="F18" s="1">
        <f t="shared" si="1"/>
        <v>537054.3141420302</v>
      </c>
      <c r="G18" s="2">
        <f t="shared" si="2"/>
        <v>4999588.2085624803</v>
      </c>
      <c r="H18">
        <f t="shared" si="3"/>
        <v>0.46685100787544287</v>
      </c>
    </row>
    <row r="19" spans="1:8" x14ac:dyDescent="0.25">
      <c r="A19" t="s">
        <v>25</v>
      </c>
      <c r="B19" s="1">
        <v>3637510</v>
      </c>
      <c r="C19">
        <f>VLOOKUP(A19,LF!$A$4:$B$251,2,FALSE)</f>
        <v>54.5</v>
      </c>
      <c r="D19" s="1">
        <f t="shared" si="0"/>
        <v>1982442.9500000002</v>
      </c>
      <c r="E19">
        <f>VLOOKUP(A19,UN!$A$4:$B$251,2,FALSE)</f>
        <v>11.699999809265099</v>
      </c>
      <c r="F19" s="1">
        <f t="shared" si="1"/>
        <v>231945.82136878942</v>
      </c>
      <c r="G19" s="2">
        <f t="shared" si="2"/>
        <v>1750497.1286312109</v>
      </c>
      <c r="H19">
        <f t="shared" si="3"/>
        <v>0.48123500103950528</v>
      </c>
    </row>
    <row r="20" spans="1:8" x14ac:dyDescent="0.25">
      <c r="A20" t="s">
        <v>26</v>
      </c>
      <c r="B20" s="1">
        <v>372687</v>
      </c>
      <c r="C20">
        <f>VLOOKUP(A20,LF!$A$4:$B$251,2,FALSE)</f>
        <v>51</v>
      </c>
      <c r="D20" s="1">
        <f t="shared" si="0"/>
        <v>190070.37</v>
      </c>
      <c r="E20">
        <f>VLOOKUP(A20,UN!$A$4:$B$251,2,FALSE)</f>
        <v>7.0999999046325701</v>
      </c>
      <c r="F20" s="1">
        <f t="shared" si="1"/>
        <v>13494.996088734773</v>
      </c>
      <c r="G20" s="2">
        <f t="shared" si="2"/>
        <v>176575.37391126523</v>
      </c>
      <c r="H20">
        <f t="shared" si="3"/>
        <v>0.47379000048637387</v>
      </c>
    </row>
    <row r="21" spans="1:8" x14ac:dyDescent="0.25">
      <c r="A21" t="s">
        <v>27</v>
      </c>
      <c r="B21" s="1">
        <v>10057861</v>
      </c>
      <c r="C21">
        <f>VLOOKUP(A21,LF!$A$4:$B$251,2,FALSE)</f>
        <v>58.599998474121101</v>
      </c>
      <c r="D21" s="1">
        <f t="shared" si="0"/>
        <v>5893906.3925292203</v>
      </c>
      <c r="E21">
        <f>VLOOKUP(A21,UN!$A$4:$B$251,2,FALSE)</f>
        <v>6.8000001907348597</v>
      </c>
      <c r="F21" s="1">
        <f t="shared" si="1"/>
        <v>400785.6459337211</v>
      </c>
      <c r="G21" s="2">
        <f t="shared" si="2"/>
        <v>5493120.7465954991</v>
      </c>
      <c r="H21">
        <f t="shared" si="3"/>
        <v>0.54615198466110226</v>
      </c>
    </row>
    <row r="22" spans="1:8" x14ac:dyDescent="0.25">
      <c r="A22" t="s">
        <v>29</v>
      </c>
      <c r="B22" s="1">
        <v>39478186</v>
      </c>
      <c r="C22">
        <f>VLOOKUP(A22,LF!$A$4:$B$251,2,FALSE)</f>
        <v>50.900001525878899</v>
      </c>
      <c r="D22" s="1">
        <f t="shared" si="0"/>
        <v>20094397.276389312</v>
      </c>
      <c r="E22">
        <f>VLOOKUP(A22,UN!$A$4:$B$251,2,FALSE)</f>
        <v>22.5</v>
      </c>
      <c r="F22" s="1">
        <f t="shared" si="1"/>
        <v>4521239.3871875955</v>
      </c>
      <c r="G22" s="2">
        <f t="shared" si="2"/>
        <v>15573157.889201716</v>
      </c>
      <c r="H22">
        <f t="shared" si="3"/>
        <v>0.39447501182556149</v>
      </c>
    </row>
    <row r="23" spans="1:8" x14ac:dyDescent="0.25">
      <c r="A23" t="s">
        <v>30</v>
      </c>
      <c r="B23" s="1">
        <v>59442502</v>
      </c>
      <c r="C23">
        <f>VLOOKUP(A23,LF!$A$4:$B$251,2,FALSE)</f>
        <v>53</v>
      </c>
      <c r="D23" s="1">
        <f t="shared" si="0"/>
        <v>31504526.060000002</v>
      </c>
      <c r="E23">
        <f>VLOOKUP(A23,UN!$A$4:$B$251,2,FALSE)</f>
        <v>6.5999999046325701</v>
      </c>
      <c r="F23" s="1">
        <f t="shared" si="1"/>
        <v>2079298.6899149432</v>
      </c>
      <c r="G23" s="2">
        <f t="shared" si="2"/>
        <v>29425227.370085061</v>
      </c>
      <c r="H23">
        <f t="shared" si="3"/>
        <v>0.49502000050544742</v>
      </c>
    </row>
    <row r="24" spans="1:8" x14ac:dyDescent="0.25">
      <c r="A24" t="s">
        <v>31</v>
      </c>
      <c r="B24" s="1">
        <v>18311000</v>
      </c>
      <c r="C24">
        <f>VLOOKUP(A24,LF!$A$4:$B$251,2,FALSE)</f>
        <v>63.599998474121101</v>
      </c>
      <c r="D24" s="1">
        <f t="shared" si="0"/>
        <v>11645795.720596315</v>
      </c>
      <c r="E24">
        <f>VLOOKUP(A24,UN!$A$4:$B$251,2,FALSE)</f>
        <v>8.5</v>
      </c>
      <c r="F24" s="1">
        <f t="shared" si="1"/>
        <v>989892.63625068683</v>
      </c>
      <c r="G24" s="2">
        <f t="shared" si="2"/>
        <v>10655903.084345628</v>
      </c>
      <c r="H24">
        <f t="shared" si="3"/>
        <v>0.58193998603820807</v>
      </c>
    </row>
    <row r="25" spans="1:8" x14ac:dyDescent="0.25">
      <c r="A25" t="s">
        <v>36</v>
      </c>
      <c r="B25" s="1">
        <v>164392423</v>
      </c>
      <c r="C25">
        <f>VLOOKUP(A25,LF!$A$4:$B$251,2,FALSE)</f>
        <v>67.199996948242202</v>
      </c>
      <c r="D25" s="1">
        <f t="shared" si="0"/>
        <v>110471703.2391414</v>
      </c>
      <c r="E25">
        <f>VLOOKUP(A25,UN!$A$4:$B$251,2,FALSE)</f>
        <v>6.8000001907348597</v>
      </c>
      <c r="F25" s="1">
        <f t="shared" si="1"/>
        <v>7512076.0309696645</v>
      </c>
      <c r="G25" s="2">
        <f t="shared" si="2"/>
        <v>102959627.20817174</v>
      </c>
      <c r="H25">
        <f t="shared" si="3"/>
        <v>0.62630397027587903</v>
      </c>
    </row>
    <row r="26" spans="1:8" x14ac:dyDescent="0.25">
      <c r="A26" t="s">
        <v>46</v>
      </c>
      <c r="B26" s="1">
        <v>97201533</v>
      </c>
      <c r="C26">
        <f>VLOOKUP(A26,LF!$A$4:$B$251,2,FALSE)</f>
        <v>59.400001525878899</v>
      </c>
      <c r="D26" s="1">
        <f t="shared" si="0"/>
        <v>57737712.085177682</v>
      </c>
      <c r="E26">
        <f>VLOOKUP(A26,UN!$A$4:$B$251,2,FALSE)</f>
        <v>5.1999998092651403</v>
      </c>
      <c r="F26" s="1">
        <f t="shared" si="1"/>
        <v>3002360.9183032955</v>
      </c>
      <c r="G26" s="2">
        <f t="shared" si="2"/>
        <v>54735351.166874386</v>
      </c>
      <c r="H26">
        <f t="shared" si="3"/>
        <v>0.56311201559829704</v>
      </c>
    </row>
    <row r="27" spans="1:8" x14ac:dyDescent="0.25">
      <c r="A27" t="s">
        <v>76</v>
      </c>
      <c r="B27" s="1">
        <v>873246</v>
      </c>
      <c r="C27">
        <f>VLOOKUP(A27,LF!$A$4:$B$251,2,FALSE)</f>
        <v>56.700000762939503</v>
      </c>
      <c r="D27" s="1">
        <f t="shared" si="0"/>
        <v>495130.4886623387</v>
      </c>
      <c r="E27">
        <f>VLOOKUP(A27,UN!$A$4:$B$251,2,FALSE)</f>
        <v>4.3000001907348597</v>
      </c>
      <c r="F27" s="1">
        <f t="shared" si="1"/>
        <v>21290.611956867007</v>
      </c>
      <c r="G27" s="2">
        <f t="shared" si="2"/>
        <v>473839.87670547172</v>
      </c>
      <c r="H27">
        <f t="shared" si="3"/>
        <v>0.54261900621986436</v>
      </c>
    </row>
    <row r="28" spans="1:8" x14ac:dyDescent="0.25">
      <c r="A28" t="s">
        <v>100</v>
      </c>
      <c r="B28" s="1">
        <v>197097887</v>
      </c>
      <c r="C28">
        <f>VLOOKUP(A28,LF!$A$4:$B$251,2,FALSE)</f>
        <v>67.599998474121094</v>
      </c>
      <c r="D28" s="1">
        <f t="shared" si="0"/>
        <v>133238168.60452491</v>
      </c>
      <c r="E28">
        <f>VLOOKUP(A28,UN!$A$4:$B$251,2,FALSE)</f>
        <v>4.4000000953674299</v>
      </c>
      <c r="F28" s="1">
        <f t="shared" si="1"/>
        <v>5862479.545664913</v>
      </c>
      <c r="G28" s="2">
        <f t="shared" si="2"/>
        <v>127375689.05886</v>
      </c>
      <c r="H28">
        <f t="shared" si="3"/>
        <v>0.64625598476791379</v>
      </c>
    </row>
    <row r="29" spans="1:8" x14ac:dyDescent="0.25">
      <c r="A29" t="s">
        <v>102</v>
      </c>
      <c r="B29" s="1">
        <v>45525000</v>
      </c>
      <c r="C29">
        <f>VLOOKUP(A29,LF!$A$4:$B$251,2,FALSE)</f>
        <v>62.099998474121101</v>
      </c>
      <c r="D29" s="1">
        <f t="shared" si="0"/>
        <v>28271024.305343632</v>
      </c>
      <c r="E29">
        <f>VLOOKUP(A29,UN!$A$4:$B$251,2,FALSE)</f>
        <v>2</v>
      </c>
      <c r="F29" s="1">
        <f t="shared" si="1"/>
        <v>565420.48610687268</v>
      </c>
      <c r="G29" s="2">
        <f t="shared" si="2"/>
        <v>27705603.819236759</v>
      </c>
      <c r="H29">
        <f t="shared" si="3"/>
        <v>0.60857998504638677</v>
      </c>
    </row>
    <row r="30" spans="1:8" x14ac:dyDescent="0.25">
      <c r="A30" t="s">
        <v>189</v>
      </c>
      <c r="B30" s="1">
        <v>8362826</v>
      </c>
      <c r="C30">
        <f>VLOOKUP(A30,LF!$A$4:$B$251,2,FALSE)</f>
        <v>53.700000762939503</v>
      </c>
      <c r="D30" s="1">
        <f t="shared" si="0"/>
        <v>4490837.625803303</v>
      </c>
      <c r="E30">
        <f>VLOOKUP(A30,UN!$A$4:$B$251,2,FALSE)</f>
        <v>13.5</v>
      </c>
      <c r="F30" s="1">
        <f t="shared" si="1"/>
        <v>606263.07948344597</v>
      </c>
      <c r="G30" s="2">
        <f t="shared" si="2"/>
        <v>3884574.5463198572</v>
      </c>
      <c r="H30">
        <f t="shared" si="3"/>
        <v>0.46450500659942673</v>
      </c>
    </row>
    <row r="31" spans="1:8" x14ac:dyDescent="0.25">
      <c r="A31" t="s">
        <v>191</v>
      </c>
      <c r="B31" s="1">
        <v>147739000</v>
      </c>
      <c r="C31">
        <f>VLOOKUP(A31,LF!$A$4:$B$251,2,FALSE)</f>
        <v>59.400001525878899</v>
      </c>
      <c r="D31" s="1">
        <f t="shared" si="0"/>
        <v>87756968.254318222</v>
      </c>
      <c r="E31">
        <f>VLOOKUP(A31,UN!$A$4:$B$251,2,FALSE)</f>
        <v>9.6999998092651403</v>
      </c>
      <c r="F31" s="1">
        <f t="shared" si="1"/>
        <v>8512425.7532857377</v>
      </c>
      <c r="G31" s="2">
        <f t="shared" si="2"/>
        <v>79244542.501032487</v>
      </c>
      <c r="H31">
        <f t="shared" si="3"/>
        <v>0.53638201491165149</v>
      </c>
    </row>
    <row r="32" spans="1:8" x14ac:dyDescent="0.25">
      <c r="A32" t="s">
        <v>193</v>
      </c>
      <c r="B32" s="1">
        <v>1217550000</v>
      </c>
      <c r="C32">
        <f>VLOOKUP(A32,LF!$A$4:$B$251,2,FALSE)</f>
        <v>78.400001525878906</v>
      </c>
      <c r="D32" s="1">
        <f t="shared" si="0"/>
        <v>954559218.57833862</v>
      </c>
      <c r="E32">
        <f>VLOOKUP(A32,UN!$A$4:$B$251,2,FALSE)</f>
        <v>4.5999999046325701</v>
      </c>
      <c r="F32" s="1">
        <f t="shared" si="1"/>
        <v>43909723.144264981</v>
      </c>
      <c r="G32" s="2">
        <f t="shared" si="2"/>
        <v>910649495.43407369</v>
      </c>
      <c r="H32">
        <f t="shared" si="3"/>
        <v>0.74793601530456544</v>
      </c>
    </row>
    <row r="33" spans="1:8" x14ac:dyDescent="0.25">
      <c r="A33" t="s">
        <v>198</v>
      </c>
      <c r="B33" s="1">
        <v>10315241</v>
      </c>
      <c r="C33">
        <f>VLOOKUP(A33,LF!$A$4:$B$251,2,FALSE)</f>
        <v>61.099998474121101</v>
      </c>
      <c r="D33" s="1">
        <f t="shared" si="0"/>
        <v>6302612.0936019141</v>
      </c>
      <c r="E33">
        <f>VLOOKUP(A33,UN!$A$4:$B$251,2,FALSE)</f>
        <v>3.9000000953674299</v>
      </c>
      <c r="F33" s="1">
        <f t="shared" si="1"/>
        <v>245801.87766111383</v>
      </c>
      <c r="G33" s="2">
        <f t="shared" si="2"/>
        <v>6056810.2159408005</v>
      </c>
      <c r="H33">
        <f t="shared" si="3"/>
        <v>0.58717098475360885</v>
      </c>
    </row>
    <row r="34" spans="1:8" x14ac:dyDescent="0.25">
      <c r="A34" t="s">
        <v>199</v>
      </c>
      <c r="B34" s="1">
        <v>5373361</v>
      </c>
      <c r="C34">
        <f>VLOOKUP(A34,LF!$A$4:$B$251,2,FALSE)</f>
        <v>60.200000762939503</v>
      </c>
      <c r="D34" s="1">
        <f t="shared" si="0"/>
        <v>3234763.3629954937</v>
      </c>
      <c r="E34">
        <f>VLOOKUP(A34,UN!$A$4:$B$251,2,FALSE)</f>
        <v>11.300000190734901</v>
      </c>
      <c r="F34" s="1">
        <f t="shared" si="1"/>
        <v>365528.26618831349</v>
      </c>
      <c r="G34" s="2">
        <f t="shared" si="2"/>
        <v>2869235.09680718</v>
      </c>
      <c r="H34">
        <f t="shared" si="3"/>
        <v>0.53397400561904917</v>
      </c>
    </row>
    <row r="35" spans="1:8" x14ac:dyDescent="0.25">
      <c r="A35" t="s">
        <v>200</v>
      </c>
      <c r="B35" s="1">
        <v>1415594</v>
      </c>
      <c r="C35">
        <f>VLOOKUP(A35,LF!$A$4:$B$251,2,FALSE)</f>
        <v>61.400001525878899</v>
      </c>
      <c r="D35" s="1">
        <f t="shared" si="0"/>
        <v>869174.73760025017</v>
      </c>
      <c r="E35">
        <f>VLOOKUP(A35,UN!$A$4:$B$251,2,FALSE)</f>
        <v>9.8999996185302699</v>
      </c>
      <c r="F35" s="1">
        <f t="shared" si="1"/>
        <v>86048.295706786244</v>
      </c>
      <c r="G35" s="2">
        <f t="shared" si="2"/>
        <v>783126.44189346395</v>
      </c>
      <c r="H35">
        <f t="shared" si="3"/>
        <v>0.55321401609039311</v>
      </c>
    </row>
    <row r="36" spans="1:8" x14ac:dyDescent="0.25">
      <c r="A36" t="s">
        <v>201</v>
      </c>
      <c r="B36" s="1">
        <v>2457222</v>
      </c>
      <c r="C36">
        <f>VLOOKUP(A36,LF!$A$4:$B$251,2,FALSE)</f>
        <v>59.200000762939503</v>
      </c>
      <c r="D36" s="1">
        <f t="shared" si="0"/>
        <v>1454675.4427471173</v>
      </c>
      <c r="E36">
        <f>VLOOKUP(A36,UN!$A$4:$B$251,2,FALSE)</f>
        <v>12.3999996185303</v>
      </c>
      <c r="F36" s="1">
        <f t="shared" si="1"/>
        <v>180379.74935149649</v>
      </c>
      <c r="G36" s="2">
        <f t="shared" si="2"/>
        <v>1274295.6933956207</v>
      </c>
      <c r="H36">
        <f t="shared" si="3"/>
        <v>0.5185920089416507</v>
      </c>
    </row>
    <row r="37" spans="1:8" x14ac:dyDescent="0.25">
      <c r="A37" t="s">
        <v>204</v>
      </c>
      <c r="B37" s="1">
        <v>10311238</v>
      </c>
      <c r="C37">
        <f>VLOOKUP(A37,LF!$A$4:$B$251,2,FALSE)</f>
        <v>48.700000762939503</v>
      </c>
      <c r="D37" s="1">
        <f t="shared" si="0"/>
        <v>5021572.9846685082</v>
      </c>
      <c r="E37">
        <f>VLOOKUP(A37,UN!$A$4:$B$251,2,FALSE)</f>
        <v>9.8999996185302699</v>
      </c>
      <c r="F37" s="1">
        <f t="shared" si="1"/>
        <v>497135.70632640139</v>
      </c>
      <c r="G37" s="2">
        <f t="shared" si="2"/>
        <v>4524437.2783421064</v>
      </c>
      <c r="H37">
        <f t="shared" si="3"/>
        <v>0.43878700873184251</v>
      </c>
    </row>
    <row r="38" spans="1:8" x14ac:dyDescent="0.25">
      <c r="A38" t="s">
        <v>205</v>
      </c>
      <c r="B38" s="1">
        <v>3601613</v>
      </c>
      <c r="C38">
        <f>VLOOKUP(A38,LF!$A$4:$B$251,2,FALSE)</f>
        <v>62.299999237060497</v>
      </c>
      <c r="D38" s="1">
        <f t="shared" si="0"/>
        <v>2243804.8715218715</v>
      </c>
      <c r="E38">
        <f>VLOOKUP(A38,UN!$A$4:$B$251,2,FALSE)</f>
        <v>15.6000003814697</v>
      </c>
      <c r="F38" s="1">
        <f t="shared" si="1"/>
        <v>350033.56851684768</v>
      </c>
      <c r="G38" s="2">
        <f t="shared" si="2"/>
        <v>1893771.3030050239</v>
      </c>
      <c r="H38">
        <f t="shared" si="3"/>
        <v>0.52581199118423438</v>
      </c>
    </row>
    <row r="39" spans="1:8" x14ac:dyDescent="0.25">
      <c r="A39" t="s">
        <v>209</v>
      </c>
      <c r="B39" s="1">
        <v>1988628</v>
      </c>
      <c r="C39">
        <f>VLOOKUP(A39,LF!$A$4:$B$251,2,FALSE)</f>
        <v>57.599998474121101</v>
      </c>
      <c r="D39" s="1">
        <f t="shared" si="0"/>
        <v>1145449.6976559451</v>
      </c>
      <c r="E39">
        <f>VLOOKUP(A39,UN!$A$4:$B$251,2,FALSE)</f>
        <v>6.9000000953674299</v>
      </c>
      <c r="F39" s="1">
        <f t="shared" si="1"/>
        <v>79036.030230646153</v>
      </c>
      <c r="G39" s="2">
        <f t="shared" si="2"/>
        <v>1066413.6674252988</v>
      </c>
      <c r="H39">
        <f t="shared" si="3"/>
        <v>0.53625598524475104</v>
      </c>
    </row>
    <row r="40" spans="1:8" x14ac:dyDescent="0.25">
      <c r="A40" t="s">
        <v>212</v>
      </c>
      <c r="B40" s="1">
        <v>38624370</v>
      </c>
      <c r="C40">
        <f>VLOOKUP(A40,LF!$A$4:$B$251,2,FALSE)</f>
        <v>57.799999237060497</v>
      </c>
      <c r="D40" s="1">
        <f t="shared" si="0"/>
        <v>22324885.565319423</v>
      </c>
      <c r="E40">
        <f>VLOOKUP(A40,UN!$A$4:$B$251,2,FALSE)</f>
        <v>12.3999996185303</v>
      </c>
      <c r="F40" s="1">
        <f t="shared" si="1"/>
        <v>2768285.7249369342</v>
      </c>
      <c r="G40" s="2">
        <f t="shared" si="2"/>
        <v>19556599.840382487</v>
      </c>
      <c r="H40">
        <f t="shared" si="3"/>
        <v>0.50632799552154473</v>
      </c>
    </row>
    <row r="41" spans="1:8" x14ac:dyDescent="0.25">
      <c r="A41" t="s">
        <v>214</v>
      </c>
      <c r="B41" s="1">
        <v>22619004</v>
      </c>
      <c r="C41">
        <f>VLOOKUP(A41,LF!$A$4:$B$251,2,FALSE)</f>
        <v>64.5</v>
      </c>
      <c r="D41" s="1">
        <f t="shared" si="0"/>
        <v>14589257.58</v>
      </c>
      <c r="E41">
        <f>VLOOKUP(A41,UN!$A$4:$B$251,2,FALSE)</f>
        <v>6.6999998092651403</v>
      </c>
      <c r="F41" s="1">
        <f t="shared" si="1"/>
        <v>977480.23003320012</v>
      </c>
      <c r="G41" s="2">
        <f t="shared" si="2"/>
        <v>13611777.3499668</v>
      </c>
      <c r="H41">
        <f t="shared" si="3"/>
        <v>0.60178500123023981</v>
      </c>
    </row>
    <row r="42" spans="1:8" x14ac:dyDescent="0.25">
      <c r="A42" t="s">
        <v>216</v>
      </c>
      <c r="B42" s="1">
        <v>20000000</v>
      </c>
      <c r="D42" s="1">
        <f t="shared" si="0"/>
        <v>0</v>
      </c>
      <c r="F42" s="1">
        <f t="shared" si="1"/>
        <v>0</v>
      </c>
      <c r="G42" s="2">
        <f t="shared" si="2"/>
        <v>0</v>
      </c>
      <c r="H42">
        <f t="shared" si="3"/>
        <v>0</v>
      </c>
    </row>
    <row r="44" spans="1:8" x14ac:dyDescent="0.25">
      <c r="A44" s="3">
        <v>40</v>
      </c>
      <c r="B44" s="2">
        <f>SUM(B4:B42)</f>
        <v>2872267109</v>
      </c>
      <c r="C44" s="2"/>
      <c r="D44" s="2">
        <f t="shared" ref="C44:G44" si="4">SUM(D4:D42)</f>
        <v>1962487691.862999</v>
      </c>
      <c r="E44" s="2"/>
      <c r="F44" s="2">
        <f t="shared" si="4"/>
        <v>115676939.75514171</v>
      </c>
      <c r="G44" s="10">
        <f t="shared" si="4"/>
        <v>1846810752.1078572</v>
      </c>
      <c r="H44" s="7">
        <f>G44/B44</f>
        <v>0.64298015540443154</v>
      </c>
    </row>
    <row r="45" spans="1:8" x14ac:dyDescent="0.25">
      <c r="A45" s="3" t="s">
        <v>215</v>
      </c>
      <c r="B45" s="2">
        <f>B3-B44</f>
        <v>2907447285.8218403</v>
      </c>
      <c r="C45" s="2"/>
      <c r="D45" s="2">
        <f t="shared" ref="C45:G45" si="5">D3-D44</f>
        <v>1836746645.1865296</v>
      </c>
      <c r="E45" s="2"/>
      <c r="F45" s="2">
        <f t="shared" si="5"/>
        <v>117683897.20367217</v>
      </c>
      <c r="G45" s="10">
        <f t="shared" si="5"/>
        <v>1719062747.9828577</v>
      </c>
      <c r="H45" s="7">
        <f>G45/B45</f>
        <v>0.59126187991984003</v>
      </c>
    </row>
    <row r="46" spans="1:8" x14ac:dyDescent="0.25">
      <c r="G46" s="9"/>
    </row>
    <row r="47" spans="1:8" x14ac:dyDescent="0.25">
      <c r="A47" s="3" t="s">
        <v>217</v>
      </c>
      <c r="B47" s="8">
        <v>1193794454.012574</v>
      </c>
      <c r="C47" s="9"/>
      <c r="D47" s="9"/>
      <c r="E47" s="9"/>
      <c r="G47" s="9"/>
    </row>
    <row r="48" spans="1:8" x14ac:dyDescent="0.25">
      <c r="B48" s="4">
        <f>B47/B45</f>
        <v>0.41059883005759373</v>
      </c>
      <c r="E48" s="9"/>
      <c r="G48" s="9"/>
    </row>
    <row r="49" spans="1:1400" x14ac:dyDescent="0.25">
      <c r="B49" s="4"/>
      <c r="E49" s="9"/>
      <c r="G49" s="9"/>
    </row>
    <row r="50" spans="1:1400" x14ac:dyDescent="0.25">
      <c r="A50" t="s">
        <v>218</v>
      </c>
      <c r="B50" s="2">
        <f>A58</f>
        <v>1829453488.959672</v>
      </c>
      <c r="E50" s="9"/>
      <c r="G50" s="9"/>
    </row>
    <row r="51" spans="1:1400" ht="15.75" thickBot="1" x14ac:dyDescent="0.3">
      <c r="B51" s="4">
        <f>B50/B44</f>
        <v>0.63693710213344645</v>
      </c>
      <c r="E51" s="9"/>
      <c r="G51" s="9"/>
    </row>
    <row r="52" spans="1:1400" x14ac:dyDescent="0.25">
      <c r="A52" s="11" t="s">
        <v>262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3"/>
    </row>
    <row r="53" spans="1:1400" x14ac:dyDescent="0.25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6"/>
    </row>
    <row r="54" spans="1:1400" ht="15.75" thickBot="1" x14ac:dyDescent="0.3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9"/>
    </row>
    <row r="57" spans="1:1400" x14ac:dyDescent="0.25">
      <c r="A57">
        <v>421880</v>
      </c>
      <c r="B57">
        <v>86150</v>
      </c>
      <c r="C57">
        <v>176500</v>
      </c>
      <c r="D57">
        <v>89550</v>
      </c>
      <c r="E57">
        <v>15500</v>
      </c>
      <c r="F57">
        <v>44625</v>
      </c>
      <c r="G57">
        <v>139925</v>
      </c>
      <c r="H57">
        <v>7750</v>
      </c>
      <c r="I57">
        <v>57025</v>
      </c>
      <c r="J57">
        <v>42575</v>
      </c>
      <c r="K57">
        <v>47625</v>
      </c>
      <c r="L57">
        <v>186600</v>
      </c>
      <c r="M57">
        <v>82700</v>
      </c>
      <c r="N57">
        <v>60825</v>
      </c>
      <c r="O57">
        <v>104250</v>
      </c>
      <c r="P57">
        <v>73725</v>
      </c>
      <c r="Q57">
        <v>66450</v>
      </c>
      <c r="R57">
        <v>585670</v>
      </c>
      <c r="S57">
        <v>289900</v>
      </c>
      <c r="T57">
        <v>451780.00000000006</v>
      </c>
      <c r="U57">
        <v>986870</v>
      </c>
      <c r="V57">
        <v>397950</v>
      </c>
      <c r="W57">
        <v>246625</v>
      </c>
      <c r="X57">
        <v>11625</v>
      </c>
      <c r="Y57">
        <v>48875</v>
      </c>
      <c r="Z57">
        <v>89675</v>
      </c>
      <c r="AA57">
        <v>163950.00000000003</v>
      </c>
      <c r="AB57">
        <v>317825</v>
      </c>
      <c r="AC57">
        <v>93000</v>
      </c>
      <c r="AD57">
        <v>736235</v>
      </c>
      <c r="AE57">
        <v>367600</v>
      </c>
      <c r="AF57">
        <v>582020</v>
      </c>
      <c r="AG57">
        <v>771000</v>
      </c>
      <c r="AH57">
        <v>510295</v>
      </c>
      <c r="AI57">
        <v>0</v>
      </c>
      <c r="AJ57">
        <v>336960</v>
      </c>
      <c r="AK57">
        <v>8452.9999999999982</v>
      </c>
      <c r="AL57">
        <v>89592.000000000029</v>
      </c>
      <c r="AM57">
        <v>40238.999999999993</v>
      </c>
      <c r="AN57">
        <v>7752.9999999999991</v>
      </c>
      <c r="AO57">
        <v>39535.999999999993</v>
      </c>
      <c r="AP57">
        <v>54280.999999999985</v>
      </c>
      <c r="AQ57">
        <v>2861.9999999999991</v>
      </c>
      <c r="AR57">
        <v>28257.999999999996</v>
      </c>
      <c r="AS57">
        <v>28113.000000000004</v>
      </c>
      <c r="AT57">
        <v>37835.999999999993</v>
      </c>
      <c r="AU57">
        <v>101661</v>
      </c>
      <c r="AV57">
        <v>78160</v>
      </c>
      <c r="AW57">
        <v>81663.999999999985</v>
      </c>
      <c r="AX57">
        <v>30598.000000000011</v>
      </c>
      <c r="AY57">
        <v>56729</v>
      </c>
      <c r="AZ57">
        <v>34464.999999999993</v>
      </c>
      <c r="BA57">
        <v>292916</v>
      </c>
      <c r="BB57">
        <v>82345.000000000015</v>
      </c>
      <c r="BC57">
        <v>191921.99999999997</v>
      </c>
      <c r="BD57">
        <v>294351</v>
      </c>
      <c r="BE57">
        <v>202680.99999999997</v>
      </c>
      <c r="BF57">
        <v>144993</v>
      </c>
      <c r="BG57">
        <v>476.00000000000011</v>
      </c>
      <c r="BH57">
        <v>6823</v>
      </c>
      <c r="BI57">
        <v>32479</v>
      </c>
      <c r="BJ57">
        <v>63958.000000000007</v>
      </c>
      <c r="BK57">
        <v>120854</v>
      </c>
      <c r="BL57">
        <v>49926.000000000007</v>
      </c>
      <c r="BM57">
        <v>227926.99999999997</v>
      </c>
      <c r="BN57">
        <v>259146.00000000003</v>
      </c>
      <c r="BO57">
        <v>221765</v>
      </c>
      <c r="BP57">
        <v>299263.00000000006</v>
      </c>
      <c r="BQ57">
        <v>188950.00000000003</v>
      </c>
      <c r="BR57">
        <v>7672.0000000000009</v>
      </c>
      <c r="BS57">
        <v>93298</v>
      </c>
      <c r="BT57">
        <v>4137</v>
      </c>
      <c r="BU57">
        <v>99996.000000000015</v>
      </c>
      <c r="BV57">
        <v>62232</v>
      </c>
      <c r="BW57">
        <v>3819</v>
      </c>
      <c r="BX57">
        <v>13986</v>
      </c>
      <c r="BY57">
        <v>51927</v>
      </c>
      <c r="BZ57">
        <v>6055</v>
      </c>
      <c r="CA57">
        <v>70147</v>
      </c>
      <c r="CB57">
        <v>23822</v>
      </c>
      <c r="CC57">
        <v>35602.999999999993</v>
      </c>
      <c r="CD57">
        <v>108972.00000000001</v>
      </c>
      <c r="CE57">
        <v>43402</v>
      </c>
      <c r="CF57">
        <v>56388</v>
      </c>
      <c r="CG57">
        <v>62934.000000000007</v>
      </c>
      <c r="CH57">
        <v>34152</v>
      </c>
      <c r="CI57">
        <v>28148.000000000004</v>
      </c>
      <c r="CJ57">
        <v>235059.00000000003</v>
      </c>
      <c r="CK57">
        <v>73323.000000000015</v>
      </c>
      <c r="CL57">
        <v>202290.00000000003</v>
      </c>
      <c r="CM57">
        <v>295169</v>
      </c>
      <c r="CN57">
        <v>146022</v>
      </c>
      <c r="CO57">
        <v>115121.00000000001</v>
      </c>
      <c r="CP57">
        <v>7044</v>
      </c>
      <c r="CQ57">
        <v>12565.999999999998</v>
      </c>
      <c r="CR57">
        <v>61813</v>
      </c>
      <c r="CS57">
        <v>81723</v>
      </c>
      <c r="CT57">
        <v>143834.99999999997</v>
      </c>
      <c r="CU57">
        <v>19774</v>
      </c>
      <c r="CV57">
        <v>446622.00000000006</v>
      </c>
      <c r="CW57">
        <v>369880</v>
      </c>
      <c r="CX57">
        <v>314771</v>
      </c>
      <c r="CY57">
        <v>354222</v>
      </c>
      <c r="CZ57">
        <v>140571</v>
      </c>
      <c r="DA57">
        <v>58779</v>
      </c>
      <c r="DB57">
        <v>825600</v>
      </c>
      <c r="DC57">
        <v>49243.955321944813</v>
      </c>
      <c r="DD57">
        <v>148836.92027887239</v>
      </c>
      <c r="DE57">
        <v>191812.67050621402</v>
      </c>
      <c r="DF57">
        <v>26829.493785995764</v>
      </c>
      <c r="DG57">
        <v>25008.48742043044</v>
      </c>
      <c r="DH57">
        <v>33263.7162776599</v>
      </c>
      <c r="DI57">
        <v>12747.044558957261</v>
      </c>
      <c r="DJ57">
        <v>41761.745983631394</v>
      </c>
      <c r="DK57">
        <v>22094.877235525921</v>
      </c>
      <c r="DL57">
        <v>32535.313731433773</v>
      </c>
      <c r="DM57">
        <v>74539.860563807204</v>
      </c>
      <c r="DN57">
        <v>98091.542891785386</v>
      </c>
      <c r="DO57">
        <v>43825.553197938774</v>
      </c>
      <c r="DP57">
        <v>16510.457714458928</v>
      </c>
      <c r="DQ57">
        <v>33263.7162776599</v>
      </c>
      <c r="DR57">
        <v>73805.13797634693</v>
      </c>
      <c r="DS57">
        <v>162800</v>
      </c>
      <c r="DT57">
        <v>35474.67278722761</v>
      </c>
      <c r="DU57">
        <v>285721.72475950426</v>
      </c>
      <c r="DV57">
        <v>69015.941601109036</v>
      </c>
      <c r="DW57">
        <v>103982.08464398055</v>
      </c>
      <c r="DX57">
        <v>69118.038164932572</v>
      </c>
      <c r="DY57">
        <v>34317.751893617256</v>
      </c>
      <c r="DZ57">
        <v>21241.56207853552</v>
      </c>
      <c r="EA57">
        <v>42285.802892723055</v>
      </c>
      <c r="EB57">
        <v>49640.776911855864</v>
      </c>
      <c r="EC57">
        <v>32472.715489306545</v>
      </c>
      <c r="ED57">
        <v>87397.883390686213</v>
      </c>
      <c r="EE57">
        <v>17118.124386371452</v>
      </c>
      <c r="EF57">
        <v>300551.0157692855</v>
      </c>
      <c r="EG57">
        <v>264058.13325756503</v>
      </c>
      <c r="EH57">
        <v>180767.06918596389</v>
      </c>
      <c r="EI57">
        <v>108023.7817871857</v>
      </c>
      <c r="EJ57">
        <v>0</v>
      </c>
      <c r="EK57">
        <v>17709273.064506955</v>
      </c>
      <c r="EL57">
        <v>232345.39618729061</v>
      </c>
      <c r="EM57">
        <v>1593077.3615112295</v>
      </c>
      <c r="EN57">
        <v>2361588.8537508687</v>
      </c>
      <c r="EO57">
        <v>446251.25193046214</v>
      </c>
      <c r="EP57">
        <v>434754.34511263622</v>
      </c>
      <c r="EQ57">
        <v>554162.03273349442</v>
      </c>
      <c r="ER57">
        <v>76628.228858009359</v>
      </c>
      <c r="ES57">
        <v>467928.45776630583</v>
      </c>
      <c r="ET57">
        <v>272945.04069468321</v>
      </c>
      <c r="EU57">
        <v>471579.10323735664</v>
      </c>
      <c r="EV57">
        <v>732530.18803211197</v>
      </c>
      <c r="EW57">
        <v>371486.89074164716</v>
      </c>
      <c r="EX57">
        <v>346932.05285187985</v>
      </c>
      <c r="EY57">
        <v>330928.10297106474</v>
      </c>
      <c r="EZ57">
        <v>743343.20567648427</v>
      </c>
      <c r="FA57">
        <v>328212.40007666952</v>
      </c>
      <c r="FB57">
        <v>4527756.5920733232</v>
      </c>
      <c r="FC57">
        <v>1511844.1638783882</v>
      </c>
      <c r="FD57">
        <v>1581270.9926697158</v>
      </c>
      <c r="FE57">
        <v>7689739.8837295612</v>
      </c>
      <c r="FF57">
        <v>2706595.3302137298</v>
      </c>
      <c r="FG57">
        <v>2018458.2713598355</v>
      </c>
      <c r="FH57">
        <v>33314.397262956278</v>
      </c>
      <c r="FI57">
        <v>73132.531354483828</v>
      </c>
      <c r="FJ57">
        <v>516919.19540568674</v>
      </c>
      <c r="FK57">
        <v>263728.02517855371</v>
      </c>
      <c r="FL57">
        <v>849643.17109077412</v>
      </c>
      <c r="FM57">
        <v>580651.95073060144</v>
      </c>
      <c r="FN57">
        <v>4936498.0447387127</v>
      </c>
      <c r="FO57">
        <v>3377812.6762076174</v>
      </c>
      <c r="FP57">
        <v>3512739.7246352695</v>
      </c>
      <c r="FQ57">
        <v>2123369.2815821292</v>
      </c>
      <c r="FR57">
        <v>8208205.1923598647</v>
      </c>
      <c r="FS57">
        <v>0</v>
      </c>
      <c r="FT57">
        <v>531097.9565525403</v>
      </c>
      <c r="FU57">
        <v>148874.7587664634</v>
      </c>
      <c r="FV57">
        <v>262048.45910745137</v>
      </c>
      <c r="FW57">
        <v>136960.51260591121</v>
      </c>
      <c r="FX57">
        <v>12536.972656499645</v>
      </c>
      <c r="FY57">
        <v>134530.08014110435</v>
      </c>
      <c r="FZ57">
        <v>273829.39430090325</v>
      </c>
      <c r="GA57">
        <v>13187.336255054333</v>
      </c>
      <c r="GB57">
        <v>99879.68161906254</v>
      </c>
      <c r="GC57">
        <v>96410.818036140554</v>
      </c>
      <c r="GD57">
        <v>51061.911164852587</v>
      </c>
      <c r="GE57">
        <v>238671.58602882811</v>
      </c>
      <c r="GF57">
        <v>137548.65135622519</v>
      </c>
      <c r="GG57">
        <v>121132.33522664661</v>
      </c>
      <c r="GH57">
        <v>225038.29973373932</v>
      </c>
      <c r="GI57">
        <v>130340.20469596879</v>
      </c>
      <c r="GJ57">
        <v>95989.351409817566</v>
      </c>
      <c r="GK57">
        <v>860410.00492974545</v>
      </c>
      <c r="GL57">
        <v>117977.69432948783</v>
      </c>
      <c r="GM57">
        <v>723203.47436650889</v>
      </c>
      <c r="GN57">
        <v>1661196.9578475174</v>
      </c>
      <c r="GO57">
        <v>912416.37165050069</v>
      </c>
      <c r="GP57">
        <v>331726.4690734389</v>
      </c>
      <c r="GQ57">
        <v>20097.84868742968</v>
      </c>
      <c r="GR57">
        <v>80671.309076841702</v>
      </c>
      <c r="GS57">
        <v>108102.91313489336</v>
      </c>
      <c r="GT57">
        <v>251155.2323751786</v>
      </c>
      <c r="GU57">
        <v>623426.85167105391</v>
      </c>
      <c r="GV57">
        <v>79343.246869944589</v>
      </c>
      <c r="GW57">
        <v>792492.4322506988</v>
      </c>
      <c r="GX57">
        <v>1061180.8638648361</v>
      </c>
      <c r="GY57">
        <v>885665.99949847895</v>
      </c>
      <c r="GZ57">
        <v>1120087.6716655337</v>
      </c>
      <c r="HA57">
        <v>1192632.0791664636</v>
      </c>
      <c r="HB57">
        <v>208296.43311658461</v>
      </c>
      <c r="HC57">
        <v>348200000</v>
      </c>
      <c r="HD57">
        <v>12848811.439083004</v>
      </c>
      <c r="HE57">
        <v>10948554.961473867</v>
      </c>
      <c r="HF57">
        <v>15538965.178568276</v>
      </c>
      <c r="HG57">
        <v>2624103.3604317219</v>
      </c>
      <c r="HH57">
        <v>3692936.3179113222</v>
      </c>
      <c r="HI57">
        <v>4849211.6154891541</v>
      </c>
      <c r="HJ57">
        <v>925276.87394972099</v>
      </c>
      <c r="HK57">
        <v>7632792.3842513431</v>
      </c>
      <c r="HL57">
        <v>5182087.4199529151</v>
      </c>
      <c r="HM57">
        <v>14269093.122545391</v>
      </c>
      <c r="HN57">
        <v>10358801.447271472</v>
      </c>
      <c r="HO57">
        <v>10040753.898364432</v>
      </c>
      <c r="HP57">
        <v>7050089.8189350683</v>
      </c>
      <c r="HQ57">
        <v>4775987.6559683466</v>
      </c>
      <c r="HR57">
        <v>10140993.659715306</v>
      </c>
      <c r="HS57">
        <v>2815627.915447562</v>
      </c>
      <c r="HT57">
        <v>38335912.9306411</v>
      </c>
      <c r="HV57">
        <v>11206397.817940503</v>
      </c>
      <c r="HW57">
        <v>30143328.214483496</v>
      </c>
      <c r="HX57">
        <v>11330865.094755413</v>
      </c>
      <c r="HY57">
        <v>14225149.730216125</v>
      </c>
      <c r="HZ57">
        <v>1870200.2029507582</v>
      </c>
      <c r="IA57">
        <v>587869.49384635093</v>
      </c>
      <c r="IB57">
        <v>2202895.5758418222</v>
      </c>
      <c r="IC57">
        <v>4622204.6466710353</v>
      </c>
      <c r="ID57">
        <v>3321527.0418452872</v>
      </c>
      <c r="IE57">
        <v>955507.77916097234</v>
      </c>
      <c r="IF57">
        <v>3549028.8940264713</v>
      </c>
      <c r="IG57">
        <v>12432976.221701736</v>
      </c>
      <c r="IH57">
        <v>17210515.117506597</v>
      </c>
      <c r="II57">
        <v>5209792.4149491144</v>
      </c>
      <c r="IJ57">
        <v>60401741.754104309</v>
      </c>
      <c r="IL57">
        <v>21200.000000000004</v>
      </c>
      <c r="IM57">
        <v>700</v>
      </c>
      <c r="IN57">
        <v>9790.8176209874964</v>
      </c>
      <c r="IO57">
        <v>9254.8936069764204</v>
      </c>
      <c r="IP57">
        <v>1547.6868715427797</v>
      </c>
      <c r="IQ57">
        <v>2774.4145100992478</v>
      </c>
      <c r="IR57">
        <v>2894.6932633049946</v>
      </c>
      <c r="IS57">
        <v>130.3063900558173</v>
      </c>
      <c r="IT57">
        <v>1141.2186460196601</v>
      </c>
      <c r="IU57">
        <v>1683.5581077351142</v>
      </c>
      <c r="IV57">
        <v>2794.6946319480671</v>
      </c>
      <c r="IW57">
        <v>3405.2032705247734</v>
      </c>
      <c r="IX57">
        <v>1382.825673928055</v>
      </c>
      <c r="IY57">
        <v>703.94217497868829</v>
      </c>
      <c r="IZ57">
        <v>569.56561638295011</v>
      </c>
      <c r="JA57">
        <v>4426.1796155159309</v>
      </c>
      <c r="JB57">
        <v>1400</v>
      </c>
      <c r="JC57">
        <v>27500</v>
      </c>
      <c r="JD57">
        <v>8566.268360119655</v>
      </c>
      <c r="JE57">
        <v>14940.553706282255</v>
      </c>
      <c r="JF57">
        <v>29193.17793359809</v>
      </c>
      <c r="JG57">
        <v>31700.000000000004</v>
      </c>
      <c r="JH57">
        <v>5826.4125911353358</v>
      </c>
      <c r="JI57">
        <v>1875.4642296888182</v>
      </c>
      <c r="JJ57">
        <v>2724.8336870106973</v>
      </c>
      <c r="JK57">
        <v>6543.168811742019</v>
      </c>
      <c r="JL57">
        <v>2230.1206804231292</v>
      </c>
      <c r="JM57">
        <v>13300</v>
      </c>
      <c r="JN57">
        <v>2110.0739845619669</v>
      </c>
      <c r="JO57">
        <v>11689.926015438034</v>
      </c>
      <c r="JP57">
        <v>27000</v>
      </c>
      <c r="JQ57">
        <v>15600</v>
      </c>
      <c r="JR57">
        <v>11100</v>
      </c>
      <c r="JS57">
        <v>15000</v>
      </c>
      <c r="JT57">
        <v>5000</v>
      </c>
      <c r="JU57">
        <v>318142</v>
      </c>
      <c r="JV57">
        <v>94669.000000000015</v>
      </c>
      <c r="JW57">
        <v>172299</v>
      </c>
      <c r="JX57">
        <v>153777</v>
      </c>
      <c r="JY57">
        <v>32204</v>
      </c>
      <c r="JZ57">
        <v>72627</v>
      </c>
      <c r="KA57">
        <v>64961</v>
      </c>
      <c r="KB57">
        <v>12205</v>
      </c>
      <c r="KC57">
        <v>46792</v>
      </c>
      <c r="KD57">
        <v>45296</v>
      </c>
      <c r="KE57">
        <v>90604.000000000015</v>
      </c>
      <c r="KF57">
        <v>264135</v>
      </c>
      <c r="KG57">
        <v>183444.00000000003</v>
      </c>
      <c r="KH57">
        <v>142718.00000000003</v>
      </c>
      <c r="KI57">
        <v>94292</v>
      </c>
      <c r="KJ57">
        <v>83074</v>
      </c>
      <c r="KK57">
        <v>82066</v>
      </c>
      <c r="KL57">
        <v>507652.00000000006</v>
      </c>
      <c r="KM57">
        <v>75775</v>
      </c>
      <c r="KN57">
        <v>260138.00000000003</v>
      </c>
      <c r="KO57">
        <v>413284</v>
      </c>
      <c r="KP57">
        <v>153950</v>
      </c>
      <c r="KQ57">
        <v>232767</v>
      </c>
      <c r="KR57">
        <v>3639.0000000000005</v>
      </c>
      <c r="KS57">
        <v>5413.0000000000009</v>
      </c>
      <c r="KT57">
        <v>36094</v>
      </c>
      <c r="KU57">
        <v>78322</v>
      </c>
      <c r="KV57">
        <v>86149</v>
      </c>
      <c r="KW57">
        <v>59626.000000000007</v>
      </c>
      <c r="KX57">
        <v>335004</v>
      </c>
      <c r="KY57">
        <v>289204</v>
      </c>
      <c r="KZ57">
        <v>271123.99999999994</v>
      </c>
      <c r="LA57">
        <v>268128.00000000006</v>
      </c>
      <c r="LB57">
        <v>164841</v>
      </c>
      <c r="LC57">
        <v>749</v>
      </c>
      <c r="LD57">
        <v>971000</v>
      </c>
      <c r="LE57">
        <v>179000.00000000003</v>
      </c>
      <c r="LF57">
        <v>904999.99999999988</v>
      </c>
      <c r="LG57">
        <v>306000</v>
      </c>
      <c r="LH57">
        <v>40000</v>
      </c>
      <c r="LI57">
        <v>237000</v>
      </c>
      <c r="LJ57">
        <v>759000</v>
      </c>
      <c r="LK57">
        <v>23000</v>
      </c>
      <c r="LL57">
        <v>551000</v>
      </c>
      <c r="LM57">
        <v>397000</v>
      </c>
      <c r="LN57">
        <v>334000</v>
      </c>
      <c r="LO57">
        <v>1171000</v>
      </c>
      <c r="LP57">
        <v>1127000</v>
      </c>
      <c r="LQ57">
        <v>1105000</v>
      </c>
      <c r="LR57">
        <v>889000</v>
      </c>
      <c r="LS57">
        <v>372000</v>
      </c>
      <c r="LT57">
        <v>356000</v>
      </c>
      <c r="LU57">
        <v>3135000</v>
      </c>
      <c r="LV57">
        <v>787999.99999999988</v>
      </c>
      <c r="LW57">
        <v>1719000</v>
      </c>
      <c r="LX57">
        <v>3294000</v>
      </c>
      <c r="LY57">
        <v>1386000</v>
      </c>
      <c r="LZ57">
        <v>1000000</v>
      </c>
      <c r="MA57">
        <v>26000</v>
      </c>
      <c r="MB57">
        <v>46000</v>
      </c>
      <c r="MC57">
        <v>446000</v>
      </c>
      <c r="MD57">
        <v>595000</v>
      </c>
      <c r="ME57">
        <v>1244000</v>
      </c>
      <c r="MF57">
        <v>346000</v>
      </c>
      <c r="MG57">
        <v>3020000</v>
      </c>
      <c r="MH57">
        <v>3013999.9999999995</v>
      </c>
      <c r="MI57">
        <v>2040999.9999999998</v>
      </c>
      <c r="MJ57">
        <v>3344999.9999999995</v>
      </c>
      <c r="MK57">
        <v>1746000</v>
      </c>
      <c r="ML57">
        <v>585000</v>
      </c>
      <c r="MM57">
        <v>108343</v>
      </c>
      <c r="MN57">
        <v>3486</v>
      </c>
      <c r="MO57">
        <v>85487</v>
      </c>
      <c r="MP57">
        <v>17853</v>
      </c>
      <c r="MQ57">
        <v>1481</v>
      </c>
      <c r="MR57">
        <v>15253</v>
      </c>
      <c r="MS57">
        <v>52641.999999999993</v>
      </c>
      <c r="MT57">
        <v>807</v>
      </c>
      <c r="MU57">
        <v>25891</v>
      </c>
      <c r="MV57">
        <v>20516</v>
      </c>
      <c r="MW57">
        <v>19592</v>
      </c>
      <c r="MX57">
        <v>56611</v>
      </c>
      <c r="MY57">
        <v>71007</v>
      </c>
      <c r="MZ57">
        <v>44152</v>
      </c>
      <c r="NA57">
        <v>21775</v>
      </c>
      <c r="NB57">
        <v>32311.999999999996</v>
      </c>
      <c r="NC57">
        <v>16897</v>
      </c>
      <c r="ND57">
        <v>147803</v>
      </c>
      <c r="NE57">
        <v>61921.000000000007</v>
      </c>
      <c r="NF57">
        <v>163704</v>
      </c>
      <c r="NG57">
        <v>184497</v>
      </c>
      <c r="NH57">
        <v>75773</v>
      </c>
      <c r="NI57">
        <v>72194</v>
      </c>
      <c r="NJ57">
        <v>18578</v>
      </c>
      <c r="NK57">
        <v>7811</v>
      </c>
      <c r="NL57">
        <v>28476</v>
      </c>
      <c r="NM57">
        <v>46773</v>
      </c>
      <c r="NN57">
        <v>78886.999999999985</v>
      </c>
      <c r="NO57">
        <v>31731</v>
      </c>
      <c r="NP57">
        <v>182494</v>
      </c>
      <c r="NQ57">
        <v>168065</v>
      </c>
      <c r="NR57">
        <v>182882</v>
      </c>
      <c r="NS57">
        <v>412933</v>
      </c>
      <c r="NT57">
        <v>113777.99999999999</v>
      </c>
      <c r="NU57">
        <v>11711</v>
      </c>
      <c r="NV57">
        <v>1072588</v>
      </c>
      <c r="NW57">
        <v>48019.999999999985</v>
      </c>
      <c r="NX57">
        <v>400507.00000000006</v>
      </c>
      <c r="NY57">
        <v>239102</v>
      </c>
      <c r="NZ57">
        <v>82418</v>
      </c>
      <c r="OA57">
        <v>92566.000000000044</v>
      </c>
      <c r="OB57">
        <v>179770.00000000003</v>
      </c>
      <c r="OC57">
        <v>8245.9999999999964</v>
      </c>
      <c r="OD57">
        <v>137334</v>
      </c>
      <c r="OE57">
        <v>93885.999999999985</v>
      </c>
      <c r="OF57">
        <v>158830.0000274932</v>
      </c>
      <c r="OG57">
        <v>342668.00000000006</v>
      </c>
      <c r="OH57">
        <v>157189.00000000003</v>
      </c>
      <c r="OI57">
        <v>166295.0000265461</v>
      </c>
      <c r="OJ57">
        <v>242536.00002633841</v>
      </c>
      <c r="OK57">
        <v>198208.00000000003</v>
      </c>
      <c r="OL57">
        <v>78159.000006840317</v>
      </c>
      <c r="OM57">
        <v>1337385.0000000002</v>
      </c>
      <c r="ON57">
        <v>289607</v>
      </c>
      <c r="OO57">
        <v>481077.99997357646</v>
      </c>
      <c r="OP57">
        <v>1347470.9999999998</v>
      </c>
      <c r="OQ57">
        <v>817158</v>
      </c>
      <c r="OR57">
        <v>450959</v>
      </c>
      <c r="OS57">
        <v>11452.000021201848</v>
      </c>
      <c r="OT57">
        <v>28261.000000000007</v>
      </c>
      <c r="OU57">
        <v>109274.00001668216</v>
      </c>
      <c r="OV57">
        <v>189805</v>
      </c>
      <c r="OW57">
        <v>348630</v>
      </c>
      <c r="OX57">
        <v>76119</v>
      </c>
      <c r="OY57">
        <v>859543.00000000012</v>
      </c>
      <c r="OZ57">
        <v>1129022.9999999998</v>
      </c>
      <c r="PA57">
        <v>741946</v>
      </c>
      <c r="PB57">
        <v>760467.000034453</v>
      </c>
      <c r="PC57">
        <v>1119499.000058824</v>
      </c>
      <c r="PD57">
        <v>0</v>
      </c>
      <c r="PE57">
        <v>60200</v>
      </c>
      <c r="PF57">
        <v>8800</v>
      </c>
      <c r="PG57">
        <v>28900</v>
      </c>
      <c r="PH57">
        <v>26599.999999999996</v>
      </c>
      <c r="PI57">
        <v>3100</v>
      </c>
      <c r="PJ57">
        <v>17300</v>
      </c>
      <c r="PK57">
        <v>5900</v>
      </c>
      <c r="PL57">
        <v>3337.3012048192772</v>
      </c>
      <c r="PM57">
        <v>4862.6987951807232</v>
      </c>
      <c r="PN57">
        <v>2200</v>
      </c>
      <c r="PO57">
        <v>7200</v>
      </c>
      <c r="PP57">
        <v>5800</v>
      </c>
      <c r="PQ57">
        <v>9300</v>
      </c>
      <c r="PR57">
        <v>7700</v>
      </c>
      <c r="PS57">
        <v>7800.0000000000009</v>
      </c>
      <c r="PT57">
        <v>18400</v>
      </c>
      <c r="PU57">
        <v>15700.000000000002</v>
      </c>
      <c r="PV57">
        <v>35500</v>
      </c>
      <c r="PW57">
        <v>13600</v>
      </c>
      <c r="PX57">
        <v>21000</v>
      </c>
      <c r="PY57">
        <v>47900</v>
      </c>
      <c r="PZ57">
        <v>17000</v>
      </c>
      <c r="QA57">
        <v>26598.119467588134</v>
      </c>
      <c r="QB57">
        <v>5005.2733954117357</v>
      </c>
      <c r="QC57">
        <v>1479.921239033833</v>
      </c>
      <c r="QD57">
        <v>17116.685897966297</v>
      </c>
      <c r="QE57">
        <v>11700.000000000002</v>
      </c>
      <c r="QF57">
        <v>6300</v>
      </c>
      <c r="QG57">
        <v>8388.235294117645</v>
      </c>
      <c r="QH57">
        <v>22611.76470588235</v>
      </c>
      <c r="QI57">
        <v>33700</v>
      </c>
      <c r="QJ57">
        <v>54100</v>
      </c>
      <c r="QK57">
        <v>35000</v>
      </c>
      <c r="QL57">
        <v>29200</v>
      </c>
      <c r="QM57">
        <v>0</v>
      </c>
      <c r="QN57">
        <v>152100</v>
      </c>
      <c r="QO57">
        <v>5500</v>
      </c>
      <c r="QP57">
        <v>45500</v>
      </c>
      <c r="QQ57">
        <v>17000</v>
      </c>
      <c r="QR57">
        <v>3500</v>
      </c>
      <c r="QS57">
        <v>28600</v>
      </c>
      <c r="QT57">
        <v>71500</v>
      </c>
      <c r="QU57">
        <v>3400</v>
      </c>
      <c r="QV57">
        <v>18600</v>
      </c>
      <c r="QW57">
        <v>14200</v>
      </c>
      <c r="QX57">
        <v>13500.000000000002</v>
      </c>
      <c r="QY57">
        <v>48000</v>
      </c>
      <c r="QZ57">
        <v>58900</v>
      </c>
      <c r="RA57">
        <v>53900</v>
      </c>
      <c r="RB57">
        <v>23600</v>
      </c>
      <c r="RC57">
        <v>16500</v>
      </c>
      <c r="RD57">
        <v>19900</v>
      </c>
      <c r="RE57">
        <v>123199.99999999999</v>
      </c>
      <c r="RF57">
        <v>41500</v>
      </c>
      <c r="RG57">
        <v>85700</v>
      </c>
      <c r="RH57">
        <v>128500</v>
      </c>
      <c r="RI57">
        <v>62000.000000000007</v>
      </c>
      <c r="RJ57">
        <v>73500</v>
      </c>
      <c r="RK57">
        <v>10800</v>
      </c>
      <c r="RL57">
        <v>5400</v>
      </c>
      <c r="RM57">
        <v>25100</v>
      </c>
      <c r="RN57">
        <v>45100</v>
      </c>
      <c r="RO57">
        <v>44700</v>
      </c>
      <c r="RP57">
        <v>30800</v>
      </c>
      <c r="RQ57">
        <v>128699.99999999999</v>
      </c>
      <c r="RR57">
        <v>156800</v>
      </c>
      <c r="RS57">
        <v>139400</v>
      </c>
      <c r="RT57">
        <v>288500</v>
      </c>
      <c r="RU57">
        <v>92700</v>
      </c>
      <c r="RV57">
        <v>5200</v>
      </c>
      <c r="RW57">
        <v>1026500</v>
      </c>
      <c r="RX57">
        <v>49200</v>
      </c>
      <c r="RY57">
        <v>545700</v>
      </c>
      <c r="RZ57">
        <v>267899.99999999994</v>
      </c>
      <c r="SA57">
        <v>51200</v>
      </c>
      <c r="SB57">
        <v>97200</v>
      </c>
      <c r="SC57">
        <v>309300</v>
      </c>
      <c r="SD57">
        <v>33199.999999999985</v>
      </c>
      <c r="SE57">
        <v>154799.99999999994</v>
      </c>
      <c r="SF57">
        <v>192900</v>
      </c>
      <c r="SG57">
        <v>152600</v>
      </c>
      <c r="SH57">
        <v>581899.99999999988</v>
      </c>
      <c r="SI57">
        <v>345500.00000000006</v>
      </c>
      <c r="SJ57">
        <v>422600.00000000006</v>
      </c>
      <c r="SK57">
        <v>332899.99999999994</v>
      </c>
      <c r="SL57">
        <v>190400</v>
      </c>
      <c r="SM57">
        <v>171600</v>
      </c>
      <c r="SN57">
        <v>1426200</v>
      </c>
      <c r="SO57">
        <v>452400</v>
      </c>
      <c r="SP57">
        <v>891600</v>
      </c>
      <c r="SQ57">
        <v>1645800</v>
      </c>
      <c r="SR57">
        <v>783200</v>
      </c>
      <c r="SS57">
        <v>589200</v>
      </c>
      <c r="ST57">
        <v>19400.000000000004</v>
      </c>
      <c r="SU57">
        <v>69912.378487351045</v>
      </c>
      <c r="SV57">
        <v>280787.62151264894</v>
      </c>
      <c r="SW57">
        <v>436400</v>
      </c>
      <c r="SX57">
        <v>730100</v>
      </c>
      <c r="SY57">
        <v>250100.00000000003</v>
      </c>
      <c r="SZ57">
        <v>2490900</v>
      </c>
      <c r="TA57">
        <v>2289000</v>
      </c>
      <c r="TB57">
        <v>1831499.9999999998</v>
      </c>
      <c r="TC57">
        <v>2552300</v>
      </c>
      <c r="TD57">
        <v>851000</v>
      </c>
      <c r="TE57">
        <v>264500</v>
      </c>
      <c r="TF57">
        <v>581000</v>
      </c>
      <c r="TG57">
        <v>87495.598928434774</v>
      </c>
      <c r="TH57">
        <v>563857.55200817029</v>
      </c>
      <c r="TI57">
        <v>240939.83259696723</v>
      </c>
      <c r="TJ57">
        <v>29221.309473590729</v>
      </c>
      <c r="TK57">
        <v>62892.564552296797</v>
      </c>
      <c r="TL57">
        <v>532757.37661241973</v>
      </c>
      <c r="TM57">
        <v>79555.138651450907</v>
      </c>
      <c r="TN57">
        <v>403708.95406407496</v>
      </c>
      <c r="TO57">
        <v>206329.14455718125</v>
      </c>
      <c r="TP57">
        <v>159357.49650318598</v>
      </c>
      <c r="TQ57">
        <v>561929.24224595365</v>
      </c>
      <c r="TR57">
        <v>389073.57740725117</v>
      </c>
      <c r="TS57">
        <v>545019.44894651533</v>
      </c>
      <c r="TT57">
        <v>514562.04347150365</v>
      </c>
      <c r="TU57">
        <v>164796.31890943807</v>
      </c>
      <c r="TV57">
        <v>155189.39096741116</v>
      </c>
      <c r="TW57">
        <v>1792000</v>
      </c>
      <c r="TX57">
        <v>641746.72482410038</v>
      </c>
      <c r="TY57">
        <v>1539781.5784733945</v>
      </c>
      <c r="TZ57">
        <v>1843995.7927689508</v>
      </c>
      <c r="UA57">
        <v>1012929.7723348129</v>
      </c>
      <c r="UB57">
        <v>902828.61655843665</v>
      </c>
      <c r="UC57">
        <v>100867.4424795197</v>
      </c>
      <c r="UD57">
        <v>260151.32867318465</v>
      </c>
      <c r="UE57">
        <v>676283.27365977666</v>
      </c>
      <c r="UF57">
        <v>1049415.4702278231</v>
      </c>
      <c r="UG57">
        <v>1556513.4827833069</v>
      </c>
      <c r="UH57">
        <v>1389485.1440498212</v>
      </c>
      <c r="UI57">
        <v>1878001.3731668722</v>
      </c>
      <c r="UJ57">
        <v>2322338.6846021465</v>
      </c>
      <c r="UK57">
        <v>2348925.1182627636</v>
      </c>
      <c r="UL57">
        <v>2411759.550393655</v>
      </c>
      <c r="UM57">
        <v>962524.8289450712</v>
      </c>
      <c r="UN57">
        <v>196451.81779636361</v>
      </c>
      <c r="UO57">
        <v>783819</v>
      </c>
      <c r="UP57">
        <v>15466.999999999998</v>
      </c>
      <c r="UQ57">
        <v>107267.00000000001</v>
      </c>
      <c r="UR57">
        <v>109176</v>
      </c>
      <c r="US57">
        <v>10455</v>
      </c>
      <c r="UT57">
        <v>26274</v>
      </c>
      <c r="UU57">
        <v>39168</v>
      </c>
      <c r="UV57">
        <v>4471.9999999999991</v>
      </c>
      <c r="UW57">
        <v>23875.999999999996</v>
      </c>
      <c r="UX57">
        <v>14808.000000000002</v>
      </c>
      <c r="UY57">
        <v>32418</v>
      </c>
      <c r="UZ57">
        <v>42708</v>
      </c>
      <c r="VA57">
        <v>24107.000000000004</v>
      </c>
      <c r="VB57">
        <v>14078</v>
      </c>
      <c r="VC57">
        <v>22637.999999999996</v>
      </c>
      <c r="VD57">
        <v>42077.999999999993</v>
      </c>
      <c r="VE57">
        <v>36176</v>
      </c>
      <c r="VF57">
        <v>271201</v>
      </c>
      <c r="VG57">
        <v>98515</v>
      </c>
      <c r="VH57">
        <v>210526</v>
      </c>
      <c r="VI57">
        <v>430496.99999999994</v>
      </c>
      <c r="VJ57">
        <v>242411</v>
      </c>
      <c r="VK57">
        <v>173372</v>
      </c>
      <c r="VL57">
        <v>20646</v>
      </c>
      <c r="VM57">
        <v>17923</v>
      </c>
      <c r="VN57">
        <v>36164</v>
      </c>
      <c r="VO57">
        <v>38704</v>
      </c>
      <c r="VP57">
        <v>88340</v>
      </c>
      <c r="VQ57">
        <v>2248.9999999999995</v>
      </c>
      <c r="VR57">
        <v>158632</v>
      </c>
      <c r="VS57">
        <v>361950</v>
      </c>
      <c r="VT57">
        <v>232588.00000000003</v>
      </c>
      <c r="VU57">
        <v>166951.00000000003</v>
      </c>
      <c r="VV57">
        <v>157916</v>
      </c>
      <c r="VW57">
        <v>57284.000000000007</v>
      </c>
      <c r="VX57">
        <v>622659</v>
      </c>
      <c r="VY57">
        <v>32815</v>
      </c>
      <c r="VZ57">
        <v>174534</v>
      </c>
      <c r="WA57">
        <v>128709</v>
      </c>
      <c r="WB57">
        <v>35096</v>
      </c>
      <c r="WC57">
        <v>37233</v>
      </c>
      <c r="WD57">
        <v>47445</v>
      </c>
      <c r="WE57">
        <v>5924.0000000000009</v>
      </c>
      <c r="WF57">
        <v>64235</v>
      </c>
      <c r="WG57">
        <v>29264</v>
      </c>
      <c r="WH57">
        <v>33165</v>
      </c>
      <c r="WI57">
        <v>88979.999999999985</v>
      </c>
      <c r="WJ57">
        <v>79875</v>
      </c>
      <c r="WK57">
        <v>102838.00000000001</v>
      </c>
      <c r="WL57">
        <v>40599.999999999993</v>
      </c>
      <c r="WM57">
        <v>30528</v>
      </c>
      <c r="WN57">
        <v>88934</v>
      </c>
      <c r="WO57">
        <v>215868</v>
      </c>
      <c r="WP57">
        <v>54188.999999999993</v>
      </c>
      <c r="WQ57">
        <v>61911</v>
      </c>
      <c r="WR57">
        <v>377395</v>
      </c>
      <c r="WS57">
        <v>115159</v>
      </c>
      <c r="WT57">
        <v>218303.00000000003</v>
      </c>
      <c r="WU57">
        <v>4363</v>
      </c>
      <c r="WV57">
        <v>8106.9999999999991</v>
      </c>
      <c r="WW57">
        <v>16844</v>
      </c>
      <c r="WX57">
        <v>77411</v>
      </c>
      <c r="WY57">
        <v>82664.999999999985</v>
      </c>
      <c r="WZ57">
        <v>20003.999999999996</v>
      </c>
      <c r="XA57">
        <v>123819</v>
      </c>
      <c r="XB57">
        <v>284856</v>
      </c>
      <c r="XC57">
        <v>326030.00000000006</v>
      </c>
      <c r="XD57">
        <v>233497</v>
      </c>
      <c r="XE57">
        <v>166844</v>
      </c>
      <c r="XF57">
        <v>0</v>
      </c>
      <c r="XG57">
        <v>39834356.71091377</v>
      </c>
      <c r="XH57">
        <v>863314.37190767669</v>
      </c>
      <c r="XI57">
        <v>3535980.301068028</v>
      </c>
      <c r="XJ57">
        <v>1563914.1079253952</v>
      </c>
      <c r="XK57">
        <v>543623.77380892867</v>
      </c>
      <c r="XL57">
        <v>2128748.490542782</v>
      </c>
      <c r="XM57">
        <v>236160.17830540007</v>
      </c>
      <c r="XN57">
        <v>31377.28470586249</v>
      </c>
      <c r="XO57">
        <v>221609.25825784347</v>
      </c>
      <c r="XP57">
        <v>843695.59397518041</v>
      </c>
      <c r="XQ57">
        <v>797145.86290595797</v>
      </c>
      <c r="XR57">
        <v>346608.22075381665</v>
      </c>
      <c r="XS57">
        <v>108181.28965764875</v>
      </c>
      <c r="XT57">
        <v>123563.17875396709</v>
      </c>
      <c r="XU57">
        <v>465105.36414145818</v>
      </c>
      <c r="XV57">
        <v>518027.72976871481</v>
      </c>
      <c r="XW57">
        <v>180974.98460060378</v>
      </c>
      <c r="XX57">
        <v>4012367.3103316803</v>
      </c>
      <c r="XZ57">
        <v>8703157.1336554158</v>
      </c>
      <c r="YA57">
        <v>5212091.4313444076</v>
      </c>
      <c r="YB57">
        <v>963093.17477236805</v>
      </c>
      <c r="YC57">
        <v>3095074.8423169316</v>
      </c>
      <c r="YD57">
        <v>425019.37373566121</v>
      </c>
      <c r="YE57">
        <v>46174.475228461226</v>
      </c>
      <c r="YF57">
        <v>353036.72087626136</v>
      </c>
      <c r="YG57">
        <v>136378.76716737697</v>
      </c>
      <c r="YH57">
        <v>500076.4604535129</v>
      </c>
      <c r="YI57">
        <v>59507.058517796679</v>
      </c>
      <c r="YJ57">
        <v>320579.81742883142</v>
      </c>
      <c r="YK57">
        <v>3375915.2076343754</v>
      </c>
      <c r="YL57">
        <v>4840372.8856822103</v>
      </c>
      <c r="YM57">
        <v>879542.34926953842</v>
      </c>
      <c r="YN57">
        <v>3645478.3106164802</v>
      </c>
      <c r="YO57">
        <v>0</v>
      </c>
      <c r="YP57">
        <v>244609721.43720925</v>
      </c>
      <c r="YQ57">
        <v>2574472.5693307305</v>
      </c>
      <c r="YR57">
        <v>10507674.675457282</v>
      </c>
      <c r="YS57">
        <v>9845959.3290960975</v>
      </c>
      <c r="YT57">
        <v>517333.4991482395</v>
      </c>
      <c r="YU57">
        <v>4211552.456015531</v>
      </c>
      <c r="YV57">
        <v>1213702.1251349705</v>
      </c>
      <c r="YW57">
        <v>194579.04450896074</v>
      </c>
      <c r="YX57">
        <v>1923354.7175926673</v>
      </c>
      <c r="YY57">
        <v>887914.30140801973</v>
      </c>
      <c r="YZ57">
        <v>3562452.079179584</v>
      </c>
      <c r="ZA57">
        <v>3374708.2581466637</v>
      </c>
      <c r="ZB57">
        <v>1557689.8278415548</v>
      </c>
      <c r="ZC57">
        <v>1189855.6268967409</v>
      </c>
      <c r="ZD57">
        <v>665848.88411466696</v>
      </c>
      <c r="ZE57">
        <v>3501847.0302699087</v>
      </c>
      <c r="ZF57">
        <v>1220057.0809777745</v>
      </c>
      <c r="ZG57">
        <v>15007451.227576602</v>
      </c>
      <c r="ZH57">
        <v>1699818.3538131728</v>
      </c>
      <c r="ZI57">
        <v>3501985.1599685345</v>
      </c>
      <c r="ZJ57">
        <v>26282339.362129524</v>
      </c>
      <c r="ZK57">
        <v>3814338.0269733984</v>
      </c>
      <c r="ZL57">
        <v>10949024.217453912</v>
      </c>
      <c r="ZM57">
        <v>225483.13311062285</v>
      </c>
      <c r="ZN57">
        <v>77389.15574535224</v>
      </c>
      <c r="ZO57">
        <v>463611.21169150312</v>
      </c>
      <c r="ZP57">
        <v>1038565.6760430159</v>
      </c>
      <c r="ZQ57">
        <v>2394138.5814263937</v>
      </c>
      <c r="ZR57">
        <v>191199.27309393647</v>
      </c>
      <c r="ZS57">
        <v>1940922.621761034</v>
      </c>
      <c r="ZT57">
        <v>10283337.259894783</v>
      </c>
      <c r="ZU57">
        <v>7409294.3727728743</v>
      </c>
      <c r="ZV57">
        <v>2434318.328245325</v>
      </c>
      <c r="ZW57">
        <v>12151589.430612328</v>
      </c>
      <c r="ZX57">
        <v>2077309.7376898795</v>
      </c>
      <c r="ZY57">
        <v>139481</v>
      </c>
      <c r="ZZ57">
        <v>4988</v>
      </c>
      <c r="AAA57">
        <v>50750</v>
      </c>
      <c r="AAB57">
        <v>20775</v>
      </c>
      <c r="AAC57">
        <v>1201</v>
      </c>
      <c r="AAD57">
        <v>5575</v>
      </c>
      <c r="AAE57">
        <v>23564</v>
      </c>
      <c r="AAF57">
        <v>7855.3532052348964</v>
      </c>
      <c r="AAG57">
        <v>20815</v>
      </c>
      <c r="AAH57">
        <v>11473.000000000002</v>
      </c>
      <c r="AAI57">
        <v>11486</v>
      </c>
      <c r="AAJ57">
        <v>17466</v>
      </c>
      <c r="AAK57">
        <v>16384</v>
      </c>
      <c r="AAL57">
        <v>51553.999999999993</v>
      </c>
      <c r="AAM57">
        <v>10312.999999999998</v>
      </c>
      <c r="AAN57">
        <v>6012.6467947651036</v>
      </c>
      <c r="AAO57">
        <v>13875</v>
      </c>
      <c r="AAP57">
        <v>101137</v>
      </c>
      <c r="AAQ57">
        <v>26200</v>
      </c>
      <c r="AAR57">
        <v>43138</v>
      </c>
      <c r="AAS57">
        <v>116768</v>
      </c>
      <c r="AAT57">
        <v>74226</v>
      </c>
      <c r="AAU57">
        <v>13825.540224859904</v>
      </c>
      <c r="AAV57">
        <v>3276.5479925093705</v>
      </c>
      <c r="AAW57">
        <v>10728.165245132754</v>
      </c>
      <c r="AAX57">
        <v>12121.746537497975</v>
      </c>
      <c r="AAY57">
        <v>22148</v>
      </c>
      <c r="AAZ57">
        <v>50522.000000000015</v>
      </c>
      <c r="ABA57">
        <v>5478</v>
      </c>
      <c r="ABB57">
        <v>74587</v>
      </c>
      <c r="ABC57">
        <v>72973</v>
      </c>
      <c r="ABD57">
        <v>96181</v>
      </c>
      <c r="ABE57">
        <v>115220</v>
      </c>
      <c r="ABF57">
        <v>68472.000000000015</v>
      </c>
      <c r="ABG57">
        <v>10593</v>
      </c>
      <c r="ABH57">
        <v>1251500.0000000002</v>
      </c>
      <c r="ABI57">
        <v>41600</v>
      </c>
      <c r="ABJ57">
        <v>466799.99999999988</v>
      </c>
      <c r="ABK57">
        <v>740700.00000000012</v>
      </c>
      <c r="ABL57">
        <v>237400.00000000012</v>
      </c>
      <c r="ABM57">
        <v>186800</v>
      </c>
      <c r="ABN57">
        <v>282400.00000000006</v>
      </c>
      <c r="ABO57">
        <v>25700.000000000011</v>
      </c>
      <c r="ABP57">
        <v>210000</v>
      </c>
      <c r="ABQ57">
        <v>198900</v>
      </c>
      <c r="ABR57">
        <v>261399.99999999997</v>
      </c>
      <c r="ABS57">
        <v>788600.00000000012</v>
      </c>
      <c r="ABT57">
        <v>540000</v>
      </c>
      <c r="ABU57">
        <v>440299.99999999994</v>
      </c>
      <c r="ABV57">
        <v>298200.00000000006</v>
      </c>
      <c r="ABW57">
        <v>327600.00000000006</v>
      </c>
      <c r="ABX57">
        <v>163499.99999999997</v>
      </c>
      <c r="ABY57">
        <v>1469300</v>
      </c>
      <c r="ABZ57">
        <v>535299.99999999988</v>
      </c>
      <c r="ACA57">
        <v>923800</v>
      </c>
      <c r="ACB57">
        <v>1889700</v>
      </c>
      <c r="ACC57">
        <v>878300.00000000012</v>
      </c>
      <c r="ACD57">
        <v>544200</v>
      </c>
      <c r="ACE57">
        <v>24799.999999999996</v>
      </c>
      <c r="ACF57">
        <v>22999.999999999996</v>
      </c>
      <c r="ACG57">
        <v>245500.00000000006</v>
      </c>
      <c r="ACH57">
        <v>281499.99999999994</v>
      </c>
      <c r="ACI57">
        <v>592800</v>
      </c>
      <c r="ACJ57">
        <v>81700.000000000015</v>
      </c>
      <c r="ACK57">
        <v>1700200</v>
      </c>
      <c r="ACL57">
        <v>1483999.9999999998</v>
      </c>
      <c r="ACM57">
        <v>1561700</v>
      </c>
      <c r="ACN57">
        <v>1314500</v>
      </c>
      <c r="ACO57">
        <v>866899.99999999988</v>
      </c>
      <c r="ACP57">
        <v>1087400</v>
      </c>
      <c r="ACQ57">
        <v>4576648.1194964815</v>
      </c>
      <c r="ACR57">
        <v>92967.662559170683</v>
      </c>
      <c r="ACS57">
        <v>1562201.6172748723</v>
      </c>
      <c r="ACT57">
        <v>1226399.0467942767</v>
      </c>
      <c r="ACU57">
        <v>95678.849335934647</v>
      </c>
      <c r="ACV57">
        <v>578160.59767582652</v>
      </c>
      <c r="ACW57">
        <v>1048480.3073564671</v>
      </c>
      <c r="ACX57">
        <v>26385.709219346449</v>
      </c>
      <c r="ACY57">
        <v>502108.09450676996</v>
      </c>
      <c r="ACZ57">
        <v>753158.50114763901</v>
      </c>
      <c r="ADA57">
        <v>512828.12614521891</v>
      </c>
      <c r="ADB57">
        <v>2187815.0731515801</v>
      </c>
      <c r="ADC57">
        <v>1313064.6143034534</v>
      </c>
      <c r="ADD57">
        <v>2126044.6983830919</v>
      </c>
      <c r="ADE57">
        <v>1172516.1708444983</v>
      </c>
      <c r="ADF57">
        <v>377329.79197860142</v>
      </c>
      <c r="ADG57">
        <v>444063.07979704149</v>
      </c>
      <c r="ADH57">
        <v>6915392.9684432764</v>
      </c>
      <c r="ADI57">
        <v>461541.29290305258</v>
      </c>
      <c r="ADJ57">
        <v>4497984.1369601153</v>
      </c>
      <c r="ADK57">
        <v>6622159.5319195762</v>
      </c>
      <c r="ADL57">
        <v>4548809.7443404105</v>
      </c>
      <c r="ADM57">
        <v>2727819.5041616824</v>
      </c>
      <c r="ADN57">
        <v>202108.55633765375</v>
      </c>
      <c r="ADO57">
        <v>56505.262647754469</v>
      </c>
      <c r="ADP57">
        <v>442642.51446660585</v>
      </c>
      <c r="ADQ57">
        <v>580215.19024806586</v>
      </c>
      <c r="ADR57">
        <v>2051999.9999999995</v>
      </c>
      <c r="ADS57">
        <v>977257.73415150167</v>
      </c>
      <c r="ADT57">
        <v>4752347.700072716</v>
      </c>
      <c r="ADU57">
        <v>3017265.9294847376</v>
      </c>
      <c r="ADV57">
        <v>1990807.5208245758</v>
      </c>
      <c r="ADW57">
        <v>4181858.4013231364</v>
      </c>
      <c r="ADX57">
        <v>4284159.9163323501</v>
      </c>
      <c r="ADY57">
        <v>0</v>
      </c>
      <c r="ADZ57">
        <v>2323000</v>
      </c>
      <c r="AEA57">
        <v>23000</v>
      </c>
      <c r="AEB57">
        <v>302080.17438010016</v>
      </c>
      <c r="AEC57">
        <v>682258.46579860873</v>
      </c>
      <c r="AED57">
        <v>98772.728288654136</v>
      </c>
      <c r="AEE57">
        <v>44493.304881678203</v>
      </c>
      <c r="AEF57">
        <v>260473.42244473277</v>
      </c>
      <c r="AEG57">
        <v>46371.679641925715</v>
      </c>
      <c r="AEH57">
        <v>284160.86546763236</v>
      </c>
      <c r="AEI57">
        <v>240136.00800849785</v>
      </c>
      <c r="AEJ57">
        <v>219031.56345687612</v>
      </c>
      <c r="AEK57">
        <v>485002.03506188118</v>
      </c>
      <c r="AEL57">
        <v>499851.66398658027</v>
      </c>
      <c r="AEM57">
        <v>861649.02358201472</v>
      </c>
      <c r="AEN57">
        <v>557832.84142868407</v>
      </c>
      <c r="AEO57">
        <v>142886.22357213352</v>
      </c>
      <c r="AEP57">
        <v>75000</v>
      </c>
      <c r="AEQ57">
        <v>1983000</v>
      </c>
      <c r="AER57">
        <v>222528.75754857753</v>
      </c>
      <c r="AES57">
        <v>1589695.3108507986</v>
      </c>
      <c r="AET57">
        <v>2095775.931600624</v>
      </c>
      <c r="AEU57">
        <v>1782000</v>
      </c>
      <c r="AEV57">
        <v>489389.92079532507</v>
      </c>
      <c r="AEW57">
        <v>242665.26185152581</v>
      </c>
      <c r="AEX57">
        <v>113601.25266507178</v>
      </c>
      <c r="AEY57">
        <v>144752.84623719138</v>
      </c>
      <c r="AEZ57">
        <v>128590.71845088604</v>
      </c>
      <c r="AFA57">
        <v>758000</v>
      </c>
      <c r="AFB57">
        <v>264834.53773245419</v>
      </c>
      <c r="AFC57">
        <v>763165.46226754598</v>
      </c>
      <c r="AFD57">
        <v>644000</v>
      </c>
      <c r="AFE57">
        <v>1073000</v>
      </c>
      <c r="AFF57">
        <v>311000</v>
      </c>
      <c r="AFG57">
        <v>1085000</v>
      </c>
      <c r="AFI57">
        <v>300099.99999999994</v>
      </c>
      <c r="AFJ57">
        <v>3500</v>
      </c>
      <c r="AFK57">
        <v>62400</v>
      </c>
      <c r="AFL57">
        <v>57000</v>
      </c>
      <c r="AFM57">
        <v>7400</v>
      </c>
      <c r="AFN57">
        <v>20000</v>
      </c>
      <c r="AFO57">
        <v>12300</v>
      </c>
      <c r="AFP57">
        <v>3799.9999999999545</v>
      </c>
      <c r="AFQ57">
        <v>10000</v>
      </c>
      <c r="AFR57">
        <v>4500</v>
      </c>
      <c r="AFS57">
        <v>17800</v>
      </c>
      <c r="AFT57">
        <v>9000</v>
      </c>
      <c r="AFU57">
        <v>24100</v>
      </c>
      <c r="AFV57">
        <v>25800</v>
      </c>
      <c r="AFW57">
        <v>9900</v>
      </c>
      <c r="AFX57">
        <v>13600</v>
      </c>
      <c r="AFY57">
        <v>42299.999999999993</v>
      </c>
      <c r="AFZ57">
        <v>98500</v>
      </c>
      <c r="AGA57">
        <v>41700</v>
      </c>
      <c r="AGB57">
        <v>38100</v>
      </c>
      <c r="AGC57">
        <v>131100</v>
      </c>
      <c r="AGD57">
        <v>17500</v>
      </c>
      <c r="AGE57">
        <v>55800</v>
      </c>
      <c r="AGF57">
        <v>4800</v>
      </c>
      <c r="AGG57">
        <v>1600</v>
      </c>
      <c r="AGH57">
        <v>9500</v>
      </c>
      <c r="AGI57">
        <v>23200</v>
      </c>
      <c r="AGJ57">
        <v>17000</v>
      </c>
      <c r="AGK57">
        <v>10500</v>
      </c>
      <c r="AGL57">
        <v>41199.999999999993</v>
      </c>
      <c r="AGM57">
        <v>78000</v>
      </c>
      <c r="AGN57">
        <v>147000</v>
      </c>
      <c r="AGO57">
        <v>102900</v>
      </c>
      <c r="AGP57">
        <v>51600</v>
      </c>
      <c r="AGQ57">
        <v>0</v>
      </c>
      <c r="AGR57">
        <v>4500</v>
      </c>
      <c r="AGS57">
        <v>300</v>
      </c>
      <c r="AGT57">
        <v>4200</v>
      </c>
      <c r="AGU57">
        <v>1000</v>
      </c>
      <c r="AGV57">
        <v>0</v>
      </c>
      <c r="AGW57">
        <v>400</v>
      </c>
      <c r="AGX57">
        <v>2100</v>
      </c>
      <c r="AGY57">
        <v>0</v>
      </c>
      <c r="AGZ57">
        <v>1300</v>
      </c>
      <c r="AHA57">
        <v>3799.9999999999995</v>
      </c>
      <c r="AHB57">
        <v>2900</v>
      </c>
      <c r="AHC57">
        <v>11500</v>
      </c>
      <c r="AHD57">
        <v>2600</v>
      </c>
      <c r="AHE57">
        <v>1900</v>
      </c>
      <c r="AHF57">
        <v>300</v>
      </c>
      <c r="AHG57">
        <v>700</v>
      </c>
      <c r="AHH57">
        <v>1500</v>
      </c>
      <c r="AHI57">
        <v>24500</v>
      </c>
      <c r="AHJ57">
        <v>5600</v>
      </c>
      <c r="AHK57">
        <v>12200</v>
      </c>
      <c r="AHL57">
        <v>16700</v>
      </c>
      <c r="AHM57">
        <v>11800</v>
      </c>
      <c r="AHN57">
        <v>8626.6968325791859</v>
      </c>
      <c r="AHO57">
        <v>70.135746606334834</v>
      </c>
      <c r="AHP57">
        <v>2244.3438914027147</v>
      </c>
      <c r="AHQ57">
        <v>1753.393665158371</v>
      </c>
      <c r="AHR57">
        <v>2805.4298642533936</v>
      </c>
      <c r="AHS57">
        <v>22500.000000000004</v>
      </c>
      <c r="AHT57">
        <v>2100</v>
      </c>
      <c r="AHU57">
        <v>22000</v>
      </c>
      <c r="AHV57">
        <v>11900</v>
      </c>
      <c r="AHW57">
        <v>10400</v>
      </c>
      <c r="AHX57">
        <v>14100.000000000002</v>
      </c>
      <c r="AHY57">
        <v>8200</v>
      </c>
      <c r="AHZ57">
        <v>4800</v>
      </c>
      <c r="AIA57">
        <v>163400</v>
      </c>
      <c r="AIB57">
        <v>2500</v>
      </c>
      <c r="AIC57">
        <v>43018.476903870171</v>
      </c>
      <c r="AID57">
        <v>29097.378277153563</v>
      </c>
      <c r="AIE57">
        <v>1483.3957553058679</v>
      </c>
      <c r="AIF57">
        <v>37883.645443196016</v>
      </c>
      <c r="AIG57">
        <v>11524.843945068666</v>
      </c>
      <c r="AIH57">
        <v>78.318179372679836</v>
      </c>
      <c r="AII57">
        <v>3993.757802746567</v>
      </c>
      <c r="AIJ57">
        <v>2510.3620474406998</v>
      </c>
      <c r="AIK57">
        <v>6732.3345817727841</v>
      </c>
      <c r="AIL57">
        <v>12095.380774032457</v>
      </c>
      <c r="AIM57">
        <v>9128.5892634207285</v>
      </c>
      <c r="AIN57">
        <v>6390.0124843945068</v>
      </c>
      <c r="AIO57">
        <v>7074.6566791510622</v>
      </c>
      <c r="AIP57">
        <v>11524.843945068666</v>
      </c>
      <c r="AIQ57">
        <v>17800.000000000004</v>
      </c>
      <c r="AIR57">
        <v>50700</v>
      </c>
      <c r="AIS57">
        <v>11051.063829787232</v>
      </c>
      <c r="AIT57">
        <v>30822.695035460991</v>
      </c>
      <c r="AIU57">
        <v>74726.241134751777</v>
      </c>
      <c r="AIV57">
        <v>15900</v>
      </c>
      <c r="AIW57">
        <v>49049.148099606798</v>
      </c>
      <c r="AIX57">
        <v>543.24096611122434</v>
      </c>
      <c r="AIY57">
        <v>448.76427635275064</v>
      </c>
      <c r="AIZ57">
        <v>20170.773263433817</v>
      </c>
      <c r="AJA57">
        <v>13888.073394495412</v>
      </c>
      <c r="AJB57">
        <v>14200.000000000002</v>
      </c>
      <c r="AJC57">
        <v>17278.073089701</v>
      </c>
      <c r="AJD57">
        <v>22355.98006644519</v>
      </c>
      <c r="AJE57">
        <v>60600</v>
      </c>
      <c r="AJF57">
        <v>94700</v>
      </c>
      <c r="AJG57">
        <v>57700</v>
      </c>
      <c r="AJH57">
        <v>50000</v>
      </c>
      <c r="AJI57">
        <v>900</v>
      </c>
      <c r="AJJ57">
        <v>6859169.3006417295</v>
      </c>
      <c r="AJK57">
        <v>177519.25436012456</v>
      </c>
      <c r="AJL57">
        <v>1260321.6700021233</v>
      </c>
      <c r="AJM57">
        <v>875199.2879650672</v>
      </c>
      <c r="AJN57">
        <v>169032.98045169108</v>
      </c>
      <c r="AJO57">
        <v>97016.556528774032</v>
      </c>
      <c r="AJP57">
        <v>325386.8443526784</v>
      </c>
      <c r="AJQ57">
        <v>85646.460876428086</v>
      </c>
      <c r="AJR57">
        <v>301156.55254503037</v>
      </c>
      <c r="AJS57">
        <v>309636.02471658407</v>
      </c>
      <c r="AJT57">
        <v>280041.71408817923</v>
      </c>
      <c r="AJU57">
        <v>405715.07555807626</v>
      </c>
      <c r="AJV57">
        <v>259849.13732369494</v>
      </c>
      <c r="AJW57">
        <v>819943.48803539306</v>
      </c>
      <c r="AJX57">
        <v>674211.19750244869</v>
      </c>
      <c r="AJY57">
        <v>383899.21891607653</v>
      </c>
      <c r="AJZ57">
        <v>183196.2395309374</v>
      </c>
      <c r="AKA57">
        <v>2529585.159221651</v>
      </c>
      <c r="AKB57">
        <v>675724.89014721406</v>
      </c>
      <c r="AKC57">
        <v>959379.84195100493</v>
      </c>
      <c r="AKD57">
        <v>3152745.0145579292</v>
      </c>
      <c r="AKE57">
        <v>2205463.4764545122</v>
      </c>
      <c r="AKF57">
        <v>1186595.3492346215</v>
      </c>
      <c r="AKG57">
        <v>44442.289705353571</v>
      </c>
      <c r="AKH57">
        <v>69799.726425565968</v>
      </c>
      <c r="AKI57">
        <v>269390.81346084073</v>
      </c>
      <c r="AKJ57">
        <v>116589.51754847832</v>
      </c>
      <c r="AKK57">
        <v>251079.90692901655</v>
      </c>
      <c r="AKL57">
        <v>111362.02811308156</v>
      </c>
      <c r="AKM57">
        <v>922512.40635500697</v>
      </c>
      <c r="AKN57">
        <v>1620930.7057470994</v>
      </c>
      <c r="AKO57">
        <v>2724327.1587616382</v>
      </c>
      <c r="AKP57">
        <v>811187.25732210313</v>
      </c>
      <c r="AKQ57">
        <v>753328.54665442742</v>
      </c>
      <c r="AKR57">
        <v>2435133.2506188741</v>
      </c>
      <c r="AKS57">
        <v>3258.7901075343771</v>
      </c>
      <c r="AKT57">
        <v>327.68735619350957</v>
      </c>
      <c r="AKU57">
        <v>3967.0270443681479</v>
      </c>
      <c r="AKV57">
        <v>2680.8142685985122</v>
      </c>
      <c r="AKW57">
        <v>375.74755247202864</v>
      </c>
      <c r="AKX57">
        <v>86.710973647391214</v>
      </c>
      <c r="AKY57">
        <v>1820.9304465952157</v>
      </c>
      <c r="AKZ57">
        <v>14.451828941231872</v>
      </c>
      <c r="ALA57">
        <v>614.20273000235443</v>
      </c>
      <c r="ALB57">
        <v>1875.1248051248351</v>
      </c>
      <c r="ALC57">
        <v>679.23596023789787</v>
      </c>
      <c r="ALD57">
        <v>755.10806217936522</v>
      </c>
      <c r="ALE57">
        <v>458.84556888411186</v>
      </c>
      <c r="ALF57">
        <v>10777.451432923668</v>
      </c>
      <c r="ALG57">
        <v>1387.3755783582594</v>
      </c>
      <c r="ALH57">
        <v>3013.206334246845</v>
      </c>
      <c r="ALI57">
        <v>2345.9435727489881</v>
      </c>
      <c r="ALJ57">
        <v>10063.910626209108</v>
      </c>
      <c r="ALK57">
        <v>2645.1647286832354</v>
      </c>
      <c r="ALL57">
        <v>8427.3087335938253</v>
      </c>
      <c r="ALM57">
        <v>7324.0490728867499</v>
      </c>
      <c r="ALN57">
        <v>9814.7667144707721</v>
      </c>
      <c r="ALO57">
        <v>2662.1902113194542</v>
      </c>
      <c r="ALP57">
        <v>582.12237211302829</v>
      </c>
      <c r="ALQ57">
        <v>1505.3610387126719</v>
      </c>
      <c r="ALR57">
        <v>5283.5947787329005</v>
      </c>
      <c r="ALS57">
        <v>5461.5684975954828</v>
      </c>
      <c r="ALT57">
        <v>4215.4893956698761</v>
      </c>
      <c r="ALU57">
        <v>4643.0788485292851</v>
      </c>
      <c r="ALV57">
        <v>4273.9897483455943</v>
      </c>
      <c r="ALW57">
        <v>12369.281828513778</v>
      </c>
      <c r="ALX57">
        <v>9638.8145581817625</v>
      </c>
      <c r="ALY57">
        <v>8525.4201372696771</v>
      </c>
      <c r="ALZ57">
        <v>7305.9881524612028</v>
      </c>
      <c r="AMA57">
        <v>307.50893529952816</v>
      </c>
      <c r="AMB57">
        <v>286718</v>
      </c>
      <c r="AMC57">
        <v>10883</v>
      </c>
      <c r="AMD57">
        <v>155202</v>
      </c>
      <c r="AME57">
        <v>31281</v>
      </c>
      <c r="AMF57">
        <v>4600</v>
      </c>
      <c r="AMG57">
        <v>22762.999999999996</v>
      </c>
      <c r="AMH57">
        <v>140838.00000000003</v>
      </c>
      <c r="AMI57">
        <v>7147.0000000000009</v>
      </c>
      <c r="AMJ57">
        <v>74395.000000000015</v>
      </c>
      <c r="AMK57">
        <v>31333.999999999996</v>
      </c>
      <c r="AML57">
        <v>34849.000000000007</v>
      </c>
      <c r="AMM57">
        <v>128916</v>
      </c>
      <c r="AMN57">
        <v>84002</v>
      </c>
      <c r="AMO57">
        <v>103155.99999999999</v>
      </c>
      <c r="AMP57">
        <v>53997</v>
      </c>
      <c r="AMQ57">
        <v>140026</v>
      </c>
      <c r="AMR57">
        <v>36458.999999999993</v>
      </c>
      <c r="AMS57">
        <v>433234.00000000006</v>
      </c>
      <c r="AMT57">
        <v>134987</v>
      </c>
      <c r="AMU57">
        <v>439660.99999999994</v>
      </c>
      <c r="AMV57">
        <v>642264</v>
      </c>
      <c r="AMW57">
        <v>263121.99999999994</v>
      </c>
      <c r="AMX57">
        <v>185621</v>
      </c>
      <c r="AMY57">
        <v>24438</v>
      </c>
      <c r="AMZ57">
        <v>28705.000000000004</v>
      </c>
      <c r="ANA57">
        <v>75264</v>
      </c>
      <c r="ANB57">
        <v>101709</v>
      </c>
      <c r="ANC57">
        <v>239558</v>
      </c>
      <c r="AND57">
        <v>64585.000000000007</v>
      </c>
      <c r="ANE57">
        <v>1055673</v>
      </c>
      <c r="ANF57">
        <v>467138.00000000006</v>
      </c>
      <c r="ANG57">
        <v>372137.00000000006</v>
      </c>
      <c r="ANH57">
        <v>836375</v>
      </c>
      <c r="ANI57">
        <v>322714</v>
      </c>
      <c r="ANJ57">
        <v>281068</v>
      </c>
      <c r="ANK57">
        <v>4021300</v>
      </c>
      <c r="ANL57">
        <v>357200</v>
      </c>
      <c r="ANM57">
        <v>521106.99975115788</v>
      </c>
      <c r="ANN57">
        <v>499495.00622504472</v>
      </c>
      <c r="ANO57">
        <v>98853.519832579725</v>
      </c>
      <c r="ANP57">
        <v>142050.33555276136</v>
      </c>
      <c r="ANQ57">
        <v>122888.59382355121</v>
      </c>
      <c r="ANR57">
        <v>14044.417786340378</v>
      </c>
      <c r="ANS57">
        <v>136016.87207881169</v>
      </c>
      <c r="ANT57">
        <v>117873.75795093538</v>
      </c>
      <c r="ANU57">
        <v>154555.82869020742</v>
      </c>
      <c r="ANV57">
        <v>384083.82226784865</v>
      </c>
      <c r="ANW57">
        <v>282449.85799527646</v>
      </c>
      <c r="ANX57">
        <v>188858.88315503541</v>
      </c>
      <c r="ANY57">
        <v>219695.73466202567</v>
      </c>
      <c r="ANZ57">
        <v>213526.37022842307</v>
      </c>
      <c r="AOA57">
        <v>277600</v>
      </c>
      <c r="AOB57">
        <v>842900</v>
      </c>
      <c r="AOC57">
        <v>256213.17764870339</v>
      </c>
      <c r="AOD57">
        <v>744304.65868450492</v>
      </c>
      <c r="AOE57">
        <v>900282.1636667914</v>
      </c>
      <c r="AOF57">
        <v>198100.00000000003</v>
      </c>
      <c r="AOG57">
        <v>415402.87747651665</v>
      </c>
      <c r="AOH57">
        <v>35436.215595389469</v>
      </c>
      <c r="AOI57">
        <v>23466.415767668896</v>
      </c>
      <c r="AOJ57">
        <v>200156.78452766722</v>
      </c>
      <c r="AOK57">
        <v>180037.7066327577</v>
      </c>
      <c r="AOL57">
        <v>271200</v>
      </c>
      <c r="AOM57">
        <v>371442.46316828713</v>
      </c>
      <c r="AON57">
        <v>217757.53683171287</v>
      </c>
      <c r="AOO57">
        <v>402100</v>
      </c>
      <c r="AOP57">
        <v>857000</v>
      </c>
      <c r="AOQ57">
        <v>1018000.0000000001</v>
      </c>
      <c r="AOR57">
        <v>306036.57126543432</v>
      </c>
      <c r="AOS57">
        <v>29163.428734565699</v>
      </c>
      <c r="AOT57">
        <v>665300.00000000012</v>
      </c>
      <c r="AOU57">
        <v>14800</v>
      </c>
      <c r="AOV57">
        <v>121300.00000000001</v>
      </c>
      <c r="AOW57">
        <v>289300</v>
      </c>
      <c r="AOX57">
        <v>77400</v>
      </c>
      <c r="AOY57">
        <v>63399.999999999993</v>
      </c>
      <c r="AOZ57">
        <v>55900</v>
      </c>
      <c r="APA57">
        <v>1400</v>
      </c>
      <c r="APB57">
        <v>24999.999999999996</v>
      </c>
      <c r="APC57">
        <v>23300</v>
      </c>
      <c r="APD57">
        <v>72100</v>
      </c>
      <c r="APE57">
        <v>91900</v>
      </c>
      <c r="APF57">
        <v>45200</v>
      </c>
      <c r="APG57">
        <v>56400</v>
      </c>
      <c r="APH57">
        <v>36900</v>
      </c>
      <c r="API57">
        <v>66500</v>
      </c>
      <c r="APJ57">
        <v>29900</v>
      </c>
      <c r="APK57">
        <v>429100</v>
      </c>
      <c r="APL57">
        <v>90921.823345961646</v>
      </c>
      <c r="APM57">
        <v>315423.34721944737</v>
      </c>
      <c r="APN57">
        <v>304454.829434591</v>
      </c>
      <c r="APO57">
        <v>216500</v>
      </c>
      <c r="APP57">
        <v>94492.723984284239</v>
      </c>
      <c r="APQ57">
        <v>1759.9622257596966</v>
      </c>
      <c r="APR57">
        <v>10865.790976115133</v>
      </c>
      <c r="APS57">
        <v>29683.692808442116</v>
      </c>
      <c r="APT57">
        <v>28897.830005398788</v>
      </c>
      <c r="APU57">
        <v>95900</v>
      </c>
      <c r="APV57">
        <v>14385.73947909912</v>
      </c>
      <c r="APW57">
        <v>202414.26052090092</v>
      </c>
      <c r="APX57">
        <v>303100</v>
      </c>
      <c r="APY57">
        <v>256200</v>
      </c>
      <c r="APZ57">
        <v>220600</v>
      </c>
      <c r="AQA57">
        <v>116600</v>
      </c>
      <c r="AQB57">
        <v>139700</v>
      </c>
      <c r="AQC57">
        <v>3326400</v>
      </c>
      <c r="AQD57">
        <v>250300.00000000003</v>
      </c>
      <c r="AQE57">
        <v>259309.48632159026</v>
      </c>
      <c r="AQF57">
        <v>507068.94312143285</v>
      </c>
      <c r="AQG57">
        <v>92060.529423341883</v>
      </c>
      <c r="AQH57">
        <v>227377.05176146427</v>
      </c>
      <c r="AQI57">
        <v>55145.72918716789</v>
      </c>
      <c r="AQJ57">
        <v>68620.763629206849</v>
      </c>
      <c r="AQK57">
        <v>79717.850816768376</v>
      </c>
      <c r="AQL57">
        <v>37594.213737453269</v>
      </c>
      <c r="AQM57">
        <v>112329.69887817359</v>
      </c>
      <c r="AQN57">
        <v>277766.88643967727</v>
      </c>
      <c r="AQO57">
        <v>314228.74434166506</v>
      </c>
      <c r="AQP57">
        <v>98967.900019681168</v>
      </c>
      <c r="AQQ57">
        <v>153773.92245620943</v>
      </c>
      <c r="AQR57">
        <v>17438.279866168079</v>
      </c>
      <c r="AQS57">
        <v>189100</v>
      </c>
      <c r="AQT57">
        <v>474400</v>
      </c>
      <c r="AQU57">
        <v>80294.007277689336</v>
      </c>
      <c r="AQV57">
        <v>312488.48078235157</v>
      </c>
      <c r="AQW57">
        <v>378917.51193995908</v>
      </c>
      <c r="AQX57">
        <v>115600</v>
      </c>
      <c r="AQY57">
        <v>397084.94669509592</v>
      </c>
      <c r="AQZ57">
        <v>7115.7995735607665</v>
      </c>
      <c r="ARA57">
        <v>12715.117270788915</v>
      </c>
      <c r="ARB57">
        <v>6065.9275053304918</v>
      </c>
      <c r="ARC57">
        <v>124001.5565031983</v>
      </c>
      <c r="ARD57">
        <v>71300</v>
      </c>
      <c r="ARE57">
        <v>24771.377672209022</v>
      </c>
      <c r="ARF57">
        <v>232728.62232779094</v>
      </c>
      <c r="ARG57">
        <v>125100</v>
      </c>
      <c r="ARH57">
        <v>441299.99999999994</v>
      </c>
      <c r="ARI57">
        <v>337200</v>
      </c>
      <c r="ARJ57">
        <v>170599.99999999997</v>
      </c>
      <c r="ARK57">
        <v>0</v>
      </c>
      <c r="ARL57">
        <v>20277388.732256997</v>
      </c>
      <c r="ARM57">
        <v>981204.63548200496</v>
      </c>
      <c r="ARN57">
        <v>1544693.1738685097</v>
      </c>
      <c r="ARO57">
        <v>1011138.00445553</v>
      </c>
      <c r="ARP57">
        <v>152011.85885582399</v>
      </c>
      <c r="ARQ57">
        <v>469947.53950220306</v>
      </c>
      <c r="ARR57">
        <v>347728.40657599497</v>
      </c>
      <c r="ARS57">
        <v>236254.421695225</v>
      </c>
      <c r="ART57">
        <v>610341.78487626102</v>
      </c>
      <c r="ARU57">
        <v>210023.82679464298</v>
      </c>
      <c r="ARV57">
        <v>828524.44757005491</v>
      </c>
      <c r="ARW57">
        <v>1177299.4808042799</v>
      </c>
      <c r="ARX57">
        <v>2280063.3779776399</v>
      </c>
      <c r="ARY57">
        <v>1090563.7384158699</v>
      </c>
      <c r="ARZ57">
        <v>1301252.9831667801</v>
      </c>
      <c r="ASA57">
        <v>373402.21051882202</v>
      </c>
      <c r="ASB57">
        <v>1486091.5007944501</v>
      </c>
      <c r="ASC57">
        <v>5156061.4293724597</v>
      </c>
      <c r="ASD57">
        <v>739443.10243433202</v>
      </c>
      <c r="ASE57">
        <v>3217273.5388730797</v>
      </c>
      <c r="ASF57">
        <v>2617796.4575917297</v>
      </c>
      <c r="ASG57">
        <v>686009.38269618503</v>
      </c>
      <c r="ASH57">
        <v>3247291.0732948701</v>
      </c>
      <c r="ASI57">
        <v>201572.16197079699</v>
      </c>
      <c r="ASJ57">
        <v>156203.72410304903</v>
      </c>
      <c r="ASK57">
        <v>543732.83880909591</v>
      </c>
      <c r="ASL57">
        <v>828509.25534385</v>
      </c>
      <c r="ASM57">
        <v>600692.87052738399</v>
      </c>
      <c r="ASN57">
        <v>1306618.7178968901</v>
      </c>
      <c r="ASO57">
        <v>3134328.6636979999</v>
      </c>
      <c r="ASP57">
        <v>2908609.41616333</v>
      </c>
      <c r="ASQ57">
        <v>6533849.2571659395</v>
      </c>
      <c r="ASR57">
        <v>4607593.5328296302</v>
      </c>
      <c r="ASS57">
        <v>2088807.5980280801</v>
      </c>
      <c r="AST57">
        <v>0</v>
      </c>
      <c r="ASU57">
        <v>172380</v>
      </c>
      <c r="ASV57">
        <v>20547</v>
      </c>
      <c r="ASW57">
        <v>66405</v>
      </c>
      <c r="ASX57">
        <v>69253.999999999985</v>
      </c>
      <c r="ASY57">
        <v>25523</v>
      </c>
      <c r="ASZ57">
        <v>28889</v>
      </c>
      <c r="ATA57">
        <v>32176.000000000004</v>
      </c>
      <c r="ATB57">
        <v>6273</v>
      </c>
      <c r="ATC57">
        <v>28024</v>
      </c>
      <c r="ATD57">
        <v>18856</v>
      </c>
      <c r="ATE57">
        <v>31824</v>
      </c>
      <c r="ATF57">
        <v>87013</v>
      </c>
      <c r="ATG57">
        <v>82357.999999999985</v>
      </c>
      <c r="ATH57">
        <v>56749</v>
      </c>
      <c r="ATI57">
        <v>26836.000000000004</v>
      </c>
      <c r="ATJ57">
        <v>26839</v>
      </c>
      <c r="ATK57">
        <v>41302</v>
      </c>
      <c r="ATL57">
        <v>157442</v>
      </c>
      <c r="ATM57">
        <v>17421</v>
      </c>
      <c r="ATN57">
        <v>128810.99999999999</v>
      </c>
      <c r="ATO57">
        <v>124500</v>
      </c>
      <c r="ATP57">
        <v>59842</v>
      </c>
      <c r="ATQ57">
        <v>109136.99999999999</v>
      </c>
      <c r="ATR57">
        <v>1721</v>
      </c>
      <c r="ATS57">
        <v>404.99999999999994</v>
      </c>
      <c r="ATT57">
        <v>14108</v>
      </c>
      <c r="ATU57">
        <v>35517</v>
      </c>
      <c r="ATV57">
        <v>31806</v>
      </c>
      <c r="ATW57">
        <v>19098</v>
      </c>
      <c r="ATX57">
        <v>107492</v>
      </c>
      <c r="ATY57">
        <v>140247</v>
      </c>
      <c r="ATZ57">
        <v>175551</v>
      </c>
      <c r="AUA57">
        <v>129819.00000000001</v>
      </c>
      <c r="AUB57">
        <v>76949</v>
      </c>
      <c r="AUC57">
        <v>0</v>
      </c>
      <c r="AUD57">
        <v>121728</v>
      </c>
      <c r="AUE57">
        <v>7578</v>
      </c>
      <c r="AUF57">
        <v>21910</v>
      </c>
      <c r="AUG57">
        <v>39184</v>
      </c>
      <c r="AUH57">
        <v>10636</v>
      </c>
      <c r="AUI57">
        <v>15575.999999999998</v>
      </c>
      <c r="AUJ57">
        <v>18634</v>
      </c>
      <c r="AUK57">
        <v>854</v>
      </c>
      <c r="AUL57">
        <v>14558.000000000002</v>
      </c>
      <c r="AUM57">
        <v>12239</v>
      </c>
      <c r="AUN57">
        <v>12012</v>
      </c>
      <c r="AUO57">
        <v>39623.000000000007</v>
      </c>
      <c r="AUP57">
        <v>24799.000000000004</v>
      </c>
      <c r="AUQ57">
        <v>29343</v>
      </c>
      <c r="AUR57">
        <v>11495.999999999998</v>
      </c>
      <c r="AUS57">
        <v>18255.000000000004</v>
      </c>
      <c r="AUT57">
        <v>13353</v>
      </c>
      <c r="AUU57">
        <v>57644</v>
      </c>
      <c r="AUV57">
        <v>15405.000000000002</v>
      </c>
      <c r="AUW57">
        <v>45775.999999999993</v>
      </c>
      <c r="AUX57">
        <v>55186</v>
      </c>
      <c r="AUY57">
        <v>27165.000000000004</v>
      </c>
      <c r="AUZ57">
        <v>31450.999999999996</v>
      </c>
      <c r="AVA57">
        <v>994</v>
      </c>
      <c r="AVB57">
        <v>756</v>
      </c>
      <c r="AVC57">
        <v>9636</v>
      </c>
      <c r="AVD57">
        <v>8879.0000000000018</v>
      </c>
      <c r="AVE57">
        <v>17334</v>
      </c>
      <c r="AVF57">
        <v>1484</v>
      </c>
      <c r="AVG57">
        <v>57588</v>
      </c>
      <c r="AVH57">
        <v>36964</v>
      </c>
      <c r="AVI57">
        <v>49842</v>
      </c>
      <c r="AVJ57">
        <v>43992.000000000007</v>
      </c>
      <c r="AVK57">
        <v>26322.000000000004</v>
      </c>
      <c r="AVL57">
        <v>1318</v>
      </c>
      <c r="AVM57">
        <v>140900</v>
      </c>
      <c r="AVN57">
        <v>8500</v>
      </c>
      <c r="AVO57">
        <v>68200</v>
      </c>
      <c r="AVP57">
        <v>14300.000000000002</v>
      </c>
      <c r="AVQ57">
        <v>1700.0000000000002</v>
      </c>
      <c r="AVR57">
        <v>39400</v>
      </c>
      <c r="AVS57">
        <v>107000</v>
      </c>
      <c r="AVT57">
        <v>3000</v>
      </c>
      <c r="AVU57">
        <v>38700</v>
      </c>
      <c r="AVV57">
        <v>27200</v>
      </c>
      <c r="AVW57">
        <v>20100</v>
      </c>
      <c r="AVX57">
        <v>110000</v>
      </c>
      <c r="AVY57">
        <v>103100</v>
      </c>
      <c r="AVZ57">
        <v>100700</v>
      </c>
      <c r="AWA57">
        <v>92800</v>
      </c>
      <c r="AWB57">
        <v>55799.999999999993</v>
      </c>
      <c r="AWC57">
        <v>29900</v>
      </c>
      <c r="AWD57">
        <v>205100</v>
      </c>
      <c r="AWE57">
        <v>70395.833786641058</v>
      </c>
      <c r="AWF57">
        <v>241962.82181888976</v>
      </c>
      <c r="AWG57">
        <v>189441.34439036969</v>
      </c>
      <c r="AWH57">
        <v>105099.99999999999</v>
      </c>
      <c r="AWI57">
        <v>118100.00000000001</v>
      </c>
      <c r="AWJ57">
        <v>11700</v>
      </c>
      <c r="AWK57">
        <v>14500</v>
      </c>
      <c r="AWL57">
        <v>59799.999999999993</v>
      </c>
      <c r="AWM57">
        <v>69700</v>
      </c>
      <c r="AWN57">
        <v>85500</v>
      </c>
      <c r="AWO57">
        <v>67300</v>
      </c>
      <c r="AWP57">
        <v>318900</v>
      </c>
      <c r="AWQ57">
        <v>287500</v>
      </c>
      <c r="AWR57">
        <v>369600</v>
      </c>
      <c r="AWS57">
        <v>672800</v>
      </c>
      <c r="AWT57">
        <v>245900</v>
      </c>
      <c r="AWU57">
        <v>1200</v>
      </c>
      <c r="AWV57">
        <v>9258563.1516867187</v>
      </c>
      <c r="AWW57">
        <v>163492.28591648975</v>
      </c>
      <c r="AWX57">
        <v>545425.05562027858</v>
      </c>
      <c r="AWY57">
        <v>880470.90241630177</v>
      </c>
      <c r="AWZ57">
        <v>90604.534559179403</v>
      </c>
      <c r="AXA57">
        <v>142965.05917844592</v>
      </c>
      <c r="AXB57">
        <v>116583.54519733481</v>
      </c>
      <c r="AXC57">
        <v>20246.950210524905</v>
      </c>
      <c r="AXD57">
        <v>115842.52622235485</v>
      </c>
      <c r="AXE57">
        <v>99242.875534920735</v>
      </c>
      <c r="AXF57">
        <v>182189.52597940472</v>
      </c>
      <c r="AXG57">
        <v>402943.00045337941</v>
      </c>
      <c r="AXH57">
        <v>169922.46255793978</v>
      </c>
      <c r="AXI57">
        <v>131098.43498022921</v>
      </c>
      <c r="AXJ57">
        <v>168285.61562991998</v>
      </c>
      <c r="AXK57">
        <v>171179.51145978601</v>
      </c>
      <c r="AXL57">
        <v>85995.942439254533</v>
      </c>
      <c r="AXM57">
        <v>1297938.7591413069</v>
      </c>
      <c r="AXN57">
        <v>365108.153334053</v>
      </c>
      <c r="AXO57">
        <v>1168971.6545269352</v>
      </c>
      <c r="AXP57">
        <v>826302.07824662246</v>
      </c>
      <c r="AXQ57">
        <v>375989.00325308758</v>
      </c>
      <c r="AXR57">
        <v>689012.76053762261</v>
      </c>
      <c r="AXS57">
        <v>68131.437346907231</v>
      </c>
      <c r="AXT57">
        <v>35663.333343394705</v>
      </c>
      <c r="AXU57">
        <v>27298.440764100491</v>
      </c>
      <c r="AXV57">
        <v>86851.234896392125</v>
      </c>
      <c r="AXW57">
        <v>234882.27477246572</v>
      </c>
      <c r="AXX57">
        <v>173570.14911774723</v>
      </c>
      <c r="AXY57">
        <v>99023.631783294899</v>
      </c>
      <c r="AXZ57">
        <v>1298078.4044183008</v>
      </c>
      <c r="AYA57">
        <v>710762.57648963435</v>
      </c>
      <c r="AYB57">
        <v>388047.63678517583</v>
      </c>
      <c r="AYC57">
        <v>563331.06001989683</v>
      </c>
      <c r="AYD57">
        <v>40638.732289351086</v>
      </c>
      <c r="AYE57">
        <v>916000</v>
      </c>
      <c r="AYF57">
        <v>14000</v>
      </c>
      <c r="AYG57">
        <v>126118.59143642501</v>
      </c>
      <c r="AYH57">
        <v>267334.87717729801</v>
      </c>
      <c r="AYI57">
        <v>60192.612239226699</v>
      </c>
      <c r="AYJ57">
        <v>31856.05241364424</v>
      </c>
      <c r="AYK57">
        <v>121179.94861124155</v>
      </c>
      <c r="AYL57">
        <v>17975.214930699109</v>
      </c>
      <c r="AYM57">
        <v>131550.58248949514</v>
      </c>
      <c r="AYN57">
        <v>203678.50625023103</v>
      </c>
      <c r="AYO57">
        <v>99145.447947742723</v>
      </c>
      <c r="AYP57">
        <v>358728.15244793455</v>
      </c>
      <c r="AYQ57">
        <v>155117.76540908538</v>
      </c>
      <c r="AYR57">
        <v>544232.24667963781</v>
      </c>
      <c r="AYS57">
        <v>141459.86352702626</v>
      </c>
      <c r="AYT57">
        <v>170430.1384403125</v>
      </c>
      <c r="AYU57">
        <v>35000</v>
      </c>
      <c r="AYV57">
        <v>927000</v>
      </c>
      <c r="AYW57">
        <v>54181.72698180149</v>
      </c>
      <c r="AYX57">
        <v>873466.0218749718</v>
      </c>
      <c r="AYY57">
        <v>628352.25114322663</v>
      </c>
      <c r="AYZ57">
        <v>620000</v>
      </c>
      <c r="AZA57">
        <v>233162.95536905326</v>
      </c>
      <c r="AZB57">
        <v>20581.235249562975</v>
      </c>
      <c r="AZC57">
        <v>52271.199980371232</v>
      </c>
      <c r="AZD57">
        <v>128984.6094010126</v>
      </c>
      <c r="AZE57">
        <v>62000</v>
      </c>
      <c r="AZF57">
        <v>319000</v>
      </c>
      <c r="AZG57">
        <v>58000</v>
      </c>
      <c r="AZH57">
        <v>245000</v>
      </c>
      <c r="AZI57">
        <v>312000</v>
      </c>
      <c r="AZJ57">
        <v>439000</v>
      </c>
      <c r="AZK57">
        <v>223000</v>
      </c>
      <c r="AZL57">
        <v>551090.79862848332</v>
      </c>
      <c r="AZM57">
        <v>133909.20137151662</v>
      </c>
      <c r="AZN57">
        <v>2595872.2926715636</v>
      </c>
      <c r="AZO57">
        <v>613452.35717232688</v>
      </c>
      <c r="AZP57">
        <v>1844351.8856854162</v>
      </c>
      <c r="AZQ57">
        <v>1447389.3703860142</v>
      </c>
      <c r="AZR57">
        <v>97663.035776074132</v>
      </c>
      <c r="AZS57">
        <v>612149.27649493469</v>
      </c>
      <c r="AZT57">
        <v>2360517.7830683398</v>
      </c>
      <c r="AZU57">
        <v>153474.30421404506</v>
      </c>
      <c r="AZV57">
        <v>1071803.3075419618</v>
      </c>
      <c r="AZW57">
        <v>935304.12367680168</v>
      </c>
      <c r="AZX57">
        <v>541444.27316791133</v>
      </c>
      <c r="AZY57">
        <v>2311673.0089886948</v>
      </c>
      <c r="AZZ57">
        <v>1542364.3405072154</v>
      </c>
      <c r="BAA57">
        <v>2576729.5188224865</v>
      </c>
      <c r="BAB57">
        <v>1992901.3791523436</v>
      </c>
      <c r="BAC57">
        <v>1136118.3660424249</v>
      </c>
      <c r="BAD57">
        <v>634693.19539167371</v>
      </c>
      <c r="BAE57">
        <v>7372055.1974705253</v>
      </c>
      <c r="BAF57">
        <v>1158570.3476684841</v>
      </c>
      <c r="BAG57">
        <v>5949207.4711029911</v>
      </c>
      <c r="BAH57">
        <v>16162876.576770162</v>
      </c>
      <c r="BAI57">
        <v>9509521.819737291</v>
      </c>
      <c r="BAJ57">
        <v>2074020.8662991598</v>
      </c>
      <c r="BAK57">
        <v>57910.858425089442</v>
      </c>
      <c r="BAL57">
        <v>520895.772812062</v>
      </c>
      <c r="BAM57">
        <v>1316201.4115104827</v>
      </c>
      <c r="BAN57">
        <v>2605061.7531281984</v>
      </c>
      <c r="BAO57">
        <v>5665851.8747341959</v>
      </c>
      <c r="BAP57">
        <v>1652020.5511784446</v>
      </c>
      <c r="BAQ57">
        <v>15453803.191179693</v>
      </c>
      <c r="BAR57">
        <v>19891101.247094724</v>
      </c>
      <c r="BAS57">
        <v>2295723.2919792198</v>
      </c>
      <c r="BAT57">
        <v>13652773.891741799</v>
      </c>
      <c r="BAU57">
        <v>7401565.2368858326</v>
      </c>
      <c r="BAV57">
        <v>815862.74919186544</v>
      </c>
    </row>
    <row r="58" spans="1:1400" x14ac:dyDescent="0.25">
      <c r="A58" s="1">
        <f>SUM(A57:BAV57)</f>
        <v>1829453488.959672</v>
      </c>
    </row>
  </sheetData>
  <mergeCells count="3">
    <mergeCell ref="C1:D1"/>
    <mergeCell ref="E1:F1"/>
    <mergeCell ref="A52:N5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Views>
    <sheetView topLeftCell="A228" workbookViewId="0">
      <selection activeCell="B251" sqref="B251"/>
    </sheetView>
  </sheetViews>
  <sheetFormatPr defaultRowHeight="15" x14ac:dyDescent="0.25"/>
  <cols>
    <col min="1" max="1" width="25.7109375" bestFit="1" customWidth="1"/>
    <col min="2" max="2" width="11.42578125" bestFit="1" customWidth="1"/>
    <col min="3" max="3" width="12.42578125" bestFit="1" customWidth="1"/>
  </cols>
  <sheetData>
    <row r="1" spans="1:2" x14ac:dyDescent="0.25">
      <c r="A1" t="s">
        <v>220</v>
      </c>
    </row>
    <row r="3" spans="1:2" x14ac:dyDescent="0.25">
      <c r="A3" t="s">
        <v>221</v>
      </c>
      <c r="B3" t="s">
        <v>219</v>
      </c>
    </row>
    <row r="4" spans="1:2" x14ac:dyDescent="0.25">
      <c r="A4" t="s">
        <v>55</v>
      </c>
    </row>
    <row r="5" spans="1:2" x14ac:dyDescent="0.25">
      <c r="A5" t="s">
        <v>21</v>
      </c>
    </row>
    <row r="6" spans="1:2" x14ac:dyDescent="0.25">
      <c r="A6" t="s">
        <v>91</v>
      </c>
      <c r="B6">
        <v>48.400001525878899</v>
      </c>
    </row>
    <row r="7" spans="1:2" x14ac:dyDescent="0.25">
      <c r="A7" t="s">
        <v>116</v>
      </c>
      <c r="B7">
        <v>71.699996948242202</v>
      </c>
    </row>
    <row r="8" spans="1:2" x14ac:dyDescent="0.25">
      <c r="A8" t="s">
        <v>185</v>
      </c>
      <c r="B8">
        <v>63.700000762939503</v>
      </c>
    </row>
    <row r="9" spans="1:2" x14ac:dyDescent="0.25">
      <c r="A9" t="s">
        <v>222</v>
      </c>
      <c r="B9">
        <v>48.761748691410332</v>
      </c>
    </row>
    <row r="10" spans="1:2" x14ac:dyDescent="0.25">
      <c r="A10" t="s">
        <v>87</v>
      </c>
      <c r="B10">
        <v>75.5</v>
      </c>
    </row>
    <row r="11" spans="1:2" x14ac:dyDescent="0.25">
      <c r="A11" t="s">
        <v>34</v>
      </c>
      <c r="B11">
        <v>57.900001525878899</v>
      </c>
    </row>
    <row r="12" spans="1:2" x14ac:dyDescent="0.25">
      <c r="A12" t="s">
        <v>182</v>
      </c>
      <c r="B12">
        <v>65.800003051757798</v>
      </c>
    </row>
    <row r="13" spans="1:2" x14ac:dyDescent="0.25">
      <c r="A13" t="s">
        <v>175</v>
      </c>
    </row>
    <row r="14" spans="1:2" x14ac:dyDescent="0.25">
      <c r="A14" t="s">
        <v>53</v>
      </c>
    </row>
    <row r="15" spans="1:2" x14ac:dyDescent="0.25">
      <c r="A15" t="s">
        <v>31</v>
      </c>
      <c r="B15">
        <v>63.599998474121101</v>
      </c>
    </row>
    <row r="16" spans="1:2" x14ac:dyDescent="0.25">
      <c r="A16" t="s">
        <v>5</v>
      </c>
      <c r="B16">
        <v>58.299999237060497</v>
      </c>
    </row>
    <row r="17" spans="1:2" x14ac:dyDescent="0.25">
      <c r="A17" t="s">
        <v>183</v>
      </c>
      <c r="B17">
        <v>63.700000762939503</v>
      </c>
    </row>
    <row r="18" spans="1:2" x14ac:dyDescent="0.25">
      <c r="A18" t="s">
        <v>118</v>
      </c>
      <c r="B18">
        <v>86.800003051757798</v>
      </c>
    </row>
    <row r="19" spans="1:2" x14ac:dyDescent="0.25">
      <c r="A19" t="s">
        <v>6</v>
      </c>
      <c r="B19">
        <v>50.400001525878899</v>
      </c>
    </row>
    <row r="20" spans="1:2" x14ac:dyDescent="0.25">
      <c r="A20" t="s">
        <v>126</v>
      </c>
      <c r="B20">
        <v>72.900001525878906</v>
      </c>
    </row>
    <row r="21" spans="1:2" x14ac:dyDescent="0.25">
      <c r="A21" t="s">
        <v>164</v>
      </c>
      <c r="B21">
        <v>83.300003051757798</v>
      </c>
    </row>
    <row r="22" spans="1:2" x14ac:dyDescent="0.25">
      <c r="A22" t="s">
        <v>92</v>
      </c>
      <c r="B22">
        <v>72.900001525878906</v>
      </c>
    </row>
    <row r="23" spans="1:2" x14ac:dyDescent="0.25">
      <c r="A23" t="s">
        <v>189</v>
      </c>
      <c r="B23">
        <v>53.700000762939503</v>
      </c>
    </row>
    <row r="24" spans="1:2" x14ac:dyDescent="0.25">
      <c r="A24" t="s">
        <v>75</v>
      </c>
      <c r="B24">
        <v>65.400001525878906</v>
      </c>
    </row>
    <row r="25" spans="1:2" x14ac:dyDescent="0.25">
      <c r="A25" t="s">
        <v>54</v>
      </c>
      <c r="B25">
        <v>73.099998474121094</v>
      </c>
    </row>
    <row r="26" spans="1:2" x14ac:dyDescent="0.25">
      <c r="A26" t="s">
        <v>211</v>
      </c>
      <c r="B26">
        <v>46.700000762939503</v>
      </c>
    </row>
    <row r="27" spans="1:2" x14ac:dyDescent="0.25">
      <c r="A27" t="s">
        <v>184</v>
      </c>
      <c r="B27">
        <v>61.5</v>
      </c>
    </row>
    <row r="28" spans="1:2" x14ac:dyDescent="0.25">
      <c r="A28" t="s">
        <v>62</v>
      </c>
      <c r="B28">
        <v>61.200000762939503</v>
      </c>
    </row>
    <row r="29" spans="1:2" x14ac:dyDescent="0.25">
      <c r="A29" t="s">
        <v>57</v>
      </c>
    </row>
    <row r="30" spans="1:2" x14ac:dyDescent="0.25">
      <c r="A30" t="s">
        <v>35</v>
      </c>
      <c r="B30">
        <v>69.599998474121094</v>
      </c>
    </row>
    <row r="31" spans="1:2" x14ac:dyDescent="0.25">
      <c r="A31" t="s">
        <v>36</v>
      </c>
      <c r="B31">
        <v>67.199996948242202</v>
      </c>
    </row>
    <row r="32" spans="1:2" x14ac:dyDescent="0.25">
      <c r="A32" t="s">
        <v>56</v>
      </c>
      <c r="B32">
        <v>68.699996948242202</v>
      </c>
    </row>
    <row r="33" spans="1:2" x14ac:dyDescent="0.25">
      <c r="A33" t="s">
        <v>94</v>
      </c>
      <c r="B33">
        <v>66.599998474121094</v>
      </c>
    </row>
    <row r="34" spans="1:2" x14ac:dyDescent="0.25">
      <c r="A34" t="s">
        <v>93</v>
      </c>
      <c r="B34">
        <v>63.900001525878899</v>
      </c>
    </row>
    <row r="35" spans="1:2" x14ac:dyDescent="0.25">
      <c r="A35" t="s">
        <v>117</v>
      </c>
      <c r="B35">
        <v>74.300003051757798</v>
      </c>
    </row>
    <row r="36" spans="1:2" x14ac:dyDescent="0.25">
      <c r="A36" t="s">
        <v>121</v>
      </c>
      <c r="B36">
        <v>78.199996948242202</v>
      </c>
    </row>
    <row r="37" spans="1:2" x14ac:dyDescent="0.25">
      <c r="A37" t="s">
        <v>18</v>
      </c>
      <c r="B37">
        <v>64.199996948242202</v>
      </c>
    </row>
    <row r="38" spans="1:2" x14ac:dyDescent="0.25">
      <c r="A38" t="s">
        <v>223</v>
      </c>
      <c r="B38">
        <v>58.51524671120206</v>
      </c>
    </row>
    <row r="39" spans="1:2" x14ac:dyDescent="0.25">
      <c r="A39" t="s">
        <v>16</v>
      </c>
      <c r="B39">
        <v>67.599998474121094</v>
      </c>
    </row>
    <row r="40" spans="1:2" x14ac:dyDescent="0.25">
      <c r="A40" t="s">
        <v>224</v>
      </c>
    </row>
    <row r="41" spans="1:2" x14ac:dyDescent="0.25">
      <c r="A41" t="s">
        <v>37</v>
      </c>
      <c r="B41">
        <v>55</v>
      </c>
    </row>
    <row r="42" spans="1:2" x14ac:dyDescent="0.25">
      <c r="A42" t="s">
        <v>193</v>
      </c>
      <c r="B42">
        <v>78.400001525878906</v>
      </c>
    </row>
    <row r="43" spans="1:2" x14ac:dyDescent="0.25">
      <c r="A43" t="s">
        <v>135</v>
      </c>
      <c r="B43">
        <v>66.599998474121094</v>
      </c>
    </row>
    <row r="44" spans="1:2" x14ac:dyDescent="0.25">
      <c r="A44" t="s">
        <v>119</v>
      </c>
      <c r="B44">
        <v>68.800003051757798</v>
      </c>
    </row>
    <row r="45" spans="1:2" x14ac:dyDescent="0.25">
      <c r="A45" t="s">
        <v>124</v>
      </c>
      <c r="B45">
        <v>67.300003051757798</v>
      </c>
    </row>
    <row r="46" spans="1:2" x14ac:dyDescent="0.25">
      <c r="A46" t="s">
        <v>38</v>
      </c>
      <c r="B46">
        <v>58.599998474121101</v>
      </c>
    </row>
    <row r="47" spans="1:2" x14ac:dyDescent="0.25">
      <c r="A47" t="s">
        <v>123</v>
      </c>
      <c r="B47">
        <v>54.299999237060497</v>
      </c>
    </row>
    <row r="48" spans="1:2" x14ac:dyDescent="0.25">
      <c r="A48" t="s">
        <v>120</v>
      </c>
      <c r="B48">
        <v>63.200000762939503</v>
      </c>
    </row>
    <row r="49" spans="1:2" x14ac:dyDescent="0.25">
      <c r="A49" t="s">
        <v>39</v>
      </c>
      <c r="B49">
        <v>58.099998474121101</v>
      </c>
    </row>
    <row r="50" spans="1:2" x14ac:dyDescent="0.25">
      <c r="A50" t="s">
        <v>225</v>
      </c>
      <c r="B50">
        <v>65.862722616775613</v>
      </c>
    </row>
    <row r="51" spans="1:2" x14ac:dyDescent="0.25">
      <c r="A51" t="s">
        <v>197</v>
      </c>
      <c r="B51">
        <v>54.700000762939503</v>
      </c>
    </row>
    <row r="52" spans="1:2" x14ac:dyDescent="0.25">
      <c r="A52" t="s">
        <v>65</v>
      </c>
    </row>
    <row r="53" spans="1:2" x14ac:dyDescent="0.25">
      <c r="A53" t="s">
        <v>73</v>
      </c>
    </row>
    <row r="54" spans="1:2" x14ac:dyDescent="0.25">
      <c r="A54" t="s">
        <v>76</v>
      </c>
      <c r="B54">
        <v>56.700000762939503</v>
      </c>
    </row>
    <row r="55" spans="1:2" x14ac:dyDescent="0.25">
      <c r="A55" t="s">
        <v>198</v>
      </c>
      <c r="B55">
        <v>61.099998474121101</v>
      </c>
    </row>
    <row r="56" spans="1:2" x14ac:dyDescent="0.25">
      <c r="A56" t="s">
        <v>9</v>
      </c>
      <c r="B56">
        <v>58.299999237060497</v>
      </c>
    </row>
    <row r="57" spans="1:2" x14ac:dyDescent="0.25">
      <c r="A57" t="s">
        <v>114</v>
      </c>
      <c r="B57">
        <v>47.900001525878899</v>
      </c>
    </row>
    <row r="58" spans="1:2" x14ac:dyDescent="0.25">
      <c r="A58" t="s">
        <v>58</v>
      </c>
    </row>
    <row r="59" spans="1:2" x14ac:dyDescent="0.25">
      <c r="A59" t="s">
        <v>7</v>
      </c>
      <c r="B59">
        <v>65.400001525878906</v>
      </c>
    </row>
    <row r="60" spans="1:2" x14ac:dyDescent="0.25">
      <c r="A60" t="s">
        <v>40</v>
      </c>
      <c r="B60">
        <v>63.799999237060497</v>
      </c>
    </row>
    <row r="61" spans="1:2" x14ac:dyDescent="0.25">
      <c r="A61" t="s">
        <v>115</v>
      </c>
      <c r="B61">
        <v>45</v>
      </c>
    </row>
    <row r="62" spans="1:2" x14ac:dyDescent="0.25">
      <c r="A62" t="s">
        <v>226</v>
      </c>
      <c r="B62">
        <v>76.407226472634193</v>
      </c>
    </row>
    <row r="63" spans="1:2" x14ac:dyDescent="0.25">
      <c r="A63" t="s">
        <v>227</v>
      </c>
      <c r="B63">
        <v>74.818690224888982</v>
      </c>
    </row>
    <row r="64" spans="1:2" x14ac:dyDescent="0.25">
      <c r="A64" t="s">
        <v>228</v>
      </c>
      <c r="B64">
        <v>58.952246280636288</v>
      </c>
    </row>
    <row r="65" spans="1:2" x14ac:dyDescent="0.25">
      <c r="A65" t="s">
        <v>229</v>
      </c>
      <c r="B65">
        <v>57.604151597168283</v>
      </c>
    </row>
    <row r="66" spans="1:2" x14ac:dyDescent="0.25">
      <c r="A66" t="s">
        <v>41</v>
      </c>
      <c r="B66">
        <v>64.599998474121094</v>
      </c>
    </row>
    <row r="67" spans="1:2" x14ac:dyDescent="0.25">
      <c r="A67" t="s">
        <v>88</v>
      </c>
      <c r="B67">
        <v>46.099998474121101</v>
      </c>
    </row>
    <row r="68" spans="1:2" x14ac:dyDescent="0.25">
      <c r="A68" t="s">
        <v>20</v>
      </c>
      <c r="B68">
        <v>54.466709533407467</v>
      </c>
    </row>
    <row r="69" spans="1:2" x14ac:dyDescent="0.25">
      <c r="A69" t="s">
        <v>128</v>
      </c>
      <c r="B69">
        <v>81.699996948242202</v>
      </c>
    </row>
    <row r="70" spans="1:2" x14ac:dyDescent="0.25">
      <c r="A70" t="s">
        <v>29</v>
      </c>
      <c r="B70">
        <v>50.900001525878899</v>
      </c>
    </row>
    <row r="71" spans="1:2" x14ac:dyDescent="0.25">
      <c r="A71" t="s">
        <v>200</v>
      </c>
      <c r="B71">
        <v>61.400001525878899</v>
      </c>
    </row>
    <row r="72" spans="1:2" x14ac:dyDescent="0.25">
      <c r="A72" t="s">
        <v>129</v>
      </c>
      <c r="B72">
        <v>80.800003051757798</v>
      </c>
    </row>
    <row r="73" spans="1:2" x14ac:dyDescent="0.25">
      <c r="A73" t="s">
        <v>230</v>
      </c>
      <c r="B73">
        <v>56.291267414830202</v>
      </c>
    </row>
    <row r="74" spans="1:2" x14ac:dyDescent="0.25">
      <c r="A74" t="s">
        <v>231</v>
      </c>
      <c r="B74">
        <v>63.771002300338687</v>
      </c>
    </row>
    <row r="75" spans="1:2" x14ac:dyDescent="0.25">
      <c r="A75" t="s">
        <v>22</v>
      </c>
      <c r="B75">
        <v>60.700000762939503</v>
      </c>
    </row>
    <row r="76" spans="1:2" x14ac:dyDescent="0.25">
      <c r="A76" t="s">
        <v>169</v>
      </c>
      <c r="B76">
        <v>59.299999237060497</v>
      </c>
    </row>
    <row r="77" spans="1:2" x14ac:dyDescent="0.25">
      <c r="A77" t="s">
        <v>8</v>
      </c>
      <c r="B77">
        <v>55.599998474121101</v>
      </c>
    </row>
    <row r="78" spans="1:2" x14ac:dyDescent="0.25">
      <c r="A78" t="s">
        <v>167</v>
      </c>
    </row>
    <row r="79" spans="1:2" x14ac:dyDescent="0.25">
      <c r="A79" t="s">
        <v>179</v>
      </c>
    </row>
    <row r="80" spans="1:2" x14ac:dyDescent="0.25">
      <c r="A80" t="s">
        <v>130</v>
      </c>
      <c r="B80">
        <v>61.200000762939503</v>
      </c>
    </row>
    <row r="81" spans="1:2" x14ac:dyDescent="0.25">
      <c r="A81" t="s">
        <v>3</v>
      </c>
      <c r="B81">
        <v>61.5</v>
      </c>
    </row>
    <row r="82" spans="1:2" x14ac:dyDescent="0.25">
      <c r="A82" t="s">
        <v>186</v>
      </c>
      <c r="B82">
        <v>66.300003051757798</v>
      </c>
    </row>
    <row r="83" spans="1:2" x14ac:dyDescent="0.25">
      <c r="A83" t="s">
        <v>132</v>
      </c>
      <c r="B83">
        <v>73</v>
      </c>
    </row>
    <row r="84" spans="1:2" x14ac:dyDescent="0.25">
      <c r="A84" t="s">
        <v>134</v>
      </c>
      <c r="B84">
        <v>71</v>
      </c>
    </row>
    <row r="85" spans="1:2" x14ac:dyDescent="0.25">
      <c r="A85" t="s">
        <v>131</v>
      </c>
      <c r="B85">
        <v>77.300003051757798</v>
      </c>
    </row>
    <row r="86" spans="1:2" x14ac:dyDescent="0.25">
      <c r="A86" t="s">
        <v>133</v>
      </c>
      <c r="B86">
        <v>68.699996948242202</v>
      </c>
    </row>
    <row r="87" spans="1:2" x14ac:dyDescent="0.25">
      <c r="A87" t="s">
        <v>127</v>
      </c>
      <c r="B87">
        <v>87.199996948242202</v>
      </c>
    </row>
    <row r="88" spans="1:2" x14ac:dyDescent="0.25">
      <c r="A88" t="s">
        <v>23</v>
      </c>
      <c r="B88">
        <v>51.700000762939503</v>
      </c>
    </row>
    <row r="89" spans="1:2" x14ac:dyDescent="0.25">
      <c r="A89" t="s">
        <v>60</v>
      </c>
    </row>
    <row r="90" spans="1:2" x14ac:dyDescent="0.25">
      <c r="A90" t="s">
        <v>59</v>
      </c>
    </row>
    <row r="91" spans="1:2" x14ac:dyDescent="0.25">
      <c r="A91" t="s">
        <v>43</v>
      </c>
      <c r="B91">
        <v>63.400001525878899</v>
      </c>
    </row>
    <row r="92" spans="1:2" x14ac:dyDescent="0.25">
      <c r="A92" t="s">
        <v>171</v>
      </c>
      <c r="B92">
        <v>65.5</v>
      </c>
    </row>
    <row r="93" spans="1:2" x14ac:dyDescent="0.25">
      <c r="A93" t="s">
        <v>61</v>
      </c>
      <c r="B93">
        <v>59.599998474121101</v>
      </c>
    </row>
    <row r="94" spans="1:2" x14ac:dyDescent="0.25">
      <c r="A94" t="s">
        <v>232</v>
      </c>
      <c r="B94">
        <v>60.352926643469942</v>
      </c>
    </row>
    <row r="95" spans="1:2" x14ac:dyDescent="0.25">
      <c r="A95" t="s">
        <v>98</v>
      </c>
      <c r="B95">
        <v>61.599998474121101</v>
      </c>
    </row>
    <row r="96" spans="1:2" x14ac:dyDescent="0.25">
      <c r="A96" t="s">
        <v>45</v>
      </c>
      <c r="B96">
        <v>63.700000762939503</v>
      </c>
    </row>
    <row r="97" spans="1:2" x14ac:dyDescent="0.25">
      <c r="A97" t="s">
        <v>233</v>
      </c>
      <c r="B97">
        <v>72.85910530391601</v>
      </c>
    </row>
    <row r="98" spans="1:2" x14ac:dyDescent="0.25">
      <c r="A98" t="s">
        <v>208</v>
      </c>
      <c r="B98">
        <v>55</v>
      </c>
    </row>
    <row r="99" spans="1:2" x14ac:dyDescent="0.25">
      <c r="A99" t="s">
        <v>44</v>
      </c>
      <c r="B99">
        <v>64.599998474121094</v>
      </c>
    </row>
    <row r="100" spans="1:2" x14ac:dyDescent="0.25">
      <c r="A100" t="s">
        <v>204</v>
      </c>
      <c r="B100">
        <v>48.700000762939503</v>
      </c>
    </row>
    <row r="101" spans="1:2" x14ac:dyDescent="0.25">
      <c r="A101" t="s">
        <v>100</v>
      </c>
      <c r="B101">
        <v>67.599998474121094</v>
      </c>
    </row>
    <row r="102" spans="1:2" x14ac:dyDescent="0.25">
      <c r="A102" t="s">
        <v>4</v>
      </c>
    </row>
    <row r="103" spans="1:2" x14ac:dyDescent="0.25">
      <c r="A103" t="s">
        <v>99</v>
      </c>
      <c r="B103">
        <v>60.299999237060497</v>
      </c>
    </row>
    <row r="104" spans="1:2" x14ac:dyDescent="0.25">
      <c r="A104" t="s">
        <v>234</v>
      </c>
    </row>
    <row r="105" spans="1:2" x14ac:dyDescent="0.25">
      <c r="A105" t="s">
        <v>25</v>
      </c>
      <c r="B105">
        <v>54.5</v>
      </c>
    </row>
    <row r="106" spans="1:2" x14ac:dyDescent="0.25">
      <c r="A106" t="s">
        <v>77</v>
      </c>
      <c r="B106">
        <v>43.099998474121101</v>
      </c>
    </row>
    <row r="107" spans="1:2" x14ac:dyDescent="0.25">
      <c r="A107" t="s">
        <v>78</v>
      </c>
      <c r="B107">
        <v>41.099998474121101</v>
      </c>
    </row>
    <row r="108" spans="1:2" x14ac:dyDescent="0.25">
      <c r="A108" t="s">
        <v>24</v>
      </c>
      <c r="B108">
        <v>74.900001525878906</v>
      </c>
    </row>
    <row r="109" spans="1:2" x14ac:dyDescent="0.25">
      <c r="A109" t="s">
        <v>79</v>
      </c>
      <c r="B109">
        <v>53.5</v>
      </c>
    </row>
    <row r="110" spans="1:2" x14ac:dyDescent="0.25">
      <c r="A110" t="s">
        <v>11</v>
      </c>
      <c r="B110">
        <v>47.200000762939503</v>
      </c>
    </row>
    <row r="111" spans="1:2" x14ac:dyDescent="0.25">
      <c r="A111" t="s">
        <v>63</v>
      </c>
      <c r="B111">
        <v>72.099998474121094</v>
      </c>
    </row>
    <row r="112" spans="1:2" x14ac:dyDescent="0.25">
      <c r="A112" t="s">
        <v>80</v>
      </c>
      <c r="B112">
        <v>42.400001525878899</v>
      </c>
    </row>
    <row r="113" spans="1:2" x14ac:dyDescent="0.25">
      <c r="A113" t="s">
        <v>19</v>
      </c>
      <c r="B113">
        <v>63.599998474121101</v>
      </c>
    </row>
    <row r="114" spans="1:2" x14ac:dyDescent="0.25">
      <c r="A114" t="s">
        <v>187</v>
      </c>
      <c r="B114">
        <v>69.5</v>
      </c>
    </row>
    <row r="115" spans="1:2" x14ac:dyDescent="0.25">
      <c r="A115" t="s">
        <v>136</v>
      </c>
      <c r="B115">
        <v>71</v>
      </c>
    </row>
    <row r="116" spans="1:2" x14ac:dyDescent="0.25">
      <c r="A116" t="s">
        <v>188</v>
      </c>
      <c r="B116">
        <v>65.599998474121094</v>
      </c>
    </row>
    <row r="117" spans="1:2" x14ac:dyDescent="0.25">
      <c r="A117" t="s">
        <v>96</v>
      </c>
      <c r="B117">
        <v>79.699996948242202</v>
      </c>
    </row>
    <row r="118" spans="1:2" x14ac:dyDescent="0.25">
      <c r="A118" t="s">
        <v>170</v>
      </c>
    </row>
    <row r="119" spans="1:2" x14ac:dyDescent="0.25">
      <c r="A119" t="s">
        <v>67</v>
      </c>
    </row>
    <row r="120" spans="1:2" x14ac:dyDescent="0.25">
      <c r="A120" t="s">
        <v>102</v>
      </c>
      <c r="B120">
        <v>62.099998474121101</v>
      </c>
    </row>
    <row r="122" spans="1:2" x14ac:dyDescent="0.25">
      <c r="A122" t="s">
        <v>81</v>
      </c>
      <c r="B122">
        <v>67.5</v>
      </c>
    </row>
    <row r="123" spans="1:2" x14ac:dyDescent="0.25">
      <c r="A123" t="s">
        <v>235</v>
      </c>
      <c r="B123">
        <v>63.258206103225</v>
      </c>
    </row>
    <row r="124" spans="1:2" x14ac:dyDescent="0.25">
      <c r="A124" t="s">
        <v>103</v>
      </c>
      <c r="B124">
        <v>80.800003051757798</v>
      </c>
    </row>
    <row r="125" spans="1:2" x14ac:dyDescent="0.25">
      <c r="A125" t="s">
        <v>82</v>
      </c>
      <c r="B125">
        <v>43.5</v>
      </c>
    </row>
    <row r="126" spans="1:2" x14ac:dyDescent="0.25">
      <c r="A126" t="s">
        <v>138</v>
      </c>
      <c r="B126">
        <v>60.200000762939503</v>
      </c>
    </row>
    <row r="127" spans="1:2" x14ac:dyDescent="0.25">
      <c r="A127" t="s">
        <v>139</v>
      </c>
      <c r="B127">
        <v>49.799999237060497</v>
      </c>
    </row>
    <row r="128" spans="1:2" x14ac:dyDescent="0.25">
      <c r="A128" t="s">
        <v>68</v>
      </c>
      <c r="B128">
        <v>67.599998474121094</v>
      </c>
    </row>
    <row r="129" spans="1:2" x14ac:dyDescent="0.25">
      <c r="A129" t="s">
        <v>236</v>
      </c>
      <c r="B129">
        <v>62.859113219344998</v>
      </c>
    </row>
    <row r="130" spans="1:2" x14ac:dyDescent="0.25">
      <c r="A130" t="s">
        <v>237</v>
      </c>
      <c r="B130">
        <v>73.687406444998302</v>
      </c>
    </row>
    <row r="131" spans="1:2" x14ac:dyDescent="0.25">
      <c r="A131" t="s">
        <v>238</v>
      </c>
      <c r="B131">
        <v>75.481464974823595</v>
      </c>
    </row>
    <row r="132" spans="1:2" x14ac:dyDescent="0.25">
      <c r="A132" t="s">
        <v>17</v>
      </c>
    </row>
    <row r="133" spans="1:2" x14ac:dyDescent="0.25">
      <c r="A133" t="s">
        <v>97</v>
      </c>
      <c r="B133">
        <v>55.700000762939503</v>
      </c>
    </row>
    <row r="134" spans="1:2" x14ac:dyDescent="0.25">
      <c r="A134" t="s">
        <v>239</v>
      </c>
      <c r="B134">
        <v>60.847606661975661</v>
      </c>
    </row>
    <row r="135" spans="1:2" x14ac:dyDescent="0.25">
      <c r="A135" t="s">
        <v>240</v>
      </c>
      <c r="B135">
        <v>67.40177295772331</v>
      </c>
    </row>
    <row r="136" spans="1:2" x14ac:dyDescent="0.25">
      <c r="A136" t="s">
        <v>137</v>
      </c>
      <c r="B136">
        <v>74.699996948242202</v>
      </c>
    </row>
    <row r="137" spans="1:2" x14ac:dyDescent="0.25">
      <c r="A137" t="s">
        <v>205</v>
      </c>
      <c r="B137">
        <v>62.299999237060497</v>
      </c>
    </row>
    <row r="138" spans="1:2" x14ac:dyDescent="0.25">
      <c r="A138" t="s">
        <v>12</v>
      </c>
      <c r="B138">
        <v>50.900001525878899</v>
      </c>
    </row>
    <row r="139" spans="1:2" x14ac:dyDescent="0.25">
      <c r="A139" t="s">
        <v>201</v>
      </c>
      <c r="B139">
        <v>59.200000762939503</v>
      </c>
    </row>
    <row r="140" spans="1:2" x14ac:dyDescent="0.25">
      <c r="A140" t="s">
        <v>104</v>
      </c>
      <c r="B140">
        <v>67.5</v>
      </c>
    </row>
    <row r="141" spans="1:2" x14ac:dyDescent="0.25">
      <c r="A141" t="s">
        <v>241</v>
      </c>
    </row>
    <row r="142" spans="1:2" x14ac:dyDescent="0.25">
      <c r="A142" t="s">
        <v>145</v>
      </c>
      <c r="B142">
        <v>53.799999237060497</v>
      </c>
    </row>
    <row r="143" spans="1:2" x14ac:dyDescent="0.25">
      <c r="A143" t="s">
        <v>28</v>
      </c>
    </row>
    <row r="144" spans="1:2" x14ac:dyDescent="0.25">
      <c r="A144" t="s">
        <v>190</v>
      </c>
      <c r="B144">
        <v>63.5</v>
      </c>
    </row>
    <row r="145" spans="1:2" x14ac:dyDescent="0.25">
      <c r="A145" t="s">
        <v>140</v>
      </c>
      <c r="B145">
        <v>86.400001525878906</v>
      </c>
    </row>
    <row r="146" spans="1:2" x14ac:dyDescent="0.25">
      <c r="A146" t="s">
        <v>106</v>
      </c>
      <c r="B146">
        <v>52</v>
      </c>
    </row>
    <row r="147" spans="1:2" x14ac:dyDescent="0.25">
      <c r="A147" t="s">
        <v>242</v>
      </c>
      <c r="B147">
        <v>47.309933751875512</v>
      </c>
    </row>
    <row r="148" spans="1:2" x14ac:dyDescent="0.25">
      <c r="A148" t="s">
        <v>46</v>
      </c>
      <c r="B148">
        <v>59.400001525878899</v>
      </c>
    </row>
    <row r="149" spans="1:2" x14ac:dyDescent="0.25">
      <c r="A149" t="s">
        <v>178</v>
      </c>
    </row>
    <row r="150" spans="1:2" x14ac:dyDescent="0.25">
      <c r="A150" t="s">
        <v>243</v>
      </c>
      <c r="B150">
        <v>66.397464082830552</v>
      </c>
    </row>
    <row r="151" spans="1:2" x14ac:dyDescent="0.25">
      <c r="A151" t="s">
        <v>210</v>
      </c>
      <c r="B151">
        <v>54.599998474121101</v>
      </c>
    </row>
    <row r="152" spans="1:2" x14ac:dyDescent="0.25">
      <c r="A152" t="s">
        <v>142</v>
      </c>
      <c r="B152">
        <v>50.700000762939503</v>
      </c>
    </row>
    <row r="153" spans="1:2" x14ac:dyDescent="0.25">
      <c r="A153" t="s">
        <v>26</v>
      </c>
      <c r="B153">
        <v>51</v>
      </c>
    </row>
    <row r="154" spans="1:2" x14ac:dyDescent="0.25">
      <c r="A154" t="s">
        <v>95</v>
      </c>
      <c r="B154">
        <v>76.199996948242202</v>
      </c>
    </row>
    <row r="155" spans="1:2" x14ac:dyDescent="0.25">
      <c r="A155" t="s">
        <v>244</v>
      </c>
      <c r="B155">
        <v>46.106378480094229</v>
      </c>
    </row>
    <row r="156" spans="1:2" x14ac:dyDescent="0.25">
      <c r="A156" t="s">
        <v>203</v>
      </c>
      <c r="B156">
        <v>52.5</v>
      </c>
    </row>
    <row r="157" spans="1:2" x14ac:dyDescent="0.25">
      <c r="A157" t="s">
        <v>206</v>
      </c>
      <c r="B157">
        <v>60.200000762939503</v>
      </c>
    </row>
    <row r="158" spans="1:2" x14ac:dyDescent="0.25">
      <c r="A158" t="s">
        <v>168</v>
      </c>
    </row>
    <row r="159" spans="1:2" x14ac:dyDescent="0.25">
      <c r="A159" t="s">
        <v>146</v>
      </c>
      <c r="B159">
        <v>83.900001525878906</v>
      </c>
    </row>
    <row r="160" spans="1:2" x14ac:dyDescent="0.25">
      <c r="A160" t="s">
        <v>143</v>
      </c>
      <c r="B160">
        <v>48.599998474121101</v>
      </c>
    </row>
    <row r="161" spans="1:2" x14ac:dyDescent="0.25">
      <c r="A161" t="s">
        <v>144</v>
      </c>
      <c r="B161">
        <v>59.900001525878899</v>
      </c>
    </row>
    <row r="162" spans="1:2" x14ac:dyDescent="0.25">
      <c r="A162" t="s">
        <v>141</v>
      </c>
      <c r="B162">
        <v>77.300003051757798</v>
      </c>
    </row>
    <row r="163" spans="1:2" x14ac:dyDescent="0.25">
      <c r="A163" t="s">
        <v>105</v>
      </c>
      <c r="B163">
        <v>61.799999237060497</v>
      </c>
    </row>
    <row r="164" spans="1:2" x14ac:dyDescent="0.25">
      <c r="A164" t="s">
        <v>245</v>
      </c>
      <c r="B164">
        <v>65.728251869710832</v>
      </c>
    </row>
    <row r="165" spans="1:2" x14ac:dyDescent="0.25">
      <c r="A165" t="s">
        <v>156</v>
      </c>
      <c r="B165">
        <v>55.5</v>
      </c>
    </row>
    <row r="166" spans="1:2" x14ac:dyDescent="0.25">
      <c r="A166" t="s">
        <v>172</v>
      </c>
      <c r="B166">
        <v>60.200000762939503</v>
      </c>
    </row>
    <row r="167" spans="1:2" x14ac:dyDescent="0.25">
      <c r="A167" t="s">
        <v>147</v>
      </c>
      <c r="B167">
        <v>60</v>
      </c>
    </row>
    <row r="168" spans="1:2" x14ac:dyDescent="0.25">
      <c r="A168" t="s">
        <v>148</v>
      </c>
      <c r="B168">
        <v>56.599998474121101</v>
      </c>
    </row>
    <row r="169" spans="1:2" x14ac:dyDescent="0.25">
      <c r="A169" t="s">
        <v>47</v>
      </c>
      <c r="B169">
        <v>58.799999237060497</v>
      </c>
    </row>
    <row r="170" spans="1:2" x14ac:dyDescent="0.25">
      <c r="A170" t="s">
        <v>13</v>
      </c>
      <c r="B170">
        <v>59.099998474121101</v>
      </c>
    </row>
    <row r="171" spans="1:2" x14ac:dyDescent="0.25">
      <c r="A171" t="s">
        <v>246</v>
      </c>
      <c r="B171">
        <v>59.219838911100162</v>
      </c>
    </row>
    <row r="172" spans="1:2" x14ac:dyDescent="0.25">
      <c r="A172" t="s">
        <v>14</v>
      </c>
      <c r="B172">
        <v>64.099998474121094</v>
      </c>
    </row>
    <row r="173" spans="1:2" x14ac:dyDescent="0.25">
      <c r="A173" t="s">
        <v>107</v>
      </c>
      <c r="B173">
        <v>85.599998474121094</v>
      </c>
    </row>
    <row r="174" spans="1:2" x14ac:dyDescent="0.25">
      <c r="A174" t="s">
        <v>32</v>
      </c>
      <c r="B174">
        <v>65.099998474121094</v>
      </c>
    </row>
    <row r="175" spans="1:2" x14ac:dyDescent="0.25">
      <c r="A175" t="s">
        <v>247</v>
      </c>
      <c r="B175">
        <v>60.586407759477559</v>
      </c>
    </row>
    <row r="176" spans="1:2" x14ac:dyDescent="0.25">
      <c r="A176" t="s">
        <v>248</v>
      </c>
      <c r="B176">
        <v>60.043945566485974</v>
      </c>
    </row>
    <row r="177" spans="1:2" x14ac:dyDescent="0.25">
      <c r="A177" t="s">
        <v>83</v>
      </c>
      <c r="B177">
        <v>59.400001525878899</v>
      </c>
    </row>
    <row r="178" spans="1:2" x14ac:dyDescent="0.25">
      <c r="A178" t="s">
        <v>249</v>
      </c>
      <c r="B178">
        <v>64.174352048617479</v>
      </c>
    </row>
    <row r="179" spans="1:2" x14ac:dyDescent="0.25">
      <c r="A179" t="s">
        <v>108</v>
      </c>
      <c r="B179">
        <v>49.700000762939503</v>
      </c>
    </row>
    <row r="180" spans="1:2" x14ac:dyDescent="0.25">
      <c r="A180" t="s">
        <v>48</v>
      </c>
      <c r="B180">
        <v>62.5</v>
      </c>
    </row>
    <row r="181" spans="1:2" x14ac:dyDescent="0.25">
      <c r="A181" t="s">
        <v>50</v>
      </c>
      <c r="B181">
        <v>68</v>
      </c>
    </row>
    <row r="182" spans="1:2" x14ac:dyDescent="0.25">
      <c r="A182" t="s">
        <v>110</v>
      </c>
      <c r="B182">
        <v>66.5</v>
      </c>
    </row>
    <row r="183" spans="1:2" x14ac:dyDescent="0.25">
      <c r="A183" t="s">
        <v>109</v>
      </c>
    </row>
    <row r="184" spans="1:2" x14ac:dyDescent="0.25">
      <c r="A184" t="s">
        <v>174</v>
      </c>
      <c r="B184">
        <v>70.400001525878906</v>
      </c>
    </row>
    <row r="185" spans="1:2" x14ac:dyDescent="0.25">
      <c r="A185" t="s">
        <v>212</v>
      </c>
      <c r="B185">
        <v>57.799999237060497</v>
      </c>
    </row>
    <row r="186" spans="1:2" x14ac:dyDescent="0.25">
      <c r="A186" t="s">
        <v>66</v>
      </c>
      <c r="B186">
        <v>46.900001525878899</v>
      </c>
    </row>
    <row r="187" spans="1:2" x14ac:dyDescent="0.25">
      <c r="A187" t="s">
        <v>207</v>
      </c>
      <c r="B187">
        <v>81.699996948242202</v>
      </c>
    </row>
    <row r="188" spans="1:2" x14ac:dyDescent="0.25">
      <c r="A188" t="s">
        <v>27</v>
      </c>
      <c r="B188">
        <v>58.599998474121101</v>
      </c>
    </row>
    <row r="189" spans="1:2" x14ac:dyDescent="0.25">
      <c r="A189" t="s">
        <v>49</v>
      </c>
      <c r="B189">
        <v>71.800003051757798</v>
      </c>
    </row>
    <row r="190" spans="1:2" x14ac:dyDescent="0.25">
      <c r="A190" t="s">
        <v>250</v>
      </c>
      <c r="B190">
        <v>62.528793197447023</v>
      </c>
    </row>
    <row r="191" spans="1:2" x14ac:dyDescent="0.25">
      <c r="A191" t="s">
        <v>181</v>
      </c>
      <c r="B191">
        <v>59.5</v>
      </c>
    </row>
    <row r="192" spans="1:2" x14ac:dyDescent="0.25">
      <c r="A192" t="s">
        <v>84</v>
      </c>
      <c r="B192">
        <v>79.099998474121094</v>
      </c>
    </row>
    <row r="193" spans="1:2" x14ac:dyDescent="0.25">
      <c r="A193" t="s">
        <v>214</v>
      </c>
      <c r="B193">
        <v>64.5</v>
      </c>
    </row>
    <row r="194" spans="1:2" x14ac:dyDescent="0.25">
      <c r="A194" t="s">
        <v>191</v>
      </c>
      <c r="B194">
        <v>59.400001525878899</v>
      </c>
    </row>
    <row r="195" spans="1:2" x14ac:dyDescent="0.25">
      <c r="A195" t="s">
        <v>150</v>
      </c>
      <c r="B195">
        <v>86.800003051757798</v>
      </c>
    </row>
    <row r="196" spans="1:2" x14ac:dyDescent="0.25">
      <c r="A196" t="s">
        <v>251</v>
      </c>
      <c r="B196">
        <v>60.662812538251771</v>
      </c>
    </row>
    <row r="197" spans="1:2" x14ac:dyDescent="0.25">
      <c r="A197" t="s">
        <v>85</v>
      </c>
      <c r="B197">
        <v>51.700000762939503</v>
      </c>
    </row>
    <row r="198" spans="1:2" x14ac:dyDescent="0.25">
      <c r="A198" t="s">
        <v>157</v>
      </c>
      <c r="B198">
        <v>51.599998474121101</v>
      </c>
    </row>
    <row r="199" spans="1:2" x14ac:dyDescent="0.25">
      <c r="A199" t="s">
        <v>153</v>
      </c>
      <c r="B199">
        <v>75.699996948242202</v>
      </c>
    </row>
    <row r="200" spans="1:2" x14ac:dyDescent="0.25">
      <c r="A200" t="s">
        <v>111</v>
      </c>
      <c r="B200">
        <v>65.5</v>
      </c>
    </row>
    <row r="201" spans="1:2" x14ac:dyDescent="0.25">
      <c r="A201" t="s">
        <v>166</v>
      </c>
      <c r="B201">
        <v>65.400001525878906</v>
      </c>
    </row>
    <row r="202" spans="1:2" x14ac:dyDescent="0.25">
      <c r="A202" t="s">
        <v>154</v>
      </c>
      <c r="B202">
        <v>64.099998474121094</v>
      </c>
    </row>
    <row r="203" spans="1:2" x14ac:dyDescent="0.25">
      <c r="A203" t="s">
        <v>42</v>
      </c>
      <c r="B203">
        <v>60</v>
      </c>
    </row>
    <row r="204" spans="1:2" x14ac:dyDescent="0.25">
      <c r="A204" t="s">
        <v>10</v>
      </c>
    </row>
    <row r="205" spans="1:2" x14ac:dyDescent="0.25">
      <c r="A205" t="s">
        <v>155</v>
      </c>
      <c r="B205">
        <v>56.299999237060497</v>
      </c>
    </row>
    <row r="206" spans="1:2" x14ac:dyDescent="0.25">
      <c r="A206" t="s">
        <v>202</v>
      </c>
      <c r="B206">
        <v>54.900001525878899</v>
      </c>
    </row>
    <row r="207" spans="1:2" x14ac:dyDescent="0.25">
      <c r="A207" t="s">
        <v>252</v>
      </c>
      <c r="B207">
        <v>69.265950827243287</v>
      </c>
    </row>
    <row r="208" spans="1:2" x14ac:dyDescent="0.25">
      <c r="A208" t="s">
        <v>158</v>
      </c>
    </row>
    <row r="209" spans="1:2" x14ac:dyDescent="0.25">
      <c r="A209" t="s">
        <v>253</v>
      </c>
      <c r="B209">
        <v>69.280350378161501</v>
      </c>
    </row>
    <row r="210" spans="1:2" x14ac:dyDescent="0.25">
      <c r="A210" t="s">
        <v>254</v>
      </c>
      <c r="B210">
        <v>64.549982938735653</v>
      </c>
    </row>
    <row r="211" spans="1:2" x14ac:dyDescent="0.25">
      <c r="A211" t="s">
        <v>151</v>
      </c>
      <c r="B211">
        <v>56.299999237060497</v>
      </c>
    </row>
    <row r="212" spans="1:2" x14ac:dyDescent="0.25">
      <c r="A212" t="s">
        <v>70</v>
      </c>
      <c r="B212">
        <v>50.599998474121101</v>
      </c>
    </row>
    <row r="213" spans="1:2" x14ac:dyDescent="0.25">
      <c r="A213" t="s">
        <v>199</v>
      </c>
      <c r="B213">
        <v>60.200000762939503</v>
      </c>
    </row>
    <row r="214" spans="1:2" x14ac:dyDescent="0.25">
      <c r="A214" t="s">
        <v>209</v>
      </c>
      <c r="B214">
        <v>57.599998474121101</v>
      </c>
    </row>
    <row r="215" spans="1:2" x14ac:dyDescent="0.25">
      <c r="A215" t="s">
        <v>15</v>
      </c>
      <c r="B215">
        <v>63.099998474121101</v>
      </c>
    </row>
    <row r="216" spans="1:2" x14ac:dyDescent="0.25">
      <c r="A216" t="s">
        <v>159</v>
      </c>
      <c r="B216">
        <v>56.599998474121101</v>
      </c>
    </row>
    <row r="217" spans="1:2" x14ac:dyDescent="0.25">
      <c r="A217" t="s">
        <v>64</v>
      </c>
    </row>
    <row r="218" spans="1:2" x14ac:dyDescent="0.25">
      <c r="A218" t="s">
        <v>152</v>
      </c>
    </row>
    <row r="219" spans="1:2" x14ac:dyDescent="0.25">
      <c r="A219" t="s">
        <v>86</v>
      </c>
      <c r="B219">
        <v>52.599998474121101</v>
      </c>
    </row>
    <row r="220" spans="1:2" x14ac:dyDescent="0.25">
      <c r="A220" t="s">
        <v>74</v>
      </c>
    </row>
    <row r="221" spans="1:2" x14ac:dyDescent="0.25">
      <c r="A221" t="s">
        <v>122</v>
      </c>
      <c r="B221">
        <v>72.099998474121094</v>
      </c>
    </row>
    <row r="222" spans="1:2" x14ac:dyDescent="0.25">
      <c r="A222" t="s">
        <v>161</v>
      </c>
      <c r="B222">
        <v>77.400001525878906</v>
      </c>
    </row>
    <row r="223" spans="1:2" x14ac:dyDescent="0.25">
      <c r="A223" t="s">
        <v>112</v>
      </c>
      <c r="B223">
        <v>74.300003051757798</v>
      </c>
    </row>
    <row r="224" spans="1:2" x14ac:dyDescent="0.25">
      <c r="A224" t="s">
        <v>192</v>
      </c>
      <c r="B224">
        <v>66.800003051757798</v>
      </c>
    </row>
    <row r="225" spans="1:2" x14ac:dyDescent="0.25">
      <c r="A225" t="s">
        <v>194</v>
      </c>
      <c r="B225">
        <v>60</v>
      </c>
    </row>
    <row r="226" spans="1:2" x14ac:dyDescent="0.25">
      <c r="A226" t="s">
        <v>101</v>
      </c>
      <c r="B226">
        <v>59.599998474121101</v>
      </c>
    </row>
    <row r="227" spans="1:2" x14ac:dyDescent="0.25">
      <c r="A227" t="s">
        <v>177</v>
      </c>
      <c r="B227">
        <v>60.700000762939503</v>
      </c>
    </row>
    <row r="228" spans="1:2" x14ac:dyDescent="0.25">
      <c r="A228" t="s">
        <v>71</v>
      </c>
      <c r="B228">
        <v>61</v>
      </c>
    </row>
    <row r="229" spans="1:2" x14ac:dyDescent="0.25">
      <c r="A229" t="s">
        <v>162</v>
      </c>
      <c r="B229">
        <v>48.599998474121101</v>
      </c>
    </row>
    <row r="230" spans="1:2" x14ac:dyDescent="0.25">
      <c r="A230" t="s">
        <v>30</v>
      </c>
      <c r="B230">
        <v>53</v>
      </c>
    </row>
    <row r="231" spans="1:2" x14ac:dyDescent="0.25">
      <c r="A231" t="s">
        <v>180</v>
      </c>
    </row>
    <row r="232" spans="1:2" x14ac:dyDescent="0.25">
      <c r="A232" t="s">
        <v>160</v>
      </c>
      <c r="B232">
        <v>89</v>
      </c>
    </row>
    <row r="233" spans="1:2" x14ac:dyDescent="0.25">
      <c r="A233" t="s">
        <v>163</v>
      </c>
      <c r="B233">
        <v>81.900001525878906</v>
      </c>
    </row>
    <row r="234" spans="1:2" x14ac:dyDescent="0.25">
      <c r="A234" t="s">
        <v>195</v>
      </c>
      <c r="B234">
        <v>60.299999237060497</v>
      </c>
    </row>
    <row r="235" spans="1:2" x14ac:dyDescent="0.25">
      <c r="A235" t="s">
        <v>255</v>
      </c>
      <c r="B235">
        <v>71.101707711740858</v>
      </c>
    </row>
    <row r="236" spans="1:2" x14ac:dyDescent="0.25">
      <c r="A236" t="s">
        <v>51</v>
      </c>
      <c r="B236">
        <v>63.099998474121101</v>
      </c>
    </row>
    <row r="237" spans="1:2" x14ac:dyDescent="0.25">
      <c r="A237" t="s">
        <v>2</v>
      </c>
      <c r="B237">
        <v>65.900001525878906</v>
      </c>
    </row>
    <row r="238" spans="1:2" x14ac:dyDescent="0.25">
      <c r="A238" t="s">
        <v>196</v>
      </c>
      <c r="B238">
        <v>59</v>
      </c>
    </row>
    <row r="239" spans="1:2" x14ac:dyDescent="0.25">
      <c r="A239" t="s">
        <v>69</v>
      </c>
      <c r="B239">
        <v>64.400001525878906</v>
      </c>
    </row>
    <row r="240" spans="1:2" x14ac:dyDescent="0.25">
      <c r="A240" t="s">
        <v>52</v>
      </c>
      <c r="B240">
        <v>63.200000762939503</v>
      </c>
    </row>
    <row r="241" spans="1:2" x14ac:dyDescent="0.25">
      <c r="A241" t="s">
        <v>72</v>
      </c>
      <c r="B241">
        <v>65.599998474121094</v>
      </c>
    </row>
    <row r="242" spans="1:2" x14ac:dyDescent="0.25">
      <c r="A242" t="s">
        <v>113</v>
      </c>
      <c r="B242">
        <v>78.300003051757798</v>
      </c>
    </row>
    <row r="243" spans="1:2" x14ac:dyDescent="0.25">
      <c r="A243" t="s">
        <v>173</v>
      </c>
      <c r="B243">
        <v>79.800003051757798</v>
      </c>
    </row>
    <row r="244" spans="1:2" x14ac:dyDescent="0.25">
      <c r="A244" t="s">
        <v>90</v>
      </c>
      <c r="B244">
        <v>38.700000762939503</v>
      </c>
    </row>
    <row r="245" spans="1:2" x14ac:dyDescent="0.25">
      <c r="A245" t="s">
        <v>1</v>
      </c>
      <c r="B245">
        <v>65.733945961989704</v>
      </c>
    </row>
    <row r="246" spans="1:2" x14ac:dyDescent="0.25">
      <c r="A246" t="s">
        <v>176</v>
      </c>
      <c r="B246">
        <v>56.700000762939503</v>
      </c>
    </row>
    <row r="247" spans="1:2" x14ac:dyDescent="0.25">
      <c r="A247" t="s">
        <v>89</v>
      </c>
      <c r="B247">
        <v>46.200000762939503</v>
      </c>
    </row>
    <row r="248" spans="1:2" x14ac:dyDescent="0.25">
      <c r="A248" t="s">
        <v>33</v>
      </c>
      <c r="B248">
        <v>55.400001525878899</v>
      </c>
    </row>
    <row r="249" spans="1:2" x14ac:dyDescent="0.25">
      <c r="A249" t="s">
        <v>125</v>
      </c>
      <c r="B249">
        <v>72.099998474121094</v>
      </c>
    </row>
    <row r="250" spans="1:2" x14ac:dyDescent="0.25">
      <c r="A250" t="s">
        <v>165</v>
      </c>
      <c r="B250">
        <v>79.900001525878906</v>
      </c>
    </row>
    <row r="251" spans="1:2" x14ac:dyDescent="0.25">
      <c r="A251" t="s">
        <v>149</v>
      </c>
      <c r="B251">
        <v>73.800003051757798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Views>
    <sheetView workbookViewId="0"/>
  </sheetViews>
  <sheetFormatPr defaultRowHeight="15" x14ac:dyDescent="0.25"/>
  <cols>
    <col min="1" max="1" width="25.7109375" bestFit="1" customWidth="1"/>
    <col min="2" max="2" width="11.42578125" bestFit="1" customWidth="1"/>
  </cols>
  <sheetData>
    <row r="1" spans="1:2" x14ac:dyDescent="0.25">
      <c r="A1" t="s">
        <v>220</v>
      </c>
    </row>
    <row r="3" spans="1:2" x14ac:dyDescent="0.25">
      <c r="A3" t="s">
        <v>221</v>
      </c>
      <c r="B3" t="s">
        <v>219</v>
      </c>
    </row>
    <row r="4" spans="1:2" x14ac:dyDescent="0.25">
      <c r="A4" t="s">
        <v>55</v>
      </c>
    </row>
    <row r="5" spans="1:2" x14ac:dyDescent="0.25">
      <c r="A5" t="s">
        <v>21</v>
      </c>
    </row>
    <row r="6" spans="1:2" x14ac:dyDescent="0.25">
      <c r="A6" t="s">
        <v>91</v>
      </c>
      <c r="B6">
        <v>4.8000001907348597</v>
      </c>
    </row>
    <row r="7" spans="1:2" x14ac:dyDescent="0.25">
      <c r="A7" t="s">
        <v>116</v>
      </c>
      <c r="B7">
        <v>6.8000001907348597</v>
      </c>
    </row>
    <row r="8" spans="1:2" x14ac:dyDescent="0.25">
      <c r="A8" t="s">
        <v>185</v>
      </c>
      <c r="B8">
        <v>14.6000003814697</v>
      </c>
    </row>
    <row r="9" spans="1:2" x14ac:dyDescent="0.25">
      <c r="A9" t="s">
        <v>222</v>
      </c>
      <c r="B9">
        <v>13.190997171990341</v>
      </c>
    </row>
    <row r="10" spans="1:2" x14ac:dyDescent="0.25">
      <c r="A10" t="s">
        <v>87</v>
      </c>
      <c r="B10">
        <v>2.5999999046325701</v>
      </c>
    </row>
    <row r="11" spans="1:2" x14ac:dyDescent="0.25">
      <c r="A11" t="s">
        <v>34</v>
      </c>
      <c r="B11">
        <v>17.200000762939499</v>
      </c>
    </row>
    <row r="12" spans="1:2" x14ac:dyDescent="0.25">
      <c r="A12" t="s">
        <v>182</v>
      </c>
      <c r="B12">
        <v>19.100000381469702</v>
      </c>
    </row>
    <row r="13" spans="1:2" x14ac:dyDescent="0.25">
      <c r="A13" t="s">
        <v>175</v>
      </c>
    </row>
    <row r="14" spans="1:2" x14ac:dyDescent="0.25">
      <c r="A14" t="s">
        <v>53</v>
      </c>
    </row>
    <row r="15" spans="1:2" x14ac:dyDescent="0.25">
      <c r="A15" t="s">
        <v>31</v>
      </c>
      <c r="B15">
        <v>8.5</v>
      </c>
    </row>
    <row r="16" spans="1:2" x14ac:dyDescent="0.25">
      <c r="A16" t="s">
        <v>5</v>
      </c>
      <c r="B16">
        <v>4.0999999046325701</v>
      </c>
    </row>
    <row r="17" spans="1:2" x14ac:dyDescent="0.25">
      <c r="A17" t="s">
        <v>183</v>
      </c>
      <c r="B17">
        <v>4.6999998092651403</v>
      </c>
    </row>
    <row r="18" spans="1:2" x14ac:dyDescent="0.25">
      <c r="A18" t="s">
        <v>118</v>
      </c>
      <c r="B18">
        <v>7.3000001907348597</v>
      </c>
    </row>
    <row r="19" spans="1:2" x14ac:dyDescent="0.25">
      <c r="A19" t="s">
        <v>6</v>
      </c>
      <c r="B19">
        <v>9.5</v>
      </c>
    </row>
    <row r="20" spans="1:2" x14ac:dyDescent="0.25">
      <c r="A20" t="s">
        <v>126</v>
      </c>
      <c r="B20">
        <v>0.69999998807907104</v>
      </c>
    </row>
    <row r="21" spans="1:2" x14ac:dyDescent="0.25">
      <c r="A21" t="s">
        <v>164</v>
      </c>
      <c r="B21">
        <v>2.4000000953674299</v>
      </c>
    </row>
    <row r="22" spans="1:2" x14ac:dyDescent="0.25">
      <c r="A22" t="s">
        <v>92</v>
      </c>
      <c r="B22">
        <v>2.5</v>
      </c>
    </row>
    <row r="23" spans="1:2" x14ac:dyDescent="0.25">
      <c r="A23" t="s">
        <v>189</v>
      </c>
      <c r="B23">
        <v>13.5</v>
      </c>
    </row>
    <row r="24" spans="1:2" x14ac:dyDescent="0.25">
      <c r="A24" t="s">
        <v>75</v>
      </c>
      <c r="B24">
        <v>6.1999998092651403</v>
      </c>
    </row>
    <row r="25" spans="1:2" x14ac:dyDescent="0.25">
      <c r="A25" t="s">
        <v>54</v>
      </c>
      <c r="B25">
        <v>11.5</v>
      </c>
    </row>
    <row r="26" spans="1:2" x14ac:dyDescent="0.25">
      <c r="A26" t="s">
        <v>211</v>
      </c>
      <c r="B26">
        <v>25.299999237060501</v>
      </c>
    </row>
    <row r="27" spans="1:2" x14ac:dyDescent="0.25">
      <c r="A27" t="s">
        <v>184</v>
      </c>
      <c r="B27">
        <v>6.3000001907348597</v>
      </c>
    </row>
    <row r="28" spans="1:2" x14ac:dyDescent="0.25">
      <c r="A28" t="s">
        <v>62</v>
      </c>
      <c r="B28">
        <v>13.800000190734901</v>
      </c>
    </row>
    <row r="29" spans="1:2" x14ac:dyDescent="0.25">
      <c r="A29" t="s">
        <v>57</v>
      </c>
    </row>
    <row r="30" spans="1:2" x14ac:dyDescent="0.25">
      <c r="A30" t="s">
        <v>35</v>
      </c>
      <c r="B30">
        <v>5.1999998092651403</v>
      </c>
    </row>
    <row r="31" spans="1:2" x14ac:dyDescent="0.25">
      <c r="A31" t="s">
        <v>36</v>
      </c>
      <c r="B31">
        <v>6.8000001907348597</v>
      </c>
    </row>
    <row r="32" spans="1:2" x14ac:dyDescent="0.25">
      <c r="A32" t="s">
        <v>56</v>
      </c>
      <c r="B32">
        <v>14.699999809265099</v>
      </c>
    </row>
    <row r="33" spans="1:2" x14ac:dyDescent="0.25">
      <c r="A33" t="s">
        <v>94</v>
      </c>
      <c r="B33">
        <v>4.0999999046325701</v>
      </c>
    </row>
    <row r="34" spans="1:2" x14ac:dyDescent="0.25">
      <c r="A34" t="s">
        <v>93</v>
      </c>
      <c r="B34">
        <v>2.5</v>
      </c>
    </row>
    <row r="35" spans="1:2" x14ac:dyDescent="0.25">
      <c r="A35" t="s">
        <v>117</v>
      </c>
      <c r="B35">
        <v>21.5</v>
      </c>
    </row>
    <row r="36" spans="1:2" x14ac:dyDescent="0.25">
      <c r="A36" t="s">
        <v>121</v>
      </c>
      <c r="B36">
        <v>7.0999999046325701</v>
      </c>
    </row>
    <row r="37" spans="1:2" x14ac:dyDescent="0.25">
      <c r="A37" t="s">
        <v>18</v>
      </c>
      <c r="B37">
        <v>9.6000003814697301</v>
      </c>
    </row>
    <row r="38" spans="1:2" x14ac:dyDescent="0.25">
      <c r="A38" t="s">
        <v>223</v>
      </c>
      <c r="B38">
        <v>9.9452203139701503</v>
      </c>
    </row>
    <row r="39" spans="1:2" x14ac:dyDescent="0.25">
      <c r="A39" t="s">
        <v>16</v>
      </c>
      <c r="B39">
        <v>3.7000000476837198</v>
      </c>
    </row>
    <row r="40" spans="1:2" x14ac:dyDescent="0.25">
      <c r="A40" t="s">
        <v>224</v>
      </c>
    </row>
    <row r="41" spans="1:2" x14ac:dyDescent="0.25">
      <c r="A41" t="s">
        <v>37</v>
      </c>
      <c r="B41">
        <v>6.3000001907348597</v>
      </c>
    </row>
    <row r="42" spans="1:2" x14ac:dyDescent="0.25">
      <c r="A42" t="s">
        <v>193</v>
      </c>
      <c r="B42">
        <v>4.5999999046325701</v>
      </c>
    </row>
    <row r="43" spans="1:2" x14ac:dyDescent="0.25">
      <c r="A43" t="s">
        <v>135</v>
      </c>
      <c r="B43">
        <v>4.0999999046325701</v>
      </c>
    </row>
    <row r="44" spans="1:2" x14ac:dyDescent="0.25">
      <c r="A44" t="s">
        <v>119</v>
      </c>
      <c r="B44">
        <v>8.1000003814697301</v>
      </c>
    </row>
    <row r="45" spans="1:2" x14ac:dyDescent="0.25">
      <c r="A45" t="s">
        <v>124</v>
      </c>
      <c r="B45">
        <v>6.6999998092651403</v>
      </c>
    </row>
    <row r="46" spans="1:2" x14ac:dyDescent="0.25">
      <c r="A46" t="s">
        <v>38</v>
      </c>
      <c r="B46">
        <v>13.699999809265099</v>
      </c>
    </row>
    <row r="47" spans="1:2" x14ac:dyDescent="0.25">
      <c r="A47" t="s">
        <v>123</v>
      </c>
      <c r="B47">
        <v>6.8000001907348597</v>
      </c>
    </row>
    <row r="48" spans="1:2" x14ac:dyDescent="0.25">
      <c r="A48" t="s">
        <v>120</v>
      </c>
      <c r="B48">
        <v>7.1999998092651403</v>
      </c>
    </row>
    <row r="49" spans="1:2" x14ac:dyDescent="0.25">
      <c r="A49" t="s">
        <v>39</v>
      </c>
      <c r="B49">
        <v>6.1999998092651403</v>
      </c>
    </row>
    <row r="50" spans="1:2" x14ac:dyDescent="0.25">
      <c r="A50" t="s">
        <v>225</v>
      </c>
      <c r="B50">
        <v>14.884106776322941</v>
      </c>
    </row>
    <row r="51" spans="1:2" x14ac:dyDescent="0.25">
      <c r="A51" t="s">
        <v>197</v>
      </c>
      <c r="B51">
        <v>7.5999999046325701</v>
      </c>
    </row>
    <row r="52" spans="1:2" x14ac:dyDescent="0.25">
      <c r="A52" t="s">
        <v>65</v>
      </c>
    </row>
    <row r="53" spans="1:2" x14ac:dyDescent="0.25">
      <c r="A53" t="s">
        <v>73</v>
      </c>
    </row>
    <row r="54" spans="1:2" x14ac:dyDescent="0.25">
      <c r="A54" t="s">
        <v>76</v>
      </c>
      <c r="B54">
        <v>4.3000001907348597</v>
      </c>
    </row>
    <row r="55" spans="1:2" x14ac:dyDescent="0.25">
      <c r="A55" t="s">
        <v>198</v>
      </c>
      <c r="B55">
        <v>3.9000000953674299</v>
      </c>
    </row>
    <row r="56" spans="1:2" x14ac:dyDescent="0.25">
      <c r="A56" t="s">
        <v>9</v>
      </c>
      <c r="B56">
        <v>8.8999996185302699</v>
      </c>
    </row>
    <row r="57" spans="1:2" x14ac:dyDescent="0.25">
      <c r="A57" t="s">
        <v>114</v>
      </c>
    </row>
    <row r="58" spans="1:2" x14ac:dyDescent="0.25">
      <c r="A58" t="s">
        <v>58</v>
      </c>
    </row>
    <row r="59" spans="1:2" x14ac:dyDescent="0.25">
      <c r="A59" t="s">
        <v>7</v>
      </c>
      <c r="B59">
        <v>6.8000001907348597</v>
      </c>
    </row>
    <row r="60" spans="1:2" x14ac:dyDescent="0.25">
      <c r="A60" t="s">
        <v>40</v>
      </c>
      <c r="B60">
        <v>16.700000762939499</v>
      </c>
    </row>
    <row r="61" spans="1:2" x14ac:dyDescent="0.25">
      <c r="A61" t="s">
        <v>115</v>
      </c>
      <c r="B61">
        <v>28.700000762939499</v>
      </c>
    </row>
    <row r="62" spans="1:2" x14ac:dyDescent="0.25">
      <c r="A62" t="s">
        <v>226</v>
      </c>
      <c r="B62">
        <v>4.3781506744460419</v>
      </c>
    </row>
    <row r="63" spans="1:2" x14ac:dyDescent="0.25">
      <c r="A63" t="s">
        <v>227</v>
      </c>
      <c r="B63">
        <v>4.2951248863806795</v>
      </c>
    </row>
    <row r="64" spans="1:2" x14ac:dyDescent="0.25">
      <c r="A64" t="s">
        <v>228</v>
      </c>
      <c r="B64">
        <v>9.1800017963320215</v>
      </c>
    </row>
    <row r="65" spans="1:2" x14ac:dyDescent="0.25">
      <c r="A65" t="s">
        <v>229</v>
      </c>
      <c r="B65">
        <v>10.090409724956798</v>
      </c>
    </row>
    <row r="66" spans="1:2" x14ac:dyDescent="0.25">
      <c r="A66" t="s">
        <v>41</v>
      </c>
      <c r="B66">
        <v>5.5999999046325701</v>
      </c>
    </row>
    <row r="67" spans="1:2" x14ac:dyDescent="0.25">
      <c r="A67" t="s">
        <v>88</v>
      </c>
      <c r="B67">
        <v>9</v>
      </c>
    </row>
    <row r="68" spans="1:2" x14ac:dyDescent="0.25">
      <c r="A68" t="s">
        <v>20</v>
      </c>
      <c r="B68">
        <v>11.596846091451795</v>
      </c>
    </row>
    <row r="69" spans="1:2" x14ac:dyDescent="0.25">
      <c r="A69" t="s">
        <v>128</v>
      </c>
      <c r="B69">
        <v>7.3000001907348597</v>
      </c>
    </row>
    <row r="70" spans="1:2" x14ac:dyDescent="0.25">
      <c r="A70" t="s">
        <v>29</v>
      </c>
      <c r="B70">
        <v>22.5</v>
      </c>
    </row>
    <row r="71" spans="1:2" x14ac:dyDescent="0.25">
      <c r="A71" t="s">
        <v>200</v>
      </c>
      <c r="B71">
        <v>9.8999996185302699</v>
      </c>
    </row>
    <row r="72" spans="1:2" x14ac:dyDescent="0.25">
      <c r="A72" t="s">
        <v>129</v>
      </c>
      <c r="B72">
        <v>8.1000003814697301</v>
      </c>
    </row>
    <row r="73" spans="1:2" x14ac:dyDescent="0.25">
      <c r="A73" t="s">
        <v>230</v>
      </c>
      <c r="B73">
        <v>10.695255713551365</v>
      </c>
    </row>
    <row r="74" spans="1:2" x14ac:dyDescent="0.25">
      <c r="A74" t="s">
        <v>231</v>
      </c>
      <c r="B74">
        <v>7.9297096044660007</v>
      </c>
    </row>
    <row r="75" spans="1:2" x14ac:dyDescent="0.25">
      <c r="A75" t="s">
        <v>22</v>
      </c>
      <c r="B75">
        <v>14.3999996185303</v>
      </c>
    </row>
    <row r="76" spans="1:2" x14ac:dyDescent="0.25">
      <c r="A76" t="s">
        <v>169</v>
      </c>
      <c r="B76">
        <v>5.8000001907348597</v>
      </c>
    </row>
    <row r="77" spans="1:2" x14ac:dyDescent="0.25">
      <c r="A77" t="s">
        <v>8</v>
      </c>
      <c r="B77">
        <v>12.3999996185303</v>
      </c>
    </row>
    <row r="78" spans="1:2" x14ac:dyDescent="0.25">
      <c r="A78" t="s">
        <v>167</v>
      </c>
    </row>
    <row r="79" spans="1:2" x14ac:dyDescent="0.25">
      <c r="A79" t="s">
        <v>179</v>
      </c>
    </row>
    <row r="80" spans="1:2" x14ac:dyDescent="0.25">
      <c r="A80" t="s">
        <v>130</v>
      </c>
      <c r="B80">
        <v>19.700000762939499</v>
      </c>
    </row>
    <row r="81" spans="1:2" x14ac:dyDescent="0.25">
      <c r="A81" t="s">
        <v>3</v>
      </c>
      <c r="B81">
        <v>8.3000001907348597</v>
      </c>
    </row>
    <row r="82" spans="1:2" x14ac:dyDescent="0.25">
      <c r="A82" t="s">
        <v>186</v>
      </c>
      <c r="B82">
        <v>12.300000190734901</v>
      </c>
    </row>
    <row r="83" spans="1:2" x14ac:dyDescent="0.25">
      <c r="A83" t="s">
        <v>132</v>
      </c>
      <c r="B83">
        <v>9.6000003814697301</v>
      </c>
    </row>
    <row r="84" spans="1:2" x14ac:dyDescent="0.25">
      <c r="A84" t="s">
        <v>134</v>
      </c>
      <c r="B84">
        <v>2.5999999046325701</v>
      </c>
    </row>
    <row r="85" spans="1:2" x14ac:dyDescent="0.25">
      <c r="A85" t="s">
        <v>131</v>
      </c>
      <c r="B85">
        <v>7.0999999046325701</v>
      </c>
    </row>
    <row r="86" spans="1:2" x14ac:dyDescent="0.25">
      <c r="A86" t="s">
        <v>133</v>
      </c>
      <c r="B86">
        <v>7</v>
      </c>
    </row>
    <row r="87" spans="1:2" x14ac:dyDescent="0.25">
      <c r="A87" t="s">
        <v>127</v>
      </c>
      <c r="B87">
        <v>6.1999998092651403</v>
      </c>
    </row>
    <row r="88" spans="1:2" x14ac:dyDescent="0.25">
      <c r="A88" t="s">
        <v>23</v>
      </c>
      <c r="B88">
        <v>9.6999998092651403</v>
      </c>
    </row>
    <row r="89" spans="1:2" x14ac:dyDescent="0.25">
      <c r="A89" t="s">
        <v>60</v>
      </c>
    </row>
    <row r="90" spans="1:2" x14ac:dyDescent="0.25">
      <c r="A90" t="s">
        <v>59</v>
      </c>
    </row>
    <row r="91" spans="1:2" x14ac:dyDescent="0.25">
      <c r="A91" t="s">
        <v>43</v>
      </c>
      <c r="B91">
        <v>3.5999999046325701</v>
      </c>
    </row>
    <row r="92" spans="1:2" x14ac:dyDescent="0.25">
      <c r="A92" t="s">
        <v>171</v>
      </c>
    </row>
    <row r="93" spans="1:2" x14ac:dyDescent="0.25">
      <c r="A93" t="s">
        <v>61</v>
      </c>
      <c r="B93">
        <v>11.699999809265099</v>
      </c>
    </row>
    <row r="94" spans="1:2" x14ac:dyDescent="0.25">
      <c r="A94" t="s">
        <v>232</v>
      </c>
      <c r="B94">
        <v>7.7661076916465497</v>
      </c>
    </row>
    <row r="95" spans="1:2" x14ac:dyDescent="0.25">
      <c r="A95" t="s">
        <v>98</v>
      </c>
      <c r="B95">
        <v>2.7999999523162802</v>
      </c>
    </row>
    <row r="96" spans="1:2" x14ac:dyDescent="0.25">
      <c r="A96" t="s">
        <v>45</v>
      </c>
      <c r="B96">
        <v>4.4000000953674299</v>
      </c>
    </row>
    <row r="97" spans="1:2" x14ac:dyDescent="0.25">
      <c r="A97" t="s">
        <v>233</v>
      </c>
      <c r="B97">
        <v>7.0061226572686763</v>
      </c>
    </row>
    <row r="98" spans="1:2" x14ac:dyDescent="0.25">
      <c r="A98" t="s">
        <v>208</v>
      </c>
      <c r="B98">
        <v>10</v>
      </c>
    </row>
    <row r="99" spans="1:2" x14ac:dyDescent="0.25">
      <c r="A99" t="s">
        <v>44</v>
      </c>
      <c r="B99">
        <v>11.199999809265099</v>
      </c>
    </row>
    <row r="100" spans="1:2" x14ac:dyDescent="0.25">
      <c r="A100" t="s">
        <v>204</v>
      </c>
      <c r="B100">
        <v>9.8999996185302699</v>
      </c>
    </row>
    <row r="101" spans="1:2" x14ac:dyDescent="0.25">
      <c r="A101" t="s">
        <v>100</v>
      </c>
      <c r="B101">
        <v>4.4000000953674299</v>
      </c>
    </row>
    <row r="102" spans="1:2" x14ac:dyDescent="0.25">
      <c r="A102" t="s">
        <v>4</v>
      </c>
    </row>
    <row r="103" spans="1:2" x14ac:dyDescent="0.25">
      <c r="A103" t="s">
        <v>99</v>
      </c>
      <c r="B103">
        <v>4</v>
      </c>
    </row>
    <row r="104" spans="1:2" x14ac:dyDescent="0.25">
      <c r="A104" t="s">
        <v>234</v>
      </c>
    </row>
    <row r="105" spans="1:2" x14ac:dyDescent="0.25">
      <c r="A105" t="s">
        <v>25</v>
      </c>
      <c r="B105">
        <v>11.699999809265099</v>
      </c>
    </row>
    <row r="106" spans="1:2" x14ac:dyDescent="0.25">
      <c r="A106" t="s">
        <v>77</v>
      </c>
      <c r="B106">
        <v>10.8999996185303</v>
      </c>
    </row>
    <row r="107" spans="1:2" x14ac:dyDescent="0.25">
      <c r="A107" t="s">
        <v>78</v>
      </c>
      <c r="B107">
        <v>19.399999618530298</v>
      </c>
    </row>
    <row r="108" spans="1:2" x14ac:dyDescent="0.25">
      <c r="A108" t="s">
        <v>24</v>
      </c>
      <c r="B108">
        <v>3.7000000476837198</v>
      </c>
    </row>
    <row r="109" spans="1:2" x14ac:dyDescent="0.25">
      <c r="A109" t="s">
        <v>79</v>
      </c>
      <c r="B109">
        <v>6.6999998092651403</v>
      </c>
    </row>
    <row r="110" spans="1:2" x14ac:dyDescent="0.25">
      <c r="A110" t="s">
        <v>11</v>
      </c>
      <c r="B110">
        <v>11.8999996185303</v>
      </c>
    </row>
    <row r="111" spans="1:2" x14ac:dyDescent="0.25">
      <c r="A111" t="s">
        <v>63</v>
      </c>
      <c r="B111">
        <v>16</v>
      </c>
    </row>
    <row r="112" spans="1:2" x14ac:dyDescent="0.25">
      <c r="A112" t="s">
        <v>80</v>
      </c>
      <c r="B112">
        <v>13.699999809265099</v>
      </c>
    </row>
    <row r="113" spans="1:2" x14ac:dyDescent="0.25">
      <c r="A113" t="s">
        <v>19</v>
      </c>
      <c r="B113">
        <v>3.4000000953674299</v>
      </c>
    </row>
    <row r="114" spans="1:2" x14ac:dyDescent="0.25">
      <c r="A114" t="s">
        <v>187</v>
      </c>
      <c r="B114">
        <v>13</v>
      </c>
    </row>
    <row r="115" spans="1:2" x14ac:dyDescent="0.25">
      <c r="A115" t="s">
        <v>136</v>
      </c>
      <c r="B115">
        <v>9.8999996185302699</v>
      </c>
    </row>
    <row r="116" spans="1:2" x14ac:dyDescent="0.25">
      <c r="A116" t="s">
        <v>188</v>
      </c>
      <c r="B116">
        <v>8.6999998092651403</v>
      </c>
    </row>
    <row r="117" spans="1:2" x14ac:dyDescent="0.25">
      <c r="A117" t="s">
        <v>96</v>
      </c>
      <c r="B117">
        <v>1.70000004768372</v>
      </c>
    </row>
    <row r="118" spans="1:2" x14ac:dyDescent="0.25">
      <c r="A118" t="s">
        <v>170</v>
      </c>
    </row>
    <row r="119" spans="1:2" x14ac:dyDescent="0.25">
      <c r="A119" t="s">
        <v>67</v>
      </c>
    </row>
    <row r="120" spans="1:2" x14ac:dyDescent="0.25">
      <c r="A120" t="s">
        <v>102</v>
      </c>
      <c r="B120">
        <v>2</v>
      </c>
    </row>
    <row r="122" spans="1:2" x14ac:dyDescent="0.25">
      <c r="A122" t="s">
        <v>81</v>
      </c>
      <c r="B122">
        <v>0.69999998807907104</v>
      </c>
    </row>
    <row r="123" spans="1:2" x14ac:dyDescent="0.25">
      <c r="A123" t="s">
        <v>235</v>
      </c>
      <c r="B123">
        <v>8.1929874225058068</v>
      </c>
    </row>
    <row r="124" spans="1:2" x14ac:dyDescent="0.25">
      <c r="A124" t="s">
        <v>103</v>
      </c>
      <c r="B124">
        <v>1.8999999761581401</v>
      </c>
    </row>
    <row r="125" spans="1:2" x14ac:dyDescent="0.25">
      <c r="A125" t="s">
        <v>82</v>
      </c>
      <c r="B125">
        <v>8.3999996185302699</v>
      </c>
    </row>
    <row r="126" spans="1:2" x14ac:dyDescent="0.25">
      <c r="A126" t="s">
        <v>138</v>
      </c>
      <c r="B126">
        <v>4.0999999046325701</v>
      </c>
    </row>
    <row r="127" spans="1:2" x14ac:dyDescent="0.25">
      <c r="A127" t="s">
        <v>139</v>
      </c>
      <c r="B127">
        <v>19.700000762939499</v>
      </c>
    </row>
    <row r="128" spans="1:2" x14ac:dyDescent="0.25">
      <c r="A128" t="s">
        <v>68</v>
      </c>
    </row>
    <row r="129" spans="1:2" x14ac:dyDescent="0.25">
      <c r="A129" t="s">
        <v>236</v>
      </c>
      <c r="B129">
        <v>8.2283162305626032</v>
      </c>
    </row>
    <row r="130" spans="1:2" x14ac:dyDescent="0.25">
      <c r="A130" t="s">
        <v>237</v>
      </c>
      <c r="B130">
        <v>5.6201418470910554</v>
      </c>
    </row>
    <row r="131" spans="1:2" x14ac:dyDescent="0.25">
      <c r="A131" t="s">
        <v>238</v>
      </c>
      <c r="B131">
        <v>5.109151412211431</v>
      </c>
    </row>
    <row r="132" spans="1:2" x14ac:dyDescent="0.25">
      <c r="A132" t="s">
        <v>17</v>
      </c>
    </row>
    <row r="133" spans="1:2" x14ac:dyDescent="0.25">
      <c r="A133" t="s">
        <v>97</v>
      </c>
      <c r="B133">
        <v>11.300000190734901</v>
      </c>
    </row>
    <row r="134" spans="1:2" x14ac:dyDescent="0.25">
      <c r="A134" t="s">
        <v>239</v>
      </c>
      <c r="B134">
        <v>5.2994682086713176</v>
      </c>
    </row>
    <row r="135" spans="1:2" x14ac:dyDescent="0.25">
      <c r="A135" t="s">
        <v>240</v>
      </c>
      <c r="B135">
        <v>5.6917750446582245</v>
      </c>
    </row>
    <row r="136" spans="1:2" x14ac:dyDescent="0.25">
      <c r="A136" t="s">
        <v>137</v>
      </c>
      <c r="B136">
        <v>28.600000381469702</v>
      </c>
    </row>
    <row r="137" spans="1:2" x14ac:dyDescent="0.25">
      <c r="A137" t="s">
        <v>205</v>
      </c>
      <c r="B137">
        <v>15.6000003814697</v>
      </c>
    </row>
    <row r="138" spans="1:2" x14ac:dyDescent="0.25">
      <c r="A138" t="s">
        <v>12</v>
      </c>
      <c r="B138">
        <v>3.2999999523162802</v>
      </c>
    </row>
    <row r="139" spans="1:2" x14ac:dyDescent="0.25">
      <c r="A139" t="s">
        <v>201</v>
      </c>
      <c r="B139">
        <v>12.3999996185303</v>
      </c>
    </row>
    <row r="140" spans="1:2" x14ac:dyDescent="0.25">
      <c r="A140" t="s">
        <v>104</v>
      </c>
      <c r="B140">
        <v>4.1999998092651403</v>
      </c>
    </row>
    <row r="141" spans="1:2" x14ac:dyDescent="0.25">
      <c r="A141" t="s">
        <v>241</v>
      </c>
    </row>
    <row r="142" spans="1:2" x14ac:dyDescent="0.25">
      <c r="A142" t="s">
        <v>145</v>
      </c>
      <c r="B142">
        <v>11.300000190734901</v>
      </c>
    </row>
    <row r="143" spans="1:2" x14ac:dyDescent="0.25">
      <c r="A143" t="s">
        <v>28</v>
      </c>
    </row>
    <row r="144" spans="1:2" x14ac:dyDescent="0.25">
      <c r="A144" t="s">
        <v>190</v>
      </c>
      <c r="B144">
        <v>6.5</v>
      </c>
    </row>
    <row r="145" spans="1:2" x14ac:dyDescent="0.25">
      <c r="A145" t="s">
        <v>140</v>
      </c>
      <c r="B145">
        <v>3</v>
      </c>
    </row>
    <row r="146" spans="1:2" x14ac:dyDescent="0.25">
      <c r="A146" t="s">
        <v>106</v>
      </c>
      <c r="B146">
        <v>10.1000003814697</v>
      </c>
    </row>
    <row r="147" spans="1:2" x14ac:dyDescent="0.25">
      <c r="A147" t="s">
        <v>242</v>
      </c>
      <c r="B147">
        <v>12.424212111361046</v>
      </c>
    </row>
    <row r="148" spans="1:2" x14ac:dyDescent="0.25">
      <c r="A148" t="s">
        <v>46</v>
      </c>
      <c r="B148">
        <v>5.1999998092651403</v>
      </c>
    </row>
    <row r="149" spans="1:2" x14ac:dyDescent="0.25">
      <c r="A149" t="s">
        <v>178</v>
      </c>
    </row>
    <row r="150" spans="1:2" x14ac:dyDescent="0.25">
      <c r="A150" t="s">
        <v>243</v>
      </c>
      <c r="B150">
        <v>5.7741269847534999</v>
      </c>
    </row>
    <row r="151" spans="1:2" x14ac:dyDescent="0.25">
      <c r="A151" t="s">
        <v>210</v>
      </c>
      <c r="B151">
        <v>34</v>
      </c>
    </row>
    <row r="152" spans="1:2" x14ac:dyDescent="0.25">
      <c r="A152" t="s">
        <v>142</v>
      </c>
      <c r="B152">
        <v>8.6000003814697301</v>
      </c>
    </row>
    <row r="153" spans="1:2" x14ac:dyDescent="0.25">
      <c r="A153" t="s">
        <v>26</v>
      </c>
      <c r="B153">
        <v>7.0999999046325701</v>
      </c>
    </row>
    <row r="154" spans="1:2" x14ac:dyDescent="0.25">
      <c r="A154" t="s">
        <v>95</v>
      </c>
      <c r="B154">
        <v>3.7999999523162802</v>
      </c>
    </row>
    <row r="155" spans="1:2" x14ac:dyDescent="0.25">
      <c r="A155" t="s">
        <v>244</v>
      </c>
      <c r="B155">
        <v>13.587532897429123</v>
      </c>
    </row>
    <row r="156" spans="1:2" x14ac:dyDescent="0.25">
      <c r="A156" t="s">
        <v>203</v>
      </c>
      <c r="B156">
        <v>19.899999618530298</v>
      </c>
    </row>
    <row r="157" spans="1:2" x14ac:dyDescent="0.25">
      <c r="A157" t="s">
        <v>206</v>
      </c>
      <c r="B157">
        <v>6.1999998092651403</v>
      </c>
    </row>
    <row r="158" spans="1:2" x14ac:dyDescent="0.25">
      <c r="A158" t="s">
        <v>168</v>
      </c>
    </row>
    <row r="159" spans="1:2" x14ac:dyDescent="0.25">
      <c r="A159" t="s">
        <v>146</v>
      </c>
      <c r="B159">
        <v>8.6999998092651403</v>
      </c>
    </row>
    <row r="160" spans="1:2" x14ac:dyDescent="0.25">
      <c r="A160" t="s">
        <v>143</v>
      </c>
      <c r="B160">
        <v>32.200000762939503</v>
      </c>
    </row>
    <row r="161" spans="1:2" x14ac:dyDescent="0.25">
      <c r="A161" t="s">
        <v>144</v>
      </c>
      <c r="B161">
        <v>8.8999996185302699</v>
      </c>
    </row>
    <row r="162" spans="1:2" x14ac:dyDescent="0.25">
      <c r="A162" t="s">
        <v>141</v>
      </c>
      <c r="B162">
        <v>7.3000001907348597</v>
      </c>
    </row>
    <row r="163" spans="1:2" x14ac:dyDescent="0.25">
      <c r="A163" t="s">
        <v>105</v>
      </c>
      <c r="B163">
        <v>2.5</v>
      </c>
    </row>
    <row r="164" spans="1:2" x14ac:dyDescent="0.25">
      <c r="A164" t="s">
        <v>245</v>
      </c>
      <c r="B164">
        <v>5.9045876461552975</v>
      </c>
    </row>
    <row r="165" spans="1:2" x14ac:dyDescent="0.25">
      <c r="A165" t="s">
        <v>156</v>
      </c>
      <c r="B165">
        <v>19.5</v>
      </c>
    </row>
    <row r="166" spans="1:2" x14ac:dyDescent="0.25">
      <c r="A166" t="s">
        <v>172</v>
      </c>
    </row>
    <row r="167" spans="1:2" x14ac:dyDescent="0.25">
      <c r="A167" t="s">
        <v>147</v>
      </c>
      <c r="B167">
        <v>5.0999999046325701</v>
      </c>
    </row>
    <row r="168" spans="1:2" x14ac:dyDescent="0.25">
      <c r="A168" t="s">
        <v>148</v>
      </c>
      <c r="B168">
        <v>7.5</v>
      </c>
    </row>
    <row r="169" spans="1:2" x14ac:dyDescent="0.25">
      <c r="A169" t="s">
        <v>47</v>
      </c>
      <c r="B169">
        <v>4.0999999046325701</v>
      </c>
    </row>
    <row r="170" spans="1:2" x14ac:dyDescent="0.25">
      <c r="A170" t="s">
        <v>13</v>
      </c>
      <c r="B170">
        <v>6.4000000953674299</v>
      </c>
    </row>
    <row r="171" spans="1:2" x14ac:dyDescent="0.25">
      <c r="A171" t="s">
        <v>246</v>
      </c>
      <c r="B171">
        <v>9.0754314909971185</v>
      </c>
    </row>
    <row r="172" spans="1:2" x14ac:dyDescent="0.25">
      <c r="A172" t="s">
        <v>14</v>
      </c>
      <c r="B172">
        <v>4.8000001907348597</v>
      </c>
    </row>
    <row r="173" spans="1:2" x14ac:dyDescent="0.25">
      <c r="A173" t="s">
        <v>107</v>
      </c>
      <c r="B173">
        <v>4.5</v>
      </c>
    </row>
    <row r="174" spans="1:2" x14ac:dyDescent="0.25">
      <c r="A174" t="s">
        <v>32</v>
      </c>
      <c r="B174">
        <v>6.3000001907348597</v>
      </c>
    </row>
    <row r="175" spans="1:2" x14ac:dyDescent="0.25">
      <c r="A175" t="s">
        <v>247</v>
      </c>
      <c r="B175">
        <v>7.5032051490650353</v>
      </c>
    </row>
    <row r="176" spans="1:2" x14ac:dyDescent="0.25">
      <c r="A176" t="s">
        <v>248</v>
      </c>
      <c r="B176">
        <v>7.3237860685082126</v>
      </c>
    </row>
    <row r="177" spans="1:2" x14ac:dyDescent="0.25">
      <c r="A177" t="s">
        <v>83</v>
      </c>
      <c r="B177">
        <v>7.1999998092651403</v>
      </c>
    </row>
    <row r="178" spans="1:2" x14ac:dyDescent="0.25">
      <c r="A178" t="s">
        <v>249</v>
      </c>
      <c r="B178">
        <v>15.580169504704893</v>
      </c>
    </row>
    <row r="179" spans="1:2" x14ac:dyDescent="0.25">
      <c r="A179" t="s">
        <v>108</v>
      </c>
      <c r="B179">
        <v>5.3000001907348597</v>
      </c>
    </row>
    <row r="180" spans="1:2" x14ac:dyDescent="0.25">
      <c r="A180" t="s">
        <v>48</v>
      </c>
      <c r="B180">
        <v>14.5</v>
      </c>
    </row>
    <row r="181" spans="1:2" x14ac:dyDescent="0.25">
      <c r="A181" t="s">
        <v>50</v>
      </c>
      <c r="B181">
        <v>6.3000001907348597</v>
      </c>
    </row>
    <row r="182" spans="1:2" x14ac:dyDescent="0.25">
      <c r="A182" t="s">
        <v>110</v>
      </c>
      <c r="B182">
        <v>7.4000000953674299</v>
      </c>
    </row>
    <row r="183" spans="1:2" x14ac:dyDescent="0.25">
      <c r="A183" t="s">
        <v>109</v>
      </c>
    </row>
    <row r="184" spans="1:2" x14ac:dyDescent="0.25">
      <c r="A184" t="s">
        <v>174</v>
      </c>
      <c r="B184">
        <v>2.5999999046325701</v>
      </c>
    </row>
    <row r="185" spans="1:2" x14ac:dyDescent="0.25">
      <c r="A185" t="s">
        <v>212</v>
      </c>
      <c r="B185">
        <v>12.3999996185303</v>
      </c>
    </row>
    <row r="186" spans="1:2" x14ac:dyDescent="0.25">
      <c r="A186" t="s">
        <v>66</v>
      </c>
      <c r="B186">
        <v>13.8999996185303</v>
      </c>
    </row>
    <row r="187" spans="1:2" x14ac:dyDescent="0.25">
      <c r="A187" t="s">
        <v>207</v>
      </c>
      <c r="B187">
        <v>4.9000000953674299</v>
      </c>
    </row>
    <row r="188" spans="1:2" x14ac:dyDescent="0.25">
      <c r="A188" t="s">
        <v>27</v>
      </c>
      <c r="B188">
        <v>6.8000001907348597</v>
      </c>
    </row>
    <row r="189" spans="1:2" x14ac:dyDescent="0.25">
      <c r="A189" t="s">
        <v>49</v>
      </c>
      <c r="B189">
        <v>4.4000000953674299</v>
      </c>
    </row>
    <row r="190" spans="1:2" x14ac:dyDescent="0.25">
      <c r="A190" t="s">
        <v>250</v>
      </c>
    </row>
    <row r="191" spans="1:2" x14ac:dyDescent="0.25">
      <c r="A191" t="s">
        <v>181</v>
      </c>
    </row>
    <row r="192" spans="1:2" x14ac:dyDescent="0.25">
      <c r="A192" t="s">
        <v>84</v>
      </c>
      <c r="B192">
        <v>0.40000000596046398</v>
      </c>
    </row>
    <row r="193" spans="1:2" x14ac:dyDescent="0.25">
      <c r="A193" t="s">
        <v>214</v>
      </c>
      <c r="B193">
        <v>6.6999998092651403</v>
      </c>
    </row>
    <row r="194" spans="1:2" x14ac:dyDescent="0.25">
      <c r="A194" t="s">
        <v>191</v>
      </c>
      <c r="B194">
        <v>9.6999998092651403</v>
      </c>
    </row>
    <row r="195" spans="1:2" x14ac:dyDescent="0.25">
      <c r="A195" t="s">
        <v>150</v>
      </c>
      <c r="B195">
        <v>0.60000002384185802</v>
      </c>
    </row>
    <row r="196" spans="1:2" x14ac:dyDescent="0.25">
      <c r="A196" t="s">
        <v>251</v>
      </c>
      <c r="B196">
        <v>4.0584529676108323</v>
      </c>
    </row>
    <row r="197" spans="1:2" x14ac:dyDescent="0.25">
      <c r="A197" t="s">
        <v>85</v>
      </c>
      <c r="B197">
        <v>6</v>
      </c>
    </row>
    <row r="198" spans="1:2" x14ac:dyDescent="0.25">
      <c r="A198" t="s">
        <v>157</v>
      </c>
      <c r="B198">
        <v>15</v>
      </c>
    </row>
    <row r="199" spans="1:2" x14ac:dyDescent="0.25">
      <c r="A199" t="s">
        <v>153</v>
      </c>
      <c r="B199">
        <v>10.1000003814697</v>
      </c>
    </row>
    <row r="200" spans="1:2" x14ac:dyDescent="0.25">
      <c r="A200" t="s">
        <v>111</v>
      </c>
      <c r="B200">
        <v>2.2000000476837198</v>
      </c>
    </row>
    <row r="201" spans="1:2" x14ac:dyDescent="0.25">
      <c r="A201" t="s">
        <v>166</v>
      </c>
      <c r="B201">
        <v>4.3000001907348597</v>
      </c>
    </row>
    <row r="202" spans="1:2" x14ac:dyDescent="0.25">
      <c r="A202" t="s">
        <v>154</v>
      </c>
      <c r="B202">
        <v>3.4000000953674299</v>
      </c>
    </row>
    <row r="203" spans="1:2" x14ac:dyDescent="0.25">
      <c r="A203" t="s">
        <v>42</v>
      </c>
      <c r="B203">
        <v>7.6999998092651403</v>
      </c>
    </row>
    <row r="204" spans="1:2" x14ac:dyDescent="0.25">
      <c r="A204" t="s">
        <v>10</v>
      </c>
    </row>
    <row r="205" spans="1:2" x14ac:dyDescent="0.25">
      <c r="A205" t="s">
        <v>155</v>
      </c>
      <c r="B205">
        <v>6.9000000953674299</v>
      </c>
    </row>
    <row r="206" spans="1:2" x14ac:dyDescent="0.25">
      <c r="A206" t="s">
        <v>202</v>
      </c>
      <c r="B206">
        <v>13.199999809265099</v>
      </c>
    </row>
    <row r="207" spans="1:2" x14ac:dyDescent="0.25">
      <c r="A207" t="s">
        <v>252</v>
      </c>
      <c r="B207">
        <v>8.3266998136672807</v>
      </c>
    </row>
    <row r="208" spans="1:2" x14ac:dyDescent="0.25">
      <c r="A208" t="s">
        <v>158</v>
      </c>
    </row>
    <row r="209" spans="1:2" x14ac:dyDescent="0.25">
      <c r="A209" t="s">
        <v>253</v>
      </c>
      <c r="B209">
        <v>8.3245502098114876</v>
      </c>
    </row>
    <row r="210" spans="1:2" x14ac:dyDescent="0.25">
      <c r="A210" t="s">
        <v>254</v>
      </c>
      <c r="B210">
        <v>14.840663347629418</v>
      </c>
    </row>
    <row r="211" spans="1:2" x14ac:dyDescent="0.25">
      <c r="A211" t="s">
        <v>151</v>
      </c>
    </row>
    <row r="212" spans="1:2" x14ac:dyDescent="0.25">
      <c r="A212" t="s">
        <v>70</v>
      </c>
      <c r="B212">
        <v>10.8999996185303</v>
      </c>
    </row>
    <row r="213" spans="1:2" x14ac:dyDescent="0.25">
      <c r="A213" t="s">
        <v>199</v>
      </c>
      <c r="B213">
        <v>11.300000190734901</v>
      </c>
    </row>
    <row r="214" spans="1:2" x14ac:dyDescent="0.25">
      <c r="A214" t="s">
        <v>209</v>
      </c>
      <c r="B214">
        <v>6.9000000953674299</v>
      </c>
    </row>
    <row r="215" spans="1:2" x14ac:dyDescent="0.25">
      <c r="A215" t="s">
        <v>15</v>
      </c>
      <c r="B215">
        <v>10.1000003814697</v>
      </c>
    </row>
    <row r="216" spans="1:2" x14ac:dyDescent="0.25">
      <c r="A216" t="s">
        <v>159</v>
      </c>
      <c r="B216">
        <v>22</v>
      </c>
    </row>
    <row r="217" spans="1:2" x14ac:dyDescent="0.25">
      <c r="A217" t="s">
        <v>64</v>
      </c>
    </row>
    <row r="218" spans="1:2" x14ac:dyDescent="0.25">
      <c r="A218" t="s">
        <v>152</v>
      </c>
    </row>
    <row r="219" spans="1:2" x14ac:dyDescent="0.25">
      <c r="A219" t="s">
        <v>86</v>
      </c>
      <c r="B219">
        <v>9.5</v>
      </c>
    </row>
    <row r="220" spans="1:2" x14ac:dyDescent="0.25">
      <c r="A220" t="s">
        <v>74</v>
      </c>
    </row>
    <row r="221" spans="1:2" x14ac:dyDescent="0.25">
      <c r="A221" t="s">
        <v>122</v>
      </c>
      <c r="B221">
        <v>7</v>
      </c>
    </row>
    <row r="222" spans="1:2" x14ac:dyDescent="0.25">
      <c r="A222" t="s">
        <v>161</v>
      </c>
      <c r="B222">
        <v>7.0999999046325701</v>
      </c>
    </row>
    <row r="223" spans="1:2" x14ac:dyDescent="0.25">
      <c r="A223" t="s">
        <v>112</v>
      </c>
      <c r="B223">
        <v>1.1000000238418599</v>
      </c>
    </row>
    <row r="224" spans="1:2" x14ac:dyDescent="0.25">
      <c r="A224" t="s">
        <v>192</v>
      </c>
      <c r="B224">
        <v>11.3999996185303</v>
      </c>
    </row>
    <row r="225" spans="1:2" x14ac:dyDescent="0.25">
      <c r="A225" t="s">
        <v>194</v>
      </c>
      <c r="B225">
        <v>10.8999996185303</v>
      </c>
    </row>
    <row r="226" spans="1:2" x14ac:dyDescent="0.25">
      <c r="A226" t="s">
        <v>101</v>
      </c>
      <c r="B226">
        <v>6.6999998092651403</v>
      </c>
    </row>
    <row r="227" spans="1:2" x14ac:dyDescent="0.25">
      <c r="A227" t="s">
        <v>177</v>
      </c>
    </row>
    <row r="228" spans="1:2" x14ac:dyDescent="0.25">
      <c r="A228" t="s">
        <v>71</v>
      </c>
      <c r="B228">
        <v>16.299999237060501</v>
      </c>
    </row>
    <row r="229" spans="1:2" x14ac:dyDescent="0.25">
      <c r="A229" t="s">
        <v>162</v>
      </c>
      <c r="B229">
        <v>15.6000003814697</v>
      </c>
    </row>
    <row r="230" spans="1:2" x14ac:dyDescent="0.25">
      <c r="A230" t="s">
        <v>30</v>
      </c>
      <c r="B230">
        <v>6.5999999046325701</v>
      </c>
    </row>
    <row r="231" spans="1:2" x14ac:dyDescent="0.25">
      <c r="A231" t="s">
        <v>180</v>
      </c>
    </row>
    <row r="232" spans="1:2" x14ac:dyDescent="0.25">
      <c r="A232" t="s">
        <v>160</v>
      </c>
      <c r="B232">
        <v>5</v>
      </c>
    </row>
    <row r="233" spans="1:2" x14ac:dyDescent="0.25">
      <c r="A233" t="s">
        <v>163</v>
      </c>
      <c r="B233">
        <v>2.2000000476837198</v>
      </c>
    </row>
    <row r="234" spans="1:2" x14ac:dyDescent="0.25">
      <c r="A234" t="s">
        <v>195</v>
      </c>
      <c r="B234">
        <v>7.5999999046325701</v>
      </c>
    </row>
    <row r="235" spans="1:2" x14ac:dyDescent="0.25">
      <c r="A235" t="s">
        <v>255</v>
      </c>
      <c r="B235">
        <v>6.118322586359672</v>
      </c>
    </row>
    <row r="236" spans="1:2" x14ac:dyDescent="0.25">
      <c r="A236" t="s">
        <v>51</v>
      </c>
      <c r="B236">
        <v>11.300000190734901</v>
      </c>
    </row>
    <row r="237" spans="1:2" x14ac:dyDescent="0.25">
      <c r="A237" t="s">
        <v>2</v>
      </c>
      <c r="B237">
        <v>5.5</v>
      </c>
    </row>
    <row r="238" spans="1:2" x14ac:dyDescent="0.25">
      <c r="A238" t="s">
        <v>196</v>
      </c>
      <c r="B238">
        <v>11</v>
      </c>
    </row>
    <row r="239" spans="1:2" x14ac:dyDescent="0.25">
      <c r="A239" t="s">
        <v>69</v>
      </c>
    </row>
    <row r="240" spans="1:2" x14ac:dyDescent="0.25">
      <c r="A240" t="s">
        <v>52</v>
      </c>
      <c r="B240">
        <v>12.3999996185303</v>
      </c>
    </row>
    <row r="241" spans="1:2" x14ac:dyDescent="0.25">
      <c r="A241" t="s">
        <v>72</v>
      </c>
    </row>
    <row r="242" spans="1:2" x14ac:dyDescent="0.25">
      <c r="A242" t="s">
        <v>113</v>
      </c>
      <c r="B242">
        <v>1.8999999761581401</v>
      </c>
    </row>
    <row r="243" spans="1:2" x14ac:dyDescent="0.25">
      <c r="A243" t="s">
        <v>173</v>
      </c>
    </row>
    <row r="244" spans="1:2" x14ac:dyDescent="0.25">
      <c r="A244" t="s">
        <v>90</v>
      </c>
      <c r="B244">
        <v>23.799999237060501</v>
      </c>
    </row>
    <row r="245" spans="1:2" x14ac:dyDescent="0.25">
      <c r="A245" t="s">
        <v>1</v>
      </c>
      <c r="B245">
        <v>6.1423122728470876</v>
      </c>
    </row>
    <row r="246" spans="1:2" x14ac:dyDescent="0.25">
      <c r="A246" t="s">
        <v>176</v>
      </c>
    </row>
    <row r="247" spans="1:2" x14ac:dyDescent="0.25">
      <c r="A247" t="s">
        <v>89</v>
      </c>
      <c r="B247">
        <v>12.3999996185303</v>
      </c>
    </row>
    <row r="248" spans="1:2" x14ac:dyDescent="0.25">
      <c r="A248" t="s">
        <v>33</v>
      </c>
      <c r="B248">
        <v>21</v>
      </c>
    </row>
    <row r="249" spans="1:2" x14ac:dyDescent="0.25">
      <c r="A249" t="s">
        <v>125</v>
      </c>
      <c r="B249">
        <v>8.1999998092651403</v>
      </c>
    </row>
    <row r="250" spans="1:2" x14ac:dyDescent="0.25">
      <c r="A250" t="s">
        <v>165</v>
      </c>
      <c r="B250">
        <v>15.300000190734901</v>
      </c>
    </row>
    <row r="251" spans="1:2" x14ac:dyDescent="0.25">
      <c r="A251" t="s">
        <v>149</v>
      </c>
      <c r="B251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Plan2</vt:lpstr>
      <vt:lpstr>LF</vt:lpstr>
      <vt:lpstr>UN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Franklin</dc:creator>
  <cp:lastModifiedBy>Rodrigo Franklin</cp:lastModifiedBy>
  <dcterms:created xsi:type="dcterms:W3CDTF">2015-05-02T16:05:26Z</dcterms:created>
  <dcterms:modified xsi:type="dcterms:W3CDTF">2015-05-02T16:35:08Z</dcterms:modified>
</cp:coreProperties>
</file>